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-150" yWindow="-495" windowWidth="15600" windowHeight="7905" tabRatio="831" firstSheet="7" activeTab="16"/>
  </bookViews>
  <sheets>
    <sheet name="BDPROD" sheetId="2" state="hidden" r:id="rId1"/>
    <sheet name="BDDF" sheetId="21" state="hidden" r:id="rId2"/>
    <sheet name="BDFD" sheetId="19" r:id="rId3"/>
    <sheet name="BDIMS" sheetId="20" state="hidden" r:id="rId4"/>
    <sheet name="BDFDUSD" sheetId="40" r:id="rId5"/>
    <sheet name="IngresoInformacion" sheetId="4" r:id="rId6"/>
    <sheet name="IngresoPrecio" sheetId="30" r:id="rId7"/>
    <sheet name="ModificarPrecio" sheetId="33" r:id="rId8"/>
    <sheet name="Resumen de Unidades" sheetId="5" r:id="rId9"/>
    <sheet name="PVP" sheetId="29" state="hidden" r:id="rId10"/>
    <sheet name="PVM" sheetId="31" r:id="rId11"/>
    <sheet name="USD" sheetId="34" r:id="rId12"/>
    <sheet name="Pesos" sheetId="35" state="hidden" r:id="rId13"/>
    <sheet name="BDPRECIOIMS" sheetId="36" state="hidden" r:id="rId14"/>
    <sheet name="BDPPTOUSD" sheetId="39" r:id="rId15"/>
    <sheet name="BDPPTO" sheetId="37" r:id="rId16"/>
    <sheet name="RESUMEN" sheetId="38" r:id="rId17"/>
  </sheets>
  <definedNames>
    <definedName name="DFFDIMS" localSheetId="6">IngresoPrecio!$P$15:$P$17</definedName>
    <definedName name="DFFDIMS" localSheetId="7">ModificarPrecio!$P$15:$P$17</definedName>
    <definedName name="DFFDIMS">IngresoInformacion!$P$15:$P$17</definedName>
  </definedNames>
  <calcPr calcId="145621"/>
</workbook>
</file>

<file path=xl/calcChain.xml><?xml version="1.0" encoding="utf-8"?>
<calcChain xmlns="http://schemas.openxmlformats.org/spreadsheetml/2006/main">
  <c r="AB133" i="38" l="1"/>
  <c r="AA133" i="38"/>
  <c r="AB129" i="38"/>
  <c r="AA129" i="38"/>
  <c r="AB72" i="38"/>
  <c r="AA72" i="38"/>
  <c r="Z72" i="38"/>
  <c r="Y72" i="38"/>
  <c r="X72" i="38"/>
  <c r="W72" i="38"/>
  <c r="Z133" i="38"/>
  <c r="Y133" i="38"/>
  <c r="X133" i="38"/>
  <c r="W133" i="38"/>
  <c r="Z129" i="38"/>
  <c r="Y129" i="38"/>
  <c r="X129" i="38"/>
  <c r="W129" i="38"/>
  <c r="AB127" i="38"/>
  <c r="AA127" i="38"/>
  <c r="Z127" i="38"/>
  <c r="Y127" i="38"/>
  <c r="X127" i="38"/>
  <c r="W127" i="38"/>
  <c r="AB124" i="38"/>
  <c r="AA124" i="38"/>
  <c r="Z124" i="38"/>
  <c r="Y124" i="38"/>
  <c r="X124" i="38"/>
  <c r="W124" i="38"/>
  <c r="AB122" i="38"/>
  <c r="AA122" i="38"/>
  <c r="Z122" i="38"/>
  <c r="Y122" i="38"/>
  <c r="X122" i="38"/>
  <c r="W122" i="38"/>
  <c r="AB119" i="38"/>
  <c r="AA119" i="38"/>
  <c r="Z119" i="38"/>
  <c r="Y119" i="38"/>
  <c r="X119" i="38"/>
  <c r="W119" i="38"/>
  <c r="AB114" i="38"/>
  <c r="AA114" i="38"/>
  <c r="Z114" i="38"/>
  <c r="Y114" i="38"/>
  <c r="X114" i="38"/>
  <c r="W114" i="38"/>
  <c r="AB101" i="38"/>
  <c r="AA101" i="38"/>
  <c r="Z101" i="38"/>
  <c r="Y101" i="38"/>
  <c r="X101" i="38"/>
  <c r="W101" i="38"/>
  <c r="AB98" i="38"/>
  <c r="AA98" i="38"/>
  <c r="Z98" i="38"/>
  <c r="Y98" i="38"/>
  <c r="X98" i="38"/>
  <c r="W98" i="38"/>
  <c r="AB95" i="38"/>
  <c r="AA95" i="38"/>
  <c r="Z95" i="38"/>
  <c r="Y95" i="38"/>
  <c r="X95" i="38"/>
  <c r="W95" i="38"/>
  <c r="AB89" i="38"/>
  <c r="AA89" i="38"/>
  <c r="Z89" i="38"/>
  <c r="Y89" i="38"/>
  <c r="X89" i="38"/>
  <c r="W89" i="38"/>
  <c r="AB81" i="38"/>
  <c r="AA81" i="38"/>
  <c r="Z81" i="38"/>
  <c r="Y81" i="38"/>
  <c r="X81" i="38"/>
  <c r="W81" i="38"/>
  <c r="AB59" i="38"/>
  <c r="AA59" i="38"/>
  <c r="Z59" i="38"/>
  <c r="Y59" i="38"/>
  <c r="X59" i="38"/>
  <c r="W59" i="38"/>
  <c r="AB55" i="38"/>
  <c r="AA55" i="38"/>
  <c r="Z55" i="38"/>
  <c r="Y55" i="38"/>
  <c r="X55" i="38"/>
  <c r="W55" i="38"/>
  <c r="AB53" i="38"/>
  <c r="AA53" i="38"/>
  <c r="Z53" i="38"/>
  <c r="Y53" i="38"/>
  <c r="X53" i="38"/>
  <c r="W53" i="38"/>
  <c r="AB39" i="38"/>
  <c r="AA39" i="38"/>
  <c r="Z39" i="38"/>
  <c r="Y39" i="38"/>
  <c r="X39" i="38"/>
  <c r="W39" i="38"/>
  <c r="AB37" i="38"/>
  <c r="AA37" i="38"/>
  <c r="Z37" i="38"/>
  <c r="Y37" i="38"/>
  <c r="X37" i="38"/>
  <c r="W37" i="38"/>
  <c r="AB23" i="38"/>
  <c r="AA23" i="38"/>
  <c r="Z23" i="38"/>
  <c r="Y23" i="38"/>
  <c r="X23" i="38"/>
  <c r="W23" i="38"/>
  <c r="S72" i="38"/>
  <c r="R72" i="38"/>
  <c r="Q72" i="38"/>
  <c r="U72" i="38" s="1"/>
  <c r="P72" i="38"/>
  <c r="T72" i="38" s="1"/>
  <c r="U70" i="38"/>
  <c r="T70" i="38"/>
  <c r="S70" i="38"/>
  <c r="R70" i="38"/>
  <c r="Q70" i="38"/>
  <c r="P70" i="38"/>
  <c r="U66" i="38"/>
  <c r="T66" i="38"/>
  <c r="S66" i="38"/>
  <c r="R66" i="38"/>
  <c r="Q66" i="38"/>
  <c r="P66" i="38"/>
  <c r="U61" i="38"/>
  <c r="T61" i="38"/>
  <c r="S61" i="38"/>
  <c r="R61" i="38"/>
  <c r="Q61" i="38"/>
  <c r="P61" i="38"/>
  <c r="U57" i="38"/>
  <c r="T57" i="38"/>
  <c r="S57" i="38"/>
  <c r="R57" i="38"/>
  <c r="Q57" i="38"/>
  <c r="P57" i="38"/>
  <c r="U50" i="38"/>
  <c r="T50" i="38"/>
  <c r="S50" i="38"/>
  <c r="R50" i="38"/>
  <c r="Q50" i="38"/>
  <c r="P50" i="38"/>
  <c r="U48" i="38"/>
  <c r="T48" i="38"/>
  <c r="S48" i="38"/>
  <c r="R48" i="38"/>
  <c r="Q48" i="38"/>
  <c r="P48" i="38"/>
  <c r="U45" i="38"/>
  <c r="T45" i="38"/>
  <c r="S45" i="38"/>
  <c r="R45" i="38"/>
  <c r="Q45" i="38"/>
  <c r="P45" i="38"/>
  <c r="U43" i="38"/>
  <c r="T43" i="38"/>
  <c r="S43" i="38"/>
  <c r="R43" i="38"/>
  <c r="Q43" i="38"/>
  <c r="P43" i="38"/>
  <c r="U34" i="38"/>
  <c r="T34" i="38"/>
  <c r="S34" i="38"/>
  <c r="R34" i="38"/>
  <c r="Q34" i="38"/>
  <c r="P34" i="38"/>
  <c r="U31" i="38"/>
  <c r="T31" i="38"/>
  <c r="S31" i="38"/>
  <c r="R31" i="38"/>
  <c r="Q31" i="38"/>
  <c r="P31" i="38"/>
  <c r="U28" i="38"/>
  <c r="T28" i="38"/>
  <c r="S28" i="38"/>
  <c r="R28" i="38"/>
  <c r="Q28" i="38"/>
  <c r="P28" i="38"/>
  <c r="U18" i="38"/>
  <c r="T18" i="38"/>
  <c r="S18" i="38"/>
  <c r="R18" i="38"/>
  <c r="Q18" i="38"/>
  <c r="P18" i="38"/>
  <c r="U15" i="38"/>
  <c r="T15" i="38"/>
  <c r="S15" i="38"/>
  <c r="R15" i="38"/>
  <c r="Q15" i="38"/>
  <c r="P15" i="38"/>
  <c r="U12" i="38"/>
  <c r="T12" i="38"/>
  <c r="S12" i="38"/>
  <c r="R12" i="38"/>
  <c r="Q12" i="38"/>
  <c r="P12" i="38"/>
  <c r="U10" i="38"/>
  <c r="T10" i="38"/>
  <c r="S10" i="38"/>
  <c r="R10" i="38"/>
  <c r="Q10" i="38"/>
  <c r="P10" i="38"/>
  <c r="U6" i="38"/>
  <c r="T6" i="38"/>
  <c r="S6" i="38"/>
  <c r="R6" i="38"/>
  <c r="Q6" i="38"/>
  <c r="P6" i="38"/>
  <c r="BI95" i="37"/>
  <c r="BH95" i="37"/>
  <c r="BI94" i="37"/>
  <c r="BH94" i="37"/>
  <c r="BI93" i="37"/>
  <c r="BH93" i="37"/>
  <c r="BI92" i="37"/>
  <c r="BH92" i="37"/>
  <c r="BI91" i="37"/>
  <c r="BH91" i="37"/>
  <c r="BI90" i="37"/>
  <c r="BH90" i="37"/>
  <c r="BI89" i="37"/>
  <c r="BH89" i="37"/>
  <c r="BI88" i="37"/>
  <c r="BH88" i="37"/>
  <c r="BI87" i="37"/>
  <c r="BH87" i="37"/>
  <c r="BI86" i="37"/>
  <c r="BH86" i="37"/>
  <c r="BI85" i="37"/>
  <c r="BH85" i="37"/>
  <c r="BI84" i="37"/>
  <c r="BH84" i="37"/>
  <c r="BI83" i="37"/>
  <c r="BH83" i="37"/>
  <c r="BI82" i="37"/>
  <c r="BH82" i="37"/>
  <c r="BI81" i="37"/>
  <c r="BH81" i="37"/>
  <c r="BI80" i="37"/>
  <c r="BH80" i="37"/>
  <c r="BI79" i="37"/>
  <c r="BH79" i="37"/>
  <c r="BI78" i="37"/>
  <c r="BH78" i="37"/>
  <c r="BI77" i="37"/>
  <c r="BH77" i="37"/>
  <c r="BI76" i="37"/>
  <c r="BH76" i="37"/>
  <c r="BI75" i="37"/>
  <c r="BH75" i="37"/>
  <c r="BI74" i="37"/>
  <c r="BH74" i="37"/>
  <c r="BI73" i="37"/>
  <c r="BH73" i="37"/>
  <c r="BI72" i="37"/>
  <c r="BH72" i="37"/>
  <c r="BI71" i="37"/>
  <c r="BH71" i="37"/>
  <c r="BI70" i="37"/>
  <c r="BH70" i="37"/>
  <c r="BI69" i="37"/>
  <c r="BH69" i="37"/>
  <c r="BI68" i="37"/>
  <c r="BH68" i="37"/>
  <c r="BI67" i="37"/>
  <c r="BH67" i="37"/>
  <c r="BI66" i="37"/>
  <c r="BH66" i="37"/>
  <c r="BI65" i="37"/>
  <c r="BH65" i="37"/>
  <c r="BI64" i="37"/>
  <c r="BH64" i="37"/>
  <c r="BI63" i="37"/>
  <c r="BH63" i="37"/>
  <c r="BI62" i="37"/>
  <c r="BH62" i="37"/>
  <c r="BI61" i="37"/>
  <c r="BH61" i="37"/>
  <c r="BI60" i="37"/>
  <c r="BH60" i="37"/>
  <c r="BI59" i="37"/>
  <c r="BH59" i="37"/>
  <c r="BI58" i="37"/>
  <c r="BH58" i="37"/>
  <c r="BI57" i="37"/>
  <c r="BI50" i="37"/>
  <c r="BH50" i="37"/>
  <c r="BI49" i="37"/>
  <c r="BH49" i="37"/>
  <c r="BI48" i="37"/>
  <c r="BH48" i="37"/>
  <c r="BI47" i="37"/>
  <c r="BH47" i="37"/>
  <c r="BI46" i="37"/>
  <c r="BH46" i="37"/>
  <c r="BI45" i="37"/>
  <c r="BH45" i="37"/>
  <c r="BI44" i="37"/>
  <c r="BH44" i="37"/>
  <c r="BI43" i="37"/>
  <c r="BH43" i="37"/>
  <c r="BI42" i="37"/>
  <c r="BH42" i="37"/>
  <c r="BI41" i="37"/>
  <c r="BH41" i="37"/>
  <c r="BI40" i="37"/>
  <c r="BH40" i="37"/>
  <c r="BI39" i="37"/>
  <c r="BH39" i="37"/>
  <c r="BI38" i="37"/>
  <c r="BH38" i="37"/>
  <c r="BI37" i="37"/>
  <c r="BH37" i="37"/>
  <c r="BI36" i="37"/>
  <c r="BH36" i="37"/>
  <c r="BI35" i="37"/>
  <c r="BH35" i="37"/>
  <c r="BI34" i="37"/>
  <c r="BH34" i="37"/>
  <c r="BI33" i="37"/>
  <c r="BH33" i="37"/>
  <c r="BI32" i="37"/>
  <c r="BH32" i="37"/>
  <c r="BI31" i="37"/>
  <c r="BH31" i="37"/>
  <c r="BI30" i="37"/>
  <c r="BH30" i="37"/>
  <c r="BI29" i="37"/>
  <c r="BH29" i="37"/>
  <c r="BI28" i="37"/>
  <c r="BH28" i="37"/>
  <c r="BI27" i="37"/>
  <c r="BH27" i="37"/>
  <c r="BI26" i="37"/>
  <c r="BH26" i="37"/>
  <c r="BI25" i="37"/>
  <c r="BH25" i="37"/>
  <c r="BI24" i="37"/>
  <c r="BH24" i="37"/>
  <c r="BI23" i="37"/>
  <c r="BH23" i="37"/>
  <c r="BI22" i="37"/>
  <c r="BH22" i="37"/>
  <c r="BI21" i="37"/>
  <c r="BH21" i="37"/>
  <c r="BI20" i="37"/>
  <c r="BH20" i="37"/>
  <c r="BI19" i="37"/>
  <c r="BH19" i="37"/>
  <c r="BI18" i="37"/>
  <c r="BH18" i="37"/>
  <c r="BI17" i="37"/>
  <c r="BH17" i="37"/>
  <c r="BI16" i="37"/>
  <c r="BH16" i="37"/>
  <c r="BI15" i="37"/>
  <c r="BH15" i="37"/>
  <c r="BI14" i="37"/>
  <c r="BH14" i="37"/>
  <c r="BI13" i="37"/>
  <c r="BH13" i="37"/>
  <c r="BI12" i="37"/>
  <c r="BH12" i="37"/>
  <c r="BI11" i="37"/>
  <c r="BH11" i="37"/>
  <c r="AP26" i="39"/>
  <c r="BP87" i="37"/>
  <c r="BO87" i="37"/>
  <c r="BN87" i="37"/>
  <c r="BM87" i="37"/>
  <c r="BL87" i="37"/>
  <c r="BP86" i="37"/>
  <c r="BO86" i="37"/>
  <c r="BN86" i="37"/>
  <c r="BM86" i="37"/>
  <c r="BL86" i="37"/>
  <c r="BP85" i="37"/>
  <c r="BO85" i="37"/>
  <c r="BN85" i="37"/>
  <c r="BM85" i="37"/>
  <c r="BL85" i="37"/>
  <c r="BP84" i="37"/>
  <c r="BO84" i="37"/>
  <c r="BN84" i="37"/>
  <c r="BM84" i="37"/>
  <c r="BL84" i="37"/>
  <c r="BP83" i="37"/>
  <c r="BO83" i="37"/>
  <c r="BN83" i="37"/>
  <c r="BM83" i="37"/>
  <c r="BL83" i="37"/>
  <c r="BP82" i="37"/>
  <c r="BO82" i="37"/>
  <c r="BN82" i="37"/>
  <c r="BM82" i="37"/>
  <c r="BL82" i="37"/>
  <c r="BP81" i="37"/>
  <c r="BO81" i="37"/>
  <c r="BN81" i="37"/>
  <c r="BM81" i="37"/>
  <c r="BL81" i="37"/>
  <c r="BP80" i="37"/>
  <c r="BO80" i="37"/>
  <c r="BN80" i="37"/>
  <c r="BM80" i="37"/>
  <c r="BL80" i="37"/>
  <c r="BP79" i="37"/>
  <c r="BO79" i="37"/>
  <c r="BN79" i="37"/>
  <c r="BM79" i="37"/>
  <c r="BL79" i="37"/>
  <c r="AN95" i="39"/>
  <c r="AN94" i="39"/>
  <c r="AN93" i="39"/>
  <c r="AN92" i="39"/>
  <c r="AN91" i="39"/>
  <c r="AN90" i="39"/>
  <c r="AN89" i="39"/>
  <c r="AN88" i="39"/>
  <c r="AN87" i="39"/>
  <c r="AN86" i="39"/>
  <c r="AN85" i="39"/>
  <c r="AN84" i="39"/>
  <c r="AN83" i="39"/>
  <c r="AN82" i="39"/>
  <c r="AN81" i="39"/>
  <c r="AN80" i="39"/>
  <c r="AN79" i="39"/>
  <c r="AN78" i="39"/>
  <c r="AN77" i="39"/>
  <c r="AN76" i="39"/>
  <c r="AO75" i="39"/>
  <c r="AN75" i="39"/>
  <c r="AO74" i="39"/>
  <c r="AN74" i="39"/>
  <c r="AO73" i="39"/>
  <c r="AN73" i="39"/>
  <c r="AO72" i="39"/>
  <c r="AN72" i="39"/>
  <c r="AO71" i="39"/>
  <c r="AN71" i="39"/>
  <c r="AO70" i="39"/>
  <c r="AN70" i="39"/>
  <c r="AN69" i="39"/>
  <c r="AO68" i="39"/>
  <c r="AN68" i="39"/>
  <c r="AN67" i="39"/>
  <c r="AN66" i="39"/>
  <c r="AN65" i="39"/>
  <c r="AN64" i="39"/>
  <c r="AO63" i="39"/>
  <c r="AN63" i="39"/>
  <c r="AN62" i="39"/>
  <c r="AO61" i="39"/>
  <c r="AN61" i="39"/>
  <c r="AN60" i="39"/>
  <c r="AN59" i="39"/>
  <c r="AN58" i="39"/>
  <c r="AN57" i="39"/>
  <c r="AO50" i="39"/>
  <c r="AN50" i="39"/>
  <c r="AN49" i="39"/>
  <c r="AO48" i="39"/>
  <c r="AN48" i="39"/>
  <c r="AN47" i="39"/>
  <c r="AN46" i="39"/>
  <c r="AN45" i="39"/>
  <c r="AN44" i="39"/>
  <c r="AN43" i="39"/>
  <c r="AO42" i="39"/>
  <c r="AN42" i="39"/>
  <c r="AO41" i="39"/>
  <c r="AN41" i="39"/>
  <c r="AN40" i="39"/>
  <c r="AN39" i="39"/>
  <c r="AO38" i="39"/>
  <c r="AN38" i="39"/>
  <c r="AO37" i="39"/>
  <c r="AN37" i="39"/>
  <c r="AN36" i="39"/>
  <c r="AN35" i="39"/>
  <c r="AN34" i="39"/>
  <c r="AO33" i="39"/>
  <c r="AN33" i="39"/>
  <c r="AO32" i="39"/>
  <c r="AN32" i="39"/>
  <c r="AN31" i="39"/>
  <c r="AN30" i="39"/>
  <c r="AN29" i="39"/>
  <c r="AN28" i="39"/>
  <c r="AN27" i="39"/>
  <c r="AN26" i="39"/>
  <c r="AN25" i="39"/>
  <c r="AN24" i="39"/>
  <c r="AN23" i="39"/>
  <c r="AN22" i="39"/>
  <c r="AN21" i="39"/>
  <c r="AN20" i="39"/>
  <c r="AO19" i="39"/>
  <c r="AN19" i="39"/>
  <c r="AO18" i="39"/>
  <c r="AN18" i="39"/>
  <c r="AO17" i="39"/>
  <c r="AN17" i="39"/>
  <c r="AO16" i="39"/>
  <c r="AN16" i="39"/>
  <c r="AO15" i="39"/>
  <c r="AN15" i="39"/>
  <c r="AN14" i="39"/>
  <c r="AN13" i="39"/>
  <c r="AN12" i="39"/>
  <c r="AN11" i="39"/>
  <c r="AN10" i="39"/>
  <c r="AN9" i="39"/>
  <c r="AO8" i="39"/>
  <c r="AN8" i="39"/>
  <c r="BW87" i="37"/>
  <c r="BV87" i="37"/>
  <c r="BU87" i="37"/>
  <c r="BT87" i="37"/>
  <c r="BW86" i="37"/>
  <c r="BV86" i="37"/>
  <c r="BU86" i="37"/>
  <c r="BT86" i="37"/>
  <c r="BW85" i="37"/>
  <c r="BV85" i="37"/>
  <c r="BU85" i="37"/>
  <c r="BT85" i="37"/>
  <c r="BW84" i="37"/>
  <c r="BV84" i="37"/>
  <c r="BU84" i="37"/>
  <c r="BT84" i="37"/>
  <c r="BW83" i="37"/>
  <c r="BV83" i="37"/>
  <c r="BU83" i="37"/>
  <c r="BT83" i="37"/>
  <c r="BW82" i="37"/>
  <c r="BV82" i="37"/>
  <c r="BU82" i="37"/>
  <c r="BT82" i="37"/>
  <c r="BW81" i="37"/>
  <c r="BV81" i="37"/>
  <c r="BU81" i="37"/>
  <c r="BT81" i="37"/>
  <c r="BW80" i="37"/>
  <c r="BV80" i="37"/>
  <c r="BU80" i="37"/>
  <c r="BT80" i="37"/>
  <c r="BW79" i="37"/>
  <c r="BV79" i="37"/>
  <c r="BU79" i="37"/>
  <c r="BT79" i="37"/>
  <c r="BS87" i="37"/>
  <c r="BS86" i="37"/>
  <c r="BS85" i="37"/>
  <c r="BS84" i="37"/>
  <c r="BS83" i="37"/>
  <c r="BS82" i="37"/>
  <c r="BS81" i="37"/>
  <c r="BS80" i="37"/>
  <c r="BS79" i="37"/>
  <c r="AP32" i="39"/>
  <c r="AS105" i="39"/>
  <c r="AQ97" i="39"/>
  <c r="AQ50" i="39"/>
  <c r="AQ41" i="39"/>
  <c r="AQ33" i="39"/>
  <c r="AQ17" i="39"/>
  <c r="AQ7" i="39"/>
  <c r="P75" i="39"/>
  <c r="O75" i="39"/>
  <c r="N75" i="39"/>
  <c r="M75" i="39"/>
  <c r="L75" i="39"/>
  <c r="P74" i="39"/>
  <c r="O74" i="39"/>
  <c r="N74" i="39"/>
  <c r="M74" i="39"/>
  <c r="L74" i="39"/>
  <c r="P64" i="39"/>
  <c r="O64" i="39"/>
  <c r="AO64" i="39" s="1"/>
  <c r="N64" i="39"/>
  <c r="M64" i="39"/>
  <c r="L64" i="39"/>
  <c r="P63" i="39"/>
  <c r="O63" i="39"/>
  <c r="N63" i="39"/>
  <c r="M63" i="39"/>
  <c r="L63" i="39"/>
  <c r="AP64" i="39"/>
  <c r="AP75" i="39"/>
  <c r="AP74" i="39"/>
  <c r="Q75" i="37"/>
  <c r="Q74" i="37"/>
  <c r="E74" i="37"/>
  <c r="F74" i="37"/>
  <c r="G74" i="37"/>
  <c r="H74" i="37"/>
  <c r="I74" i="37"/>
  <c r="J74" i="37"/>
  <c r="K74" i="37"/>
  <c r="E75" i="37"/>
  <c r="F75" i="37"/>
  <c r="G75" i="37"/>
  <c r="H75" i="37"/>
  <c r="I75" i="37"/>
  <c r="J75" i="37"/>
  <c r="K75" i="37"/>
  <c r="E63" i="37"/>
  <c r="F63" i="37"/>
  <c r="G63" i="37"/>
  <c r="H63" i="37"/>
  <c r="I63" i="37"/>
  <c r="J63" i="37"/>
  <c r="K63" i="37"/>
  <c r="E64" i="37"/>
  <c r="F64" i="37"/>
  <c r="G64" i="37"/>
  <c r="H64" i="37"/>
  <c r="I64" i="37"/>
  <c r="J64" i="37"/>
  <c r="K64" i="37"/>
  <c r="E15" i="37"/>
  <c r="F15" i="37"/>
  <c r="G15" i="37"/>
  <c r="H15" i="37"/>
  <c r="I15" i="37"/>
  <c r="J15" i="37"/>
  <c r="K15" i="37"/>
  <c r="E16" i="37"/>
  <c r="F16" i="37"/>
  <c r="G16" i="37"/>
  <c r="H16" i="37"/>
  <c r="I16" i="37"/>
  <c r="J16" i="37"/>
  <c r="K16" i="37"/>
  <c r="Q74" i="39"/>
  <c r="Q75" i="39"/>
  <c r="E74" i="39"/>
  <c r="F74" i="39"/>
  <c r="G74" i="39"/>
  <c r="H74" i="39"/>
  <c r="I74" i="39"/>
  <c r="J74" i="39"/>
  <c r="K74" i="39"/>
  <c r="E75" i="39"/>
  <c r="F75" i="39"/>
  <c r="G75" i="39"/>
  <c r="H75" i="39"/>
  <c r="I75" i="39"/>
  <c r="J75" i="39"/>
  <c r="K75" i="39"/>
  <c r="E63" i="39"/>
  <c r="F63" i="39"/>
  <c r="G63" i="39"/>
  <c r="H63" i="39"/>
  <c r="I63" i="39"/>
  <c r="J63" i="39"/>
  <c r="K63" i="39"/>
  <c r="E64" i="39"/>
  <c r="F64" i="39"/>
  <c r="G64" i="39"/>
  <c r="H64" i="39"/>
  <c r="I64" i="39"/>
  <c r="J64" i="39"/>
  <c r="K64" i="39"/>
  <c r="E15" i="39"/>
  <c r="F15" i="39"/>
  <c r="G15" i="39"/>
  <c r="H15" i="39"/>
  <c r="I15" i="39"/>
  <c r="J15" i="39"/>
  <c r="K15" i="39"/>
  <c r="E16" i="39"/>
  <c r="F16" i="39"/>
  <c r="G16" i="39"/>
  <c r="H16" i="39"/>
  <c r="I16" i="39"/>
  <c r="J16" i="39"/>
  <c r="K16" i="39"/>
  <c r="AP68" i="39"/>
  <c r="AP50" i="39"/>
  <c r="AP41" i="39"/>
  <c r="AP33" i="39"/>
  <c r="P73" i="39"/>
  <c r="O73" i="39"/>
  <c r="N73" i="39"/>
  <c r="M73" i="39"/>
  <c r="L73" i="39"/>
  <c r="P72" i="39"/>
  <c r="O72" i="39"/>
  <c r="N72" i="39"/>
  <c r="M72" i="39"/>
  <c r="L72" i="39"/>
  <c r="P71" i="39"/>
  <c r="O71" i="39"/>
  <c r="N71" i="39"/>
  <c r="M71" i="39"/>
  <c r="L71" i="39"/>
  <c r="P70" i="39"/>
  <c r="O70" i="39"/>
  <c r="N70" i="39"/>
  <c r="M70" i="39"/>
  <c r="L70" i="39"/>
  <c r="P68" i="39"/>
  <c r="O68" i="39"/>
  <c r="N68" i="39"/>
  <c r="M68" i="39"/>
  <c r="L68" i="39"/>
  <c r="P50" i="39"/>
  <c r="O50" i="39"/>
  <c r="N50" i="39"/>
  <c r="M50" i="39"/>
  <c r="L50" i="39"/>
  <c r="P48" i="39"/>
  <c r="O48" i="39"/>
  <c r="N48" i="39"/>
  <c r="M48" i="39"/>
  <c r="L48" i="39"/>
  <c r="P42" i="39"/>
  <c r="O42" i="39"/>
  <c r="N42" i="39"/>
  <c r="M42" i="39"/>
  <c r="L42" i="39"/>
  <c r="P41" i="39"/>
  <c r="O41" i="39"/>
  <c r="N41" i="39"/>
  <c r="M41" i="39"/>
  <c r="L41" i="39"/>
  <c r="P38" i="39"/>
  <c r="O38" i="39"/>
  <c r="N38" i="39"/>
  <c r="M38" i="39"/>
  <c r="L38" i="39"/>
  <c r="P37" i="39"/>
  <c r="O37" i="39"/>
  <c r="N37" i="39"/>
  <c r="M37" i="39"/>
  <c r="L37" i="39"/>
  <c r="P33" i="39"/>
  <c r="O33" i="39"/>
  <c r="N33" i="39"/>
  <c r="M33" i="39"/>
  <c r="L33" i="39"/>
  <c r="P32" i="39"/>
  <c r="O32" i="39"/>
  <c r="N32" i="39"/>
  <c r="M32" i="39"/>
  <c r="L32" i="39"/>
  <c r="P19" i="39"/>
  <c r="O19" i="39"/>
  <c r="N19" i="39"/>
  <c r="M19" i="39"/>
  <c r="L19" i="39"/>
  <c r="P18" i="39"/>
  <c r="O18" i="39"/>
  <c r="N18" i="39"/>
  <c r="M18" i="39"/>
  <c r="L18" i="39"/>
  <c r="P17" i="39"/>
  <c r="O17" i="39"/>
  <c r="N17" i="39"/>
  <c r="M17" i="39"/>
  <c r="L17" i="39"/>
  <c r="P8" i="39"/>
  <c r="O8" i="39"/>
  <c r="N8" i="39"/>
  <c r="M8" i="39"/>
  <c r="L8" i="39"/>
  <c r="BI8" i="37"/>
  <c r="BI9" i="37"/>
  <c r="BI10" i="37"/>
  <c r="BI7" i="37"/>
  <c r="L32" i="37"/>
  <c r="R102" i="39"/>
  <c r="S102" i="39"/>
  <c r="T102" i="39"/>
  <c r="U102" i="39"/>
  <c r="V102" i="39"/>
  <c r="W102" i="39"/>
  <c r="X102" i="39"/>
  <c r="Y102" i="39"/>
  <c r="Z102" i="39"/>
  <c r="AA102" i="39"/>
  <c r="AB102" i="39"/>
  <c r="AC102" i="39"/>
  <c r="AD102" i="39"/>
  <c r="AE102" i="39"/>
  <c r="AF102" i="39"/>
  <c r="AG102" i="39"/>
  <c r="AH102" i="39"/>
  <c r="AI102" i="39"/>
  <c r="AJ102" i="39"/>
  <c r="AK102" i="39"/>
  <c r="AL102" i="39"/>
  <c r="E58" i="39"/>
  <c r="F58" i="39"/>
  <c r="G58" i="39"/>
  <c r="H58" i="39"/>
  <c r="I58" i="39"/>
  <c r="J58" i="39"/>
  <c r="K58" i="39"/>
  <c r="E59" i="39"/>
  <c r="F59" i="39"/>
  <c r="G59" i="39"/>
  <c r="H59" i="39"/>
  <c r="I59" i="39"/>
  <c r="J59" i="39"/>
  <c r="K59" i="39"/>
  <c r="E60" i="39"/>
  <c r="F60" i="39"/>
  <c r="G60" i="39"/>
  <c r="H60" i="39"/>
  <c r="I60" i="39"/>
  <c r="J60" i="39"/>
  <c r="K60" i="39"/>
  <c r="E61" i="39"/>
  <c r="F61" i="39"/>
  <c r="G61" i="39"/>
  <c r="H61" i="39"/>
  <c r="I61" i="39"/>
  <c r="J61" i="39"/>
  <c r="K61" i="39"/>
  <c r="E62" i="39"/>
  <c r="F62" i="39"/>
  <c r="G62" i="39"/>
  <c r="H62" i="39"/>
  <c r="I62" i="39"/>
  <c r="J62" i="39"/>
  <c r="K62" i="39"/>
  <c r="E65" i="39"/>
  <c r="F65" i="39"/>
  <c r="G65" i="39"/>
  <c r="H65" i="39"/>
  <c r="I65" i="39"/>
  <c r="J65" i="39"/>
  <c r="K65" i="39"/>
  <c r="E66" i="39"/>
  <c r="F66" i="39"/>
  <c r="G66" i="39"/>
  <c r="H66" i="39"/>
  <c r="I66" i="39"/>
  <c r="J66" i="39"/>
  <c r="K66" i="39"/>
  <c r="E67" i="39"/>
  <c r="F67" i="39"/>
  <c r="G67" i="39"/>
  <c r="H67" i="39"/>
  <c r="I67" i="39"/>
  <c r="J67" i="39"/>
  <c r="K67" i="39"/>
  <c r="E68" i="39"/>
  <c r="F68" i="39"/>
  <c r="G68" i="39"/>
  <c r="H68" i="39"/>
  <c r="I68" i="39"/>
  <c r="J68" i="39"/>
  <c r="K68" i="39"/>
  <c r="E69" i="39"/>
  <c r="F69" i="39"/>
  <c r="G69" i="39"/>
  <c r="H69" i="39"/>
  <c r="I69" i="39"/>
  <c r="J69" i="39"/>
  <c r="K69" i="39"/>
  <c r="E70" i="39"/>
  <c r="F70" i="39"/>
  <c r="G70" i="39"/>
  <c r="H70" i="39"/>
  <c r="I70" i="39"/>
  <c r="J70" i="39"/>
  <c r="K70" i="39"/>
  <c r="E71" i="39"/>
  <c r="F71" i="39"/>
  <c r="G71" i="39"/>
  <c r="H71" i="39"/>
  <c r="I71" i="39"/>
  <c r="J71" i="39"/>
  <c r="K71" i="39"/>
  <c r="E72" i="39"/>
  <c r="F72" i="39"/>
  <c r="G72" i="39"/>
  <c r="H72" i="39"/>
  <c r="I72" i="39"/>
  <c r="J72" i="39"/>
  <c r="K72" i="39"/>
  <c r="E73" i="39"/>
  <c r="F73" i="39"/>
  <c r="G73" i="39"/>
  <c r="H73" i="39"/>
  <c r="I73" i="39"/>
  <c r="J73" i="39"/>
  <c r="K73" i="39"/>
  <c r="E76" i="39"/>
  <c r="F76" i="39"/>
  <c r="G76" i="39"/>
  <c r="H76" i="39"/>
  <c r="I76" i="39"/>
  <c r="J76" i="39"/>
  <c r="K76" i="39"/>
  <c r="E77" i="39"/>
  <c r="F77" i="39"/>
  <c r="G77" i="39"/>
  <c r="H77" i="39"/>
  <c r="I77" i="39"/>
  <c r="J77" i="39"/>
  <c r="K77" i="39"/>
  <c r="E78" i="39"/>
  <c r="F78" i="39"/>
  <c r="G78" i="39"/>
  <c r="H78" i="39"/>
  <c r="I78" i="39"/>
  <c r="J78" i="39"/>
  <c r="K78" i="39"/>
  <c r="E79" i="39"/>
  <c r="F79" i="39"/>
  <c r="G79" i="39"/>
  <c r="H79" i="39"/>
  <c r="I79" i="39"/>
  <c r="J79" i="39"/>
  <c r="K79" i="39"/>
  <c r="E80" i="39"/>
  <c r="F80" i="39"/>
  <c r="G80" i="39"/>
  <c r="H80" i="39"/>
  <c r="I80" i="39"/>
  <c r="J80" i="39"/>
  <c r="K80" i="39"/>
  <c r="E81" i="39"/>
  <c r="F81" i="39"/>
  <c r="G81" i="39"/>
  <c r="H81" i="39"/>
  <c r="I81" i="39"/>
  <c r="J81" i="39"/>
  <c r="K81" i="39"/>
  <c r="E82" i="39"/>
  <c r="F82" i="39"/>
  <c r="G82" i="39"/>
  <c r="H82" i="39"/>
  <c r="I82" i="39"/>
  <c r="J82" i="39"/>
  <c r="K82" i="39"/>
  <c r="E83" i="39"/>
  <c r="F83" i="39"/>
  <c r="G83" i="39"/>
  <c r="H83" i="39"/>
  <c r="I83" i="39"/>
  <c r="J83" i="39"/>
  <c r="K83" i="39"/>
  <c r="E84" i="39"/>
  <c r="F84" i="39"/>
  <c r="G84" i="39"/>
  <c r="H84" i="39"/>
  <c r="I84" i="39"/>
  <c r="J84" i="39"/>
  <c r="K84" i="39"/>
  <c r="E85" i="39"/>
  <c r="F85" i="39"/>
  <c r="G85" i="39"/>
  <c r="H85" i="39"/>
  <c r="I85" i="39"/>
  <c r="J85" i="39"/>
  <c r="K85" i="39"/>
  <c r="E86" i="39"/>
  <c r="F86" i="39"/>
  <c r="G86" i="39"/>
  <c r="H86" i="39"/>
  <c r="I86" i="39"/>
  <c r="J86" i="39"/>
  <c r="K86" i="39"/>
  <c r="E87" i="39"/>
  <c r="F87" i="39"/>
  <c r="G87" i="39"/>
  <c r="H87" i="39"/>
  <c r="I87" i="39"/>
  <c r="J87" i="39"/>
  <c r="K87" i="39"/>
  <c r="E88" i="39"/>
  <c r="F88" i="39"/>
  <c r="G88" i="39"/>
  <c r="H88" i="39"/>
  <c r="I88" i="39"/>
  <c r="J88" i="39"/>
  <c r="K88" i="39"/>
  <c r="E89" i="39"/>
  <c r="F89" i="39"/>
  <c r="G89" i="39"/>
  <c r="H89" i="39"/>
  <c r="I89" i="39"/>
  <c r="J89" i="39"/>
  <c r="K89" i="39"/>
  <c r="E90" i="39"/>
  <c r="F90" i="39"/>
  <c r="G90" i="39"/>
  <c r="H90" i="39"/>
  <c r="I90" i="39"/>
  <c r="J90" i="39"/>
  <c r="K90" i="39"/>
  <c r="E91" i="39"/>
  <c r="F91" i="39"/>
  <c r="G91" i="39"/>
  <c r="H91" i="39"/>
  <c r="I91" i="39"/>
  <c r="J91" i="39"/>
  <c r="K91" i="39"/>
  <c r="E92" i="39"/>
  <c r="F92" i="39"/>
  <c r="G92" i="39"/>
  <c r="H92" i="39"/>
  <c r="I92" i="39"/>
  <c r="J92" i="39"/>
  <c r="K92" i="39"/>
  <c r="E93" i="39"/>
  <c r="F93" i="39"/>
  <c r="G93" i="39"/>
  <c r="H93" i="39"/>
  <c r="I93" i="39"/>
  <c r="J93" i="39"/>
  <c r="K93" i="39"/>
  <c r="E94" i="39"/>
  <c r="F94" i="39"/>
  <c r="G94" i="39"/>
  <c r="H94" i="39"/>
  <c r="I94" i="39"/>
  <c r="J94" i="39"/>
  <c r="K94" i="39"/>
  <c r="E95" i="39"/>
  <c r="F95" i="39"/>
  <c r="G95" i="39"/>
  <c r="H95" i="39"/>
  <c r="I95" i="39"/>
  <c r="J95" i="39"/>
  <c r="K95" i="39"/>
  <c r="K57" i="39"/>
  <c r="K97" i="39" s="1"/>
  <c r="J57" i="39"/>
  <c r="I57" i="39"/>
  <c r="I97" i="39" s="1"/>
  <c r="H57" i="39"/>
  <c r="G57" i="39"/>
  <c r="G97" i="39" s="1"/>
  <c r="F57" i="39"/>
  <c r="E57" i="39"/>
  <c r="E8" i="39"/>
  <c r="F8" i="39"/>
  <c r="G8" i="39"/>
  <c r="H8" i="39"/>
  <c r="I8" i="39"/>
  <c r="J8" i="39"/>
  <c r="K8" i="39"/>
  <c r="E9" i="39"/>
  <c r="F9" i="39"/>
  <c r="G9" i="39"/>
  <c r="H9" i="39"/>
  <c r="I9" i="39"/>
  <c r="J9" i="39"/>
  <c r="K9" i="39"/>
  <c r="E10" i="39"/>
  <c r="F10" i="39"/>
  <c r="G10" i="39"/>
  <c r="H10" i="39"/>
  <c r="I10" i="39"/>
  <c r="J10" i="39"/>
  <c r="K10" i="39"/>
  <c r="E11" i="39"/>
  <c r="F11" i="39"/>
  <c r="G11" i="39"/>
  <c r="H11" i="39"/>
  <c r="I11" i="39"/>
  <c r="J11" i="39"/>
  <c r="K11" i="39"/>
  <c r="E12" i="39"/>
  <c r="F12" i="39"/>
  <c r="G12" i="39"/>
  <c r="H12" i="39"/>
  <c r="I12" i="39"/>
  <c r="J12" i="39"/>
  <c r="K12" i="39"/>
  <c r="E13" i="39"/>
  <c r="F13" i="39"/>
  <c r="G13" i="39"/>
  <c r="H13" i="39"/>
  <c r="I13" i="39"/>
  <c r="J13" i="39"/>
  <c r="K13" i="39"/>
  <c r="E14" i="39"/>
  <c r="F14" i="39"/>
  <c r="G14" i="39"/>
  <c r="H14" i="39"/>
  <c r="I14" i="39"/>
  <c r="J14" i="39"/>
  <c r="K14" i="39"/>
  <c r="E17" i="39"/>
  <c r="F17" i="39"/>
  <c r="G17" i="39"/>
  <c r="H17" i="39"/>
  <c r="I17" i="39"/>
  <c r="J17" i="39"/>
  <c r="K17" i="39"/>
  <c r="E18" i="39"/>
  <c r="F18" i="39"/>
  <c r="G18" i="39"/>
  <c r="H18" i="39"/>
  <c r="I18" i="39"/>
  <c r="J18" i="39"/>
  <c r="K18" i="39"/>
  <c r="E19" i="39"/>
  <c r="F19" i="39"/>
  <c r="G19" i="39"/>
  <c r="H19" i="39"/>
  <c r="I19" i="39"/>
  <c r="J19" i="39"/>
  <c r="K19" i="39"/>
  <c r="E20" i="39"/>
  <c r="F20" i="39"/>
  <c r="G20" i="39"/>
  <c r="H20" i="39"/>
  <c r="I20" i="39"/>
  <c r="J20" i="39"/>
  <c r="K20" i="39"/>
  <c r="E21" i="39"/>
  <c r="F21" i="39"/>
  <c r="G21" i="39"/>
  <c r="H21" i="39"/>
  <c r="I21" i="39"/>
  <c r="J21" i="39"/>
  <c r="K21" i="39"/>
  <c r="E22" i="39"/>
  <c r="F22" i="39"/>
  <c r="G22" i="39"/>
  <c r="H22" i="39"/>
  <c r="I22" i="39"/>
  <c r="J22" i="39"/>
  <c r="K22" i="39"/>
  <c r="E23" i="39"/>
  <c r="F23" i="39"/>
  <c r="G23" i="39"/>
  <c r="H23" i="39"/>
  <c r="I23" i="39"/>
  <c r="J23" i="39"/>
  <c r="K23" i="39"/>
  <c r="E24" i="39"/>
  <c r="F24" i="39"/>
  <c r="G24" i="39"/>
  <c r="H24" i="39"/>
  <c r="I24" i="39"/>
  <c r="J24" i="39"/>
  <c r="K24" i="39"/>
  <c r="E25" i="39"/>
  <c r="F25" i="39"/>
  <c r="G25" i="39"/>
  <c r="H25" i="39"/>
  <c r="I25" i="39"/>
  <c r="J25" i="39"/>
  <c r="K25" i="39"/>
  <c r="E26" i="39"/>
  <c r="F26" i="39"/>
  <c r="G26" i="39"/>
  <c r="H26" i="39"/>
  <c r="I26" i="39"/>
  <c r="J26" i="39"/>
  <c r="K26" i="39"/>
  <c r="E27" i="39"/>
  <c r="F27" i="39"/>
  <c r="G27" i="39"/>
  <c r="H27" i="39"/>
  <c r="I27" i="39"/>
  <c r="J27" i="39"/>
  <c r="K27" i="39"/>
  <c r="E28" i="39"/>
  <c r="F28" i="39"/>
  <c r="G28" i="39"/>
  <c r="H28" i="39"/>
  <c r="I28" i="39"/>
  <c r="J28" i="39"/>
  <c r="K28" i="39"/>
  <c r="E29" i="39"/>
  <c r="F29" i="39"/>
  <c r="G29" i="39"/>
  <c r="H29" i="39"/>
  <c r="I29" i="39"/>
  <c r="J29" i="39"/>
  <c r="K29" i="39"/>
  <c r="E30" i="39"/>
  <c r="F30" i="39"/>
  <c r="G30" i="39"/>
  <c r="H30" i="39"/>
  <c r="I30" i="39"/>
  <c r="J30" i="39"/>
  <c r="K30" i="39"/>
  <c r="E31" i="39"/>
  <c r="F31" i="39"/>
  <c r="G31" i="39"/>
  <c r="H31" i="39"/>
  <c r="I31" i="39"/>
  <c r="J31" i="39"/>
  <c r="K31" i="39"/>
  <c r="E32" i="39"/>
  <c r="F32" i="39"/>
  <c r="G32" i="39"/>
  <c r="H32" i="39"/>
  <c r="I32" i="39"/>
  <c r="J32" i="39"/>
  <c r="K32" i="39"/>
  <c r="E33" i="39"/>
  <c r="F33" i="39"/>
  <c r="G33" i="39"/>
  <c r="H33" i="39"/>
  <c r="I33" i="39"/>
  <c r="J33" i="39"/>
  <c r="K33" i="39"/>
  <c r="E34" i="39"/>
  <c r="F34" i="39"/>
  <c r="G34" i="39"/>
  <c r="H34" i="39"/>
  <c r="I34" i="39"/>
  <c r="J34" i="39"/>
  <c r="K34" i="39"/>
  <c r="E35" i="39"/>
  <c r="F35" i="39"/>
  <c r="G35" i="39"/>
  <c r="H35" i="39"/>
  <c r="I35" i="39"/>
  <c r="J35" i="39"/>
  <c r="K35" i="39"/>
  <c r="E36" i="39"/>
  <c r="F36" i="39"/>
  <c r="G36" i="39"/>
  <c r="H36" i="39"/>
  <c r="I36" i="39"/>
  <c r="J36" i="39"/>
  <c r="K36" i="39"/>
  <c r="E37" i="39"/>
  <c r="F37" i="39"/>
  <c r="G37" i="39"/>
  <c r="H37" i="39"/>
  <c r="I37" i="39"/>
  <c r="J37" i="39"/>
  <c r="K37" i="39"/>
  <c r="E38" i="39"/>
  <c r="F38" i="39"/>
  <c r="G38" i="39"/>
  <c r="H38" i="39"/>
  <c r="I38" i="39"/>
  <c r="J38" i="39"/>
  <c r="K38" i="39"/>
  <c r="E39" i="39"/>
  <c r="F39" i="39"/>
  <c r="G39" i="39"/>
  <c r="H39" i="39"/>
  <c r="I39" i="39"/>
  <c r="J39" i="39"/>
  <c r="K39" i="39"/>
  <c r="E40" i="39"/>
  <c r="F40" i="39"/>
  <c r="G40" i="39"/>
  <c r="H40" i="39"/>
  <c r="I40" i="39"/>
  <c r="J40" i="39"/>
  <c r="K40" i="39"/>
  <c r="E41" i="39"/>
  <c r="F41" i="39"/>
  <c r="G41" i="39"/>
  <c r="H41" i="39"/>
  <c r="I41" i="39"/>
  <c r="J41" i="39"/>
  <c r="K41" i="39"/>
  <c r="E42" i="39"/>
  <c r="F42" i="39"/>
  <c r="G42" i="39"/>
  <c r="H42" i="39"/>
  <c r="I42" i="39"/>
  <c r="J42" i="39"/>
  <c r="K42" i="39"/>
  <c r="E43" i="39"/>
  <c r="F43" i="39"/>
  <c r="G43" i="39"/>
  <c r="H43" i="39"/>
  <c r="I43" i="39"/>
  <c r="J43" i="39"/>
  <c r="K43" i="39"/>
  <c r="E44" i="39"/>
  <c r="F44" i="39"/>
  <c r="G44" i="39"/>
  <c r="H44" i="39"/>
  <c r="I44" i="39"/>
  <c r="J44" i="39"/>
  <c r="K44" i="39"/>
  <c r="E45" i="39"/>
  <c r="F45" i="39"/>
  <c r="G45" i="39"/>
  <c r="H45" i="39"/>
  <c r="I45" i="39"/>
  <c r="J45" i="39"/>
  <c r="K45" i="39"/>
  <c r="E46" i="39"/>
  <c r="F46" i="39"/>
  <c r="G46" i="39"/>
  <c r="H46" i="39"/>
  <c r="I46" i="39"/>
  <c r="J46" i="39"/>
  <c r="K46" i="39"/>
  <c r="E47" i="39"/>
  <c r="F47" i="39"/>
  <c r="G47" i="39"/>
  <c r="H47" i="39"/>
  <c r="I47" i="39"/>
  <c r="J47" i="39"/>
  <c r="K47" i="39"/>
  <c r="E48" i="39"/>
  <c r="F48" i="39"/>
  <c r="G48" i="39"/>
  <c r="H48" i="39"/>
  <c r="I48" i="39"/>
  <c r="J48" i="39"/>
  <c r="K48" i="39"/>
  <c r="E49" i="39"/>
  <c r="F49" i="39"/>
  <c r="G49" i="39"/>
  <c r="H49" i="39"/>
  <c r="I49" i="39"/>
  <c r="J49" i="39"/>
  <c r="K49" i="39"/>
  <c r="E50" i="39"/>
  <c r="F50" i="39"/>
  <c r="G50" i="39"/>
  <c r="H50" i="39"/>
  <c r="I50" i="39"/>
  <c r="J50" i="39"/>
  <c r="K50" i="39"/>
  <c r="K7" i="39"/>
  <c r="K52" i="39" s="1"/>
  <c r="J7" i="39"/>
  <c r="I7" i="39"/>
  <c r="I52" i="39" s="1"/>
  <c r="H7" i="39"/>
  <c r="G7" i="39"/>
  <c r="G52" i="39" s="1"/>
  <c r="F7" i="39"/>
  <c r="E7" i="39"/>
  <c r="AN7" i="39" s="1"/>
  <c r="Q68" i="39"/>
  <c r="Q70" i="39"/>
  <c r="Q71" i="39"/>
  <c r="Q72" i="39"/>
  <c r="Q73" i="39"/>
  <c r="Q8" i="39"/>
  <c r="Q32" i="39"/>
  <c r="AQ32" i="39" s="1"/>
  <c r="Q42" i="39"/>
  <c r="Q50" i="39"/>
  <c r="L97" i="37"/>
  <c r="M97" i="37"/>
  <c r="N97" i="37"/>
  <c r="O97" i="37"/>
  <c r="P97" i="37"/>
  <c r="K58" i="37"/>
  <c r="K59" i="37"/>
  <c r="K60" i="37"/>
  <c r="K61" i="37"/>
  <c r="K62" i="37"/>
  <c r="K65" i="37"/>
  <c r="K66" i="37"/>
  <c r="K67" i="37"/>
  <c r="K68" i="37"/>
  <c r="K69" i="37"/>
  <c r="K70" i="37"/>
  <c r="K71" i="37"/>
  <c r="K72" i="37"/>
  <c r="K73" i="37"/>
  <c r="K76" i="37"/>
  <c r="K77" i="37"/>
  <c r="K78" i="37"/>
  <c r="K79" i="37"/>
  <c r="K80" i="37"/>
  <c r="K81" i="37"/>
  <c r="K82" i="37"/>
  <c r="K83" i="37"/>
  <c r="K84" i="37"/>
  <c r="K85" i="37"/>
  <c r="K86" i="37"/>
  <c r="K87" i="37"/>
  <c r="K88" i="37"/>
  <c r="K89" i="37"/>
  <c r="K90" i="37"/>
  <c r="K91" i="37"/>
  <c r="K92" i="37"/>
  <c r="K93" i="37"/>
  <c r="K94" i="37"/>
  <c r="K95" i="37"/>
  <c r="E58" i="37"/>
  <c r="F58" i="37"/>
  <c r="G58" i="37"/>
  <c r="H58" i="37"/>
  <c r="I58" i="37"/>
  <c r="J58" i="37"/>
  <c r="E59" i="37"/>
  <c r="F59" i="37"/>
  <c r="G59" i="37"/>
  <c r="H59" i="37"/>
  <c r="I59" i="37"/>
  <c r="J59" i="37"/>
  <c r="E60" i="37"/>
  <c r="F60" i="37"/>
  <c r="G60" i="37"/>
  <c r="H60" i="37"/>
  <c r="I60" i="37"/>
  <c r="J60" i="37"/>
  <c r="E61" i="37"/>
  <c r="F61" i="37"/>
  <c r="G61" i="37"/>
  <c r="H61" i="37"/>
  <c r="I61" i="37"/>
  <c r="J61" i="37"/>
  <c r="E62" i="37"/>
  <c r="F62" i="37"/>
  <c r="G62" i="37"/>
  <c r="H62" i="37"/>
  <c r="I62" i="37"/>
  <c r="J62" i="37"/>
  <c r="E65" i="37"/>
  <c r="F65" i="37"/>
  <c r="G65" i="37"/>
  <c r="H65" i="37"/>
  <c r="I65" i="37"/>
  <c r="J65" i="37"/>
  <c r="E66" i="37"/>
  <c r="F66" i="37"/>
  <c r="G66" i="37"/>
  <c r="H66" i="37"/>
  <c r="I66" i="37"/>
  <c r="J66" i="37"/>
  <c r="E67" i="37"/>
  <c r="F67" i="37"/>
  <c r="G67" i="37"/>
  <c r="H67" i="37"/>
  <c r="I67" i="37"/>
  <c r="J67" i="37"/>
  <c r="E68" i="37"/>
  <c r="F68" i="37"/>
  <c r="G68" i="37"/>
  <c r="H68" i="37"/>
  <c r="I68" i="37"/>
  <c r="J68" i="37"/>
  <c r="E69" i="37"/>
  <c r="F69" i="37"/>
  <c r="G69" i="37"/>
  <c r="H69" i="37"/>
  <c r="I69" i="37"/>
  <c r="J69" i="37"/>
  <c r="E70" i="37"/>
  <c r="F70" i="37"/>
  <c r="G70" i="37"/>
  <c r="H70" i="37"/>
  <c r="I70" i="37"/>
  <c r="J70" i="37"/>
  <c r="E71" i="37"/>
  <c r="F71" i="37"/>
  <c r="G71" i="37"/>
  <c r="H71" i="37"/>
  <c r="I71" i="37"/>
  <c r="J71" i="37"/>
  <c r="E72" i="37"/>
  <c r="F72" i="37"/>
  <c r="G72" i="37"/>
  <c r="H72" i="37"/>
  <c r="I72" i="37"/>
  <c r="J72" i="37"/>
  <c r="E73" i="37"/>
  <c r="F73" i="37"/>
  <c r="G73" i="37"/>
  <c r="H73" i="37"/>
  <c r="I73" i="37"/>
  <c r="J73" i="37"/>
  <c r="E76" i="37"/>
  <c r="F76" i="37"/>
  <c r="G76" i="37"/>
  <c r="H76" i="37"/>
  <c r="I76" i="37"/>
  <c r="J76" i="37"/>
  <c r="E77" i="37"/>
  <c r="F77" i="37"/>
  <c r="G77" i="37"/>
  <c r="H77" i="37"/>
  <c r="I77" i="37"/>
  <c r="J77" i="37"/>
  <c r="E78" i="37"/>
  <c r="F78" i="37"/>
  <c r="G78" i="37"/>
  <c r="H78" i="37"/>
  <c r="I78" i="37"/>
  <c r="J78" i="37"/>
  <c r="E79" i="37"/>
  <c r="F79" i="37"/>
  <c r="G79" i="37"/>
  <c r="H79" i="37"/>
  <c r="I79" i="37"/>
  <c r="J79" i="37"/>
  <c r="E80" i="37"/>
  <c r="F80" i="37"/>
  <c r="G80" i="37"/>
  <c r="H80" i="37"/>
  <c r="I80" i="37"/>
  <c r="J80" i="37"/>
  <c r="E81" i="37"/>
  <c r="F81" i="37"/>
  <c r="G81" i="37"/>
  <c r="H81" i="37"/>
  <c r="I81" i="37"/>
  <c r="J81" i="37"/>
  <c r="E82" i="37"/>
  <c r="F82" i="37"/>
  <c r="G82" i="37"/>
  <c r="H82" i="37"/>
  <c r="I82" i="37"/>
  <c r="J82" i="37"/>
  <c r="E83" i="37"/>
  <c r="F83" i="37"/>
  <c r="G83" i="37"/>
  <c r="H83" i="37"/>
  <c r="I83" i="37"/>
  <c r="J83" i="37"/>
  <c r="E84" i="37"/>
  <c r="F84" i="37"/>
  <c r="G84" i="37"/>
  <c r="H84" i="37"/>
  <c r="I84" i="37"/>
  <c r="J84" i="37"/>
  <c r="E85" i="37"/>
  <c r="F85" i="37"/>
  <c r="G85" i="37"/>
  <c r="H85" i="37"/>
  <c r="I85" i="37"/>
  <c r="J85" i="37"/>
  <c r="E86" i="37"/>
  <c r="F86" i="37"/>
  <c r="G86" i="37"/>
  <c r="H86" i="37"/>
  <c r="I86" i="37"/>
  <c r="J86" i="37"/>
  <c r="E87" i="37"/>
  <c r="F87" i="37"/>
  <c r="G87" i="37"/>
  <c r="H87" i="37"/>
  <c r="I87" i="37"/>
  <c r="J87" i="37"/>
  <c r="E88" i="37"/>
  <c r="F88" i="37"/>
  <c r="G88" i="37"/>
  <c r="H88" i="37"/>
  <c r="I88" i="37"/>
  <c r="J88" i="37"/>
  <c r="E89" i="37"/>
  <c r="F89" i="37"/>
  <c r="G89" i="37"/>
  <c r="H89" i="37"/>
  <c r="I89" i="37"/>
  <c r="J89" i="37"/>
  <c r="E90" i="37"/>
  <c r="F90" i="37"/>
  <c r="G90" i="37"/>
  <c r="H90" i="37"/>
  <c r="I90" i="37"/>
  <c r="J90" i="37"/>
  <c r="E91" i="37"/>
  <c r="F91" i="37"/>
  <c r="G91" i="37"/>
  <c r="H91" i="37"/>
  <c r="I91" i="37"/>
  <c r="J91" i="37"/>
  <c r="E92" i="37"/>
  <c r="F92" i="37"/>
  <c r="G92" i="37"/>
  <c r="H92" i="37"/>
  <c r="I92" i="37"/>
  <c r="J92" i="37"/>
  <c r="E93" i="37"/>
  <c r="F93" i="37"/>
  <c r="G93" i="37"/>
  <c r="H93" i="37"/>
  <c r="I93" i="37"/>
  <c r="J93" i="37"/>
  <c r="E94" i="37"/>
  <c r="F94" i="37"/>
  <c r="G94" i="37"/>
  <c r="H94" i="37"/>
  <c r="I94" i="37"/>
  <c r="J94" i="37"/>
  <c r="E95" i="37"/>
  <c r="F95" i="37"/>
  <c r="G95" i="37"/>
  <c r="H95" i="37"/>
  <c r="I95" i="37"/>
  <c r="J95" i="37"/>
  <c r="K57" i="37"/>
  <c r="K97" i="37" s="1"/>
  <c r="J57" i="37"/>
  <c r="J97" i="37" s="1"/>
  <c r="G57" i="37"/>
  <c r="G97" i="37" s="1"/>
  <c r="G8" i="37"/>
  <c r="G9" i="37"/>
  <c r="G10" i="37"/>
  <c r="G11" i="37"/>
  <c r="G12" i="37"/>
  <c r="G13" i="37"/>
  <c r="G14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7" i="37"/>
  <c r="I57" i="37"/>
  <c r="I97" i="37" s="1"/>
  <c r="H57" i="37"/>
  <c r="H97" i="37" s="1"/>
  <c r="F57" i="37"/>
  <c r="F97" i="37" s="1"/>
  <c r="E57" i="37"/>
  <c r="L52" i="37"/>
  <c r="M52" i="37"/>
  <c r="M102" i="37" s="1"/>
  <c r="N52" i="37"/>
  <c r="O52" i="37"/>
  <c r="P52" i="37"/>
  <c r="E8" i="37"/>
  <c r="F8" i="37"/>
  <c r="H8" i="37"/>
  <c r="I8" i="37"/>
  <c r="J8" i="37"/>
  <c r="K8" i="37"/>
  <c r="E9" i="37"/>
  <c r="F9" i="37"/>
  <c r="H9" i="37"/>
  <c r="I9" i="37"/>
  <c r="J9" i="37"/>
  <c r="K9" i="37"/>
  <c r="E10" i="37"/>
  <c r="F10" i="37"/>
  <c r="H10" i="37"/>
  <c r="I10" i="37"/>
  <c r="J10" i="37"/>
  <c r="K10" i="37"/>
  <c r="E11" i="37"/>
  <c r="F11" i="37"/>
  <c r="H11" i="37"/>
  <c r="I11" i="37"/>
  <c r="J11" i="37"/>
  <c r="K11" i="37"/>
  <c r="E12" i="37"/>
  <c r="F12" i="37"/>
  <c r="H12" i="37"/>
  <c r="I12" i="37"/>
  <c r="J12" i="37"/>
  <c r="K12" i="37"/>
  <c r="E13" i="37"/>
  <c r="F13" i="37"/>
  <c r="H13" i="37"/>
  <c r="I13" i="37"/>
  <c r="J13" i="37"/>
  <c r="K13" i="37"/>
  <c r="E14" i="37"/>
  <c r="F14" i="37"/>
  <c r="H14" i="37"/>
  <c r="I14" i="37"/>
  <c r="J14" i="37"/>
  <c r="K14" i="37"/>
  <c r="E17" i="37"/>
  <c r="F17" i="37"/>
  <c r="H17" i="37"/>
  <c r="I17" i="37"/>
  <c r="J17" i="37"/>
  <c r="K17" i="37"/>
  <c r="E18" i="37"/>
  <c r="F18" i="37"/>
  <c r="H18" i="37"/>
  <c r="I18" i="37"/>
  <c r="J18" i="37"/>
  <c r="K18" i="37"/>
  <c r="E19" i="37"/>
  <c r="F19" i="37"/>
  <c r="H19" i="37"/>
  <c r="I19" i="37"/>
  <c r="J19" i="37"/>
  <c r="K19" i="37"/>
  <c r="E20" i="37"/>
  <c r="F20" i="37"/>
  <c r="H20" i="37"/>
  <c r="I20" i="37"/>
  <c r="J20" i="37"/>
  <c r="K20" i="37"/>
  <c r="E21" i="37"/>
  <c r="F21" i="37"/>
  <c r="H21" i="37"/>
  <c r="I21" i="37"/>
  <c r="J21" i="37"/>
  <c r="K21" i="37"/>
  <c r="E22" i="37"/>
  <c r="F22" i="37"/>
  <c r="H22" i="37"/>
  <c r="I22" i="37"/>
  <c r="J22" i="37"/>
  <c r="K22" i="37"/>
  <c r="E23" i="37"/>
  <c r="F23" i="37"/>
  <c r="H23" i="37"/>
  <c r="I23" i="37"/>
  <c r="J23" i="37"/>
  <c r="K23" i="37"/>
  <c r="E24" i="37"/>
  <c r="F24" i="37"/>
  <c r="H24" i="37"/>
  <c r="I24" i="37"/>
  <c r="J24" i="37"/>
  <c r="K24" i="37"/>
  <c r="E25" i="37"/>
  <c r="F25" i="37"/>
  <c r="H25" i="37"/>
  <c r="I25" i="37"/>
  <c r="J25" i="37"/>
  <c r="K25" i="37"/>
  <c r="E26" i="37"/>
  <c r="F26" i="37"/>
  <c r="H26" i="37"/>
  <c r="I26" i="37"/>
  <c r="J26" i="37"/>
  <c r="K26" i="37"/>
  <c r="E27" i="37"/>
  <c r="F27" i="37"/>
  <c r="H27" i="37"/>
  <c r="I27" i="37"/>
  <c r="J27" i="37"/>
  <c r="K27" i="37"/>
  <c r="E28" i="37"/>
  <c r="F28" i="37"/>
  <c r="H28" i="37"/>
  <c r="I28" i="37"/>
  <c r="J28" i="37"/>
  <c r="K28" i="37"/>
  <c r="E29" i="37"/>
  <c r="F29" i="37"/>
  <c r="H29" i="37"/>
  <c r="I29" i="37"/>
  <c r="J29" i="37"/>
  <c r="K29" i="37"/>
  <c r="E30" i="37"/>
  <c r="F30" i="37"/>
  <c r="H30" i="37"/>
  <c r="I30" i="37"/>
  <c r="J30" i="37"/>
  <c r="K30" i="37"/>
  <c r="E31" i="37"/>
  <c r="F31" i="37"/>
  <c r="H31" i="37"/>
  <c r="I31" i="37"/>
  <c r="J31" i="37"/>
  <c r="K31" i="37"/>
  <c r="E32" i="37"/>
  <c r="F32" i="37"/>
  <c r="H32" i="37"/>
  <c r="I32" i="37"/>
  <c r="J32" i="37"/>
  <c r="K32" i="37"/>
  <c r="E33" i="37"/>
  <c r="F33" i="37"/>
  <c r="H33" i="37"/>
  <c r="I33" i="37"/>
  <c r="J33" i="37"/>
  <c r="K33" i="37"/>
  <c r="E34" i="37"/>
  <c r="F34" i="37"/>
  <c r="H34" i="37"/>
  <c r="I34" i="37"/>
  <c r="J34" i="37"/>
  <c r="K34" i="37"/>
  <c r="E35" i="37"/>
  <c r="F35" i="37"/>
  <c r="H35" i="37"/>
  <c r="I35" i="37"/>
  <c r="J35" i="37"/>
  <c r="K35" i="37"/>
  <c r="E36" i="37"/>
  <c r="F36" i="37"/>
  <c r="H36" i="37"/>
  <c r="I36" i="37"/>
  <c r="J36" i="37"/>
  <c r="K36" i="37"/>
  <c r="E37" i="37"/>
  <c r="F37" i="37"/>
  <c r="H37" i="37"/>
  <c r="I37" i="37"/>
  <c r="J37" i="37"/>
  <c r="K37" i="37"/>
  <c r="E38" i="37"/>
  <c r="F38" i="37"/>
  <c r="H38" i="37"/>
  <c r="I38" i="37"/>
  <c r="J38" i="37"/>
  <c r="K38" i="37"/>
  <c r="E39" i="37"/>
  <c r="F39" i="37"/>
  <c r="H39" i="37"/>
  <c r="I39" i="37"/>
  <c r="J39" i="37"/>
  <c r="K39" i="37"/>
  <c r="E40" i="37"/>
  <c r="F40" i="37"/>
  <c r="H40" i="37"/>
  <c r="I40" i="37"/>
  <c r="J40" i="37"/>
  <c r="K40" i="37"/>
  <c r="E41" i="37"/>
  <c r="F41" i="37"/>
  <c r="H41" i="37"/>
  <c r="I41" i="37"/>
  <c r="J41" i="37"/>
  <c r="K41" i="37"/>
  <c r="E42" i="37"/>
  <c r="F42" i="37"/>
  <c r="H42" i="37"/>
  <c r="I42" i="37"/>
  <c r="J42" i="37"/>
  <c r="K42" i="37"/>
  <c r="E43" i="37"/>
  <c r="F43" i="37"/>
  <c r="H43" i="37"/>
  <c r="I43" i="37"/>
  <c r="J43" i="37"/>
  <c r="K43" i="37"/>
  <c r="E44" i="37"/>
  <c r="F44" i="37"/>
  <c r="H44" i="37"/>
  <c r="I44" i="37"/>
  <c r="J44" i="37"/>
  <c r="K44" i="37"/>
  <c r="E45" i="37"/>
  <c r="F45" i="37"/>
  <c r="H45" i="37"/>
  <c r="I45" i="37"/>
  <c r="J45" i="37"/>
  <c r="K45" i="37"/>
  <c r="E46" i="37"/>
  <c r="F46" i="37"/>
  <c r="H46" i="37"/>
  <c r="I46" i="37"/>
  <c r="J46" i="37"/>
  <c r="K46" i="37"/>
  <c r="E47" i="37"/>
  <c r="F47" i="37"/>
  <c r="H47" i="37"/>
  <c r="I47" i="37"/>
  <c r="J47" i="37"/>
  <c r="K47" i="37"/>
  <c r="E48" i="37"/>
  <c r="F48" i="37"/>
  <c r="H48" i="37"/>
  <c r="I48" i="37"/>
  <c r="J48" i="37"/>
  <c r="K48" i="37"/>
  <c r="E49" i="37"/>
  <c r="F49" i="37"/>
  <c r="H49" i="37"/>
  <c r="I49" i="37"/>
  <c r="J49" i="37"/>
  <c r="K49" i="37"/>
  <c r="E50" i="37"/>
  <c r="F50" i="37"/>
  <c r="G50" i="37"/>
  <c r="H50" i="37"/>
  <c r="I50" i="37"/>
  <c r="J50" i="37"/>
  <c r="K50" i="37"/>
  <c r="K7" i="37"/>
  <c r="J7" i="37"/>
  <c r="J52" i="37" s="1"/>
  <c r="J102" i="37" s="1"/>
  <c r="I7" i="37"/>
  <c r="I52" i="37" s="1"/>
  <c r="I102" i="37" s="1"/>
  <c r="H7" i="37"/>
  <c r="H52" i="37" s="1"/>
  <c r="H102" i="37" s="1"/>
  <c r="F7" i="37"/>
  <c r="F52" i="37" s="1"/>
  <c r="F102" i="37" s="1"/>
  <c r="E7" i="37"/>
  <c r="N102" i="37" l="1"/>
  <c r="BI52" i="37"/>
  <c r="O102" i="37"/>
  <c r="Q64" i="37"/>
  <c r="Q63" i="37"/>
  <c r="Q16" i="37"/>
  <c r="Q15" i="37"/>
  <c r="Q64" i="39"/>
  <c r="Q63" i="39"/>
  <c r="Q16" i="39"/>
  <c r="Q15" i="39"/>
  <c r="Q48" i="39"/>
  <c r="Q38" i="39"/>
  <c r="Q18" i="39"/>
  <c r="F52" i="39"/>
  <c r="F102" i="39" s="1"/>
  <c r="F107" i="39" s="1"/>
  <c r="H52" i="39"/>
  <c r="J52" i="39"/>
  <c r="J102" i="39" s="1"/>
  <c r="J107" i="39" s="1"/>
  <c r="F97" i="39"/>
  <c r="H97" i="39"/>
  <c r="H102" i="39" s="1"/>
  <c r="H107" i="39" s="1"/>
  <c r="J97" i="39"/>
  <c r="K52" i="37"/>
  <c r="K102" i="37" s="1"/>
  <c r="BH57" i="37"/>
  <c r="Q94" i="37"/>
  <c r="Q92" i="37"/>
  <c r="Q90" i="37"/>
  <c r="Q88" i="37"/>
  <c r="Q86" i="37"/>
  <c r="Q84" i="37"/>
  <c r="Q82" i="37"/>
  <c r="Q80" i="37"/>
  <c r="Q78" i="37"/>
  <c r="Q76" i="37"/>
  <c r="Q72" i="37"/>
  <c r="Q70" i="37"/>
  <c r="Q68" i="37"/>
  <c r="Q66" i="37"/>
  <c r="Q62" i="37"/>
  <c r="Q60" i="37"/>
  <c r="Q58" i="37"/>
  <c r="BH7" i="37"/>
  <c r="E52" i="37"/>
  <c r="Q38" i="37"/>
  <c r="Q37" i="37"/>
  <c r="Q36" i="37"/>
  <c r="Q35" i="37"/>
  <c r="Q34" i="37"/>
  <c r="Q33" i="37"/>
  <c r="Q32" i="37"/>
  <c r="Q31" i="37"/>
  <c r="Q30" i="37"/>
  <c r="Q29" i="37"/>
  <c r="Q28" i="37"/>
  <c r="Q27" i="37"/>
  <c r="Q26" i="37"/>
  <c r="Q25" i="37"/>
  <c r="Q24" i="37"/>
  <c r="Q23" i="37"/>
  <c r="Q22" i="37"/>
  <c r="Q21" i="37"/>
  <c r="Q20" i="37"/>
  <c r="Q19" i="37"/>
  <c r="Q18" i="37"/>
  <c r="Q17" i="37"/>
  <c r="Q14" i="37"/>
  <c r="Q13" i="37"/>
  <c r="Q12" i="37"/>
  <c r="Q11" i="37"/>
  <c r="BH10" i="37"/>
  <c r="Q10" i="37"/>
  <c r="BH9" i="37"/>
  <c r="Q9" i="37"/>
  <c r="BH8" i="37"/>
  <c r="Q8" i="37"/>
  <c r="Q49" i="37"/>
  <c r="Q47" i="37"/>
  <c r="Q45" i="37"/>
  <c r="Q43" i="37"/>
  <c r="Q41" i="37"/>
  <c r="Q39" i="37"/>
  <c r="Q50" i="37"/>
  <c r="Q48" i="37"/>
  <c r="Q46" i="37"/>
  <c r="Q44" i="37"/>
  <c r="Q42" i="37"/>
  <c r="Q40" i="37"/>
  <c r="Q95" i="37"/>
  <c r="Q93" i="37"/>
  <c r="Q91" i="37"/>
  <c r="Q89" i="37"/>
  <c r="Q87" i="37"/>
  <c r="Q85" i="37"/>
  <c r="Q83" i="37"/>
  <c r="Q81" i="37"/>
  <c r="Q79" i="37"/>
  <c r="Q77" i="37"/>
  <c r="Q73" i="37"/>
  <c r="Q71" i="37"/>
  <c r="Q69" i="37"/>
  <c r="Q67" i="37"/>
  <c r="Q65" i="37"/>
  <c r="Q61" i="37"/>
  <c r="Q59" i="37"/>
  <c r="G52" i="37"/>
  <c r="G102" i="37" s="1"/>
  <c r="E97" i="37"/>
  <c r="BH97" i="37" s="1"/>
  <c r="Q57" i="37"/>
  <c r="AP7" i="39"/>
  <c r="AP57" i="39"/>
  <c r="O57" i="39" s="1"/>
  <c r="AP46" i="39"/>
  <c r="AP44" i="39"/>
  <c r="N44" i="39" s="1"/>
  <c r="AP40" i="39"/>
  <c r="P40" i="39" s="1"/>
  <c r="AP36" i="39"/>
  <c r="O36" i="39" s="1"/>
  <c r="AP34" i="39"/>
  <c r="AP30" i="39"/>
  <c r="AP28" i="39"/>
  <c r="L28" i="39" s="1"/>
  <c r="AP24" i="39"/>
  <c r="L24" i="39" s="1"/>
  <c r="AP22" i="39"/>
  <c r="AP20" i="39"/>
  <c r="L20" i="39" s="1"/>
  <c r="AP14" i="39"/>
  <c r="N14" i="39" s="1"/>
  <c r="AP12" i="39"/>
  <c r="AP10" i="39"/>
  <c r="O10" i="39" s="1"/>
  <c r="AP95" i="39"/>
  <c r="O95" i="39" s="1"/>
  <c r="AP93" i="39"/>
  <c r="AP91" i="39"/>
  <c r="N91" i="39" s="1"/>
  <c r="AP89" i="39"/>
  <c r="AP87" i="39"/>
  <c r="O87" i="39" s="1"/>
  <c r="AP85" i="39"/>
  <c r="AP83" i="39"/>
  <c r="N83" i="39" s="1"/>
  <c r="AP81" i="39"/>
  <c r="AP79" i="39"/>
  <c r="O79" i="39" s="1"/>
  <c r="AP77" i="39"/>
  <c r="AP69" i="39"/>
  <c r="N69" i="39" s="1"/>
  <c r="AP67" i="39"/>
  <c r="AP65" i="39"/>
  <c r="O65" i="39" s="1"/>
  <c r="AP59" i="39"/>
  <c r="L59" i="39" s="1"/>
  <c r="AP49" i="39"/>
  <c r="AP47" i="39"/>
  <c r="N47" i="39" s="1"/>
  <c r="AP45" i="39"/>
  <c r="AP43" i="39"/>
  <c r="N43" i="39" s="1"/>
  <c r="AP39" i="39"/>
  <c r="P39" i="39" s="1"/>
  <c r="AP35" i="39"/>
  <c r="M35" i="39" s="1"/>
  <c r="AP31" i="39"/>
  <c r="O31" i="39" s="1"/>
  <c r="AP29" i="39"/>
  <c r="AP27" i="39"/>
  <c r="O27" i="39" s="1"/>
  <c r="AP25" i="39"/>
  <c r="AP23" i="39"/>
  <c r="O23" i="39" s="1"/>
  <c r="AP21" i="39"/>
  <c r="AP13" i="39"/>
  <c r="O13" i="39" s="1"/>
  <c r="AP11" i="39"/>
  <c r="AP9" i="39"/>
  <c r="O9" i="39" s="1"/>
  <c r="AP94" i="39"/>
  <c r="AP92" i="39"/>
  <c r="P92" i="39" s="1"/>
  <c r="AP90" i="39"/>
  <c r="AP88" i="39"/>
  <c r="P88" i="39" s="1"/>
  <c r="AP86" i="39"/>
  <c r="AP84" i="39"/>
  <c r="P84" i="39" s="1"/>
  <c r="AP82" i="39"/>
  <c r="AP80" i="39"/>
  <c r="P80" i="39" s="1"/>
  <c r="AP78" i="39"/>
  <c r="AP76" i="39"/>
  <c r="P76" i="39" s="1"/>
  <c r="AP66" i="39"/>
  <c r="M66" i="39" s="1"/>
  <c r="AP62" i="39"/>
  <c r="AP60" i="39"/>
  <c r="N60" i="39" s="1"/>
  <c r="AP58" i="39"/>
  <c r="O46" i="39"/>
  <c r="M46" i="39"/>
  <c r="P46" i="39"/>
  <c r="N46" i="39"/>
  <c r="L46" i="39"/>
  <c r="L40" i="39"/>
  <c r="P34" i="39"/>
  <c r="N34" i="39"/>
  <c r="L34" i="39"/>
  <c r="O34" i="39"/>
  <c r="M34" i="39"/>
  <c r="P30" i="39"/>
  <c r="N30" i="39"/>
  <c r="L30" i="39"/>
  <c r="O30" i="39"/>
  <c r="M30" i="39"/>
  <c r="P28" i="39"/>
  <c r="P26" i="39"/>
  <c r="N26" i="39"/>
  <c r="L26" i="39"/>
  <c r="O26" i="39"/>
  <c r="M26" i="39"/>
  <c r="M24" i="39"/>
  <c r="P22" i="39"/>
  <c r="N22" i="39"/>
  <c r="L22" i="39"/>
  <c r="O22" i="39"/>
  <c r="M22" i="39"/>
  <c r="P20" i="39"/>
  <c r="O14" i="39"/>
  <c r="P12" i="39"/>
  <c r="N12" i="39"/>
  <c r="L12" i="39"/>
  <c r="O12" i="39"/>
  <c r="M12" i="39"/>
  <c r="N10" i="39"/>
  <c r="N95" i="39"/>
  <c r="P93" i="39"/>
  <c r="N93" i="39"/>
  <c r="L93" i="39"/>
  <c r="O93" i="39"/>
  <c r="M93" i="39"/>
  <c r="O91" i="39"/>
  <c r="P89" i="39"/>
  <c r="N89" i="39"/>
  <c r="L89" i="39"/>
  <c r="O89" i="39"/>
  <c r="M89" i="39"/>
  <c r="N87" i="39"/>
  <c r="P85" i="39"/>
  <c r="N85" i="39"/>
  <c r="L85" i="39"/>
  <c r="O85" i="39"/>
  <c r="M85" i="39"/>
  <c r="O83" i="39"/>
  <c r="P81" i="39"/>
  <c r="N81" i="39"/>
  <c r="L81" i="39"/>
  <c r="O81" i="39"/>
  <c r="M81" i="39"/>
  <c r="N79" i="39"/>
  <c r="P77" i="39"/>
  <c r="N77" i="39"/>
  <c r="L77" i="39"/>
  <c r="O77" i="39"/>
  <c r="M77" i="39"/>
  <c r="O69" i="39"/>
  <c r="P67" i="39"/>
  <c r="N67" i="39"/>
  <c r="L67" i="39"/>
  <c r="O67" i="39"/>
  <c r="M67" i="39"/>
  <c r="N65" i="39"/>
  <c r="M59" i="39"/>
  <c r="O7" i="39"/>
  <c r="M7" i="39"/>
  <c r="P7" i="39"/>
  <c r="N7" i="39"/>
  <c r="L7" i="39"/>
  <c r="P49" i="39"/>
  <c r="N49" i="39"/>
  <c r="L49" i="39"/>
  <c r="O49" i="39"/>
  <c r="M49" i="39"/>
  <c r="P45" i="39"/>
  <c r="O45" i="39"/>
  <c r="M45" i="39"/>
  <c r="N45" i="39"/>
  <c r="L45" i="39"/>
  <c r="O39" i="39"/>
  <c r="N35" i="39"/>
  <c r="O29" i="39"/>
  <c r="M29" i="39"/>
  <c r="P29" i="39"/>
  <c r="N29" i="39"/>
  <c r="L29" i="39"/>
  <c r="AO29" i="39" s="1"/>
  <c r="O25" i="39"/>
  <c r="M25" i="39"/>
  <c r="P25" i="39"/>
  <c r="N25" i="39"/>
  <c r="L25" i="39"/>
  <c r="O21" i="39"/>
  <c r="M21" i="39"/>
  <c r="P21" i="39"/>
  <c r="N21" i="39"/>
  <c r="L21" i="39"/>
  <c r="O11" i="39"/>
  <c r="M11" i="39"/>
  <c r="P11" i="39"/>
  <c r="N11" i="39"/>
  <c r="L11" i="39"/>
  <c r="N57" i="39"/>
  <c r="G102" i="39"/>
  <c r="G107" i="39" s="1"/>
  <c r="I102" i="39"/>
  <c r="I107" i="39" s="1"/>
  <c r="K102" i="39"/>
  <c r="K107" i="39" s="1"/>
  <c r="O94" i="39"/>
  <c r="M94" i="39"/>
  <c r="P94" i="39"/>
  <c r="N94" i="39"/>
  <c r="L94" i="39"/>
  <c r="AO94" i="39" s="1"/>
  <c r="L92" i="39"/>
  <c r="O90" i="39"/>
  <c r="M90" i="39"/>
  <c r="P90" i="39"/>
  <c r="N90" i="39"/>
  <c r="L90" i="39"/>
  <c r="AO90" i="39" s="1"/>
  <c r="O88" i="39"/>
  <c r="O86" i="39"/>
  <c r="M86" i="39"/>
  <c r="P86" i="39"/>
  <c r="N86" i="39"/>
  <c r="L86" i="39"/>
  <c r="L84" i="39"/>
  <c r="O82" i="39"/>
  <c r="M82" i="39"/>
  <c r="P82" i="39"/>
  <c r="N82" i="39"/>
  <c r="L82" i="39"/>
  <c r="O80" i="39"/>
  <c r="O78" i="39"/>
  <c r="M78" i="39"/>
  <c r="P78" i="39"/>
  <c r="N78" i="39"/>
  <c r="L78" i="39"/>
  <c r="L76" i="39"/>
  <c r="O62" i="39"/>
  <c r="M62" i="39"/>
  <c r="P62" i="39"/>
  <c r="N62" i="39"/>
  <c r="L62" i="39"/>
  <c r="AO62" i="39" s="1"/>
  <c r="O58" i="39"/>
  <c r="M58" i="39"/>
  <c r="P58" i="39"/>
  <c r="N58" i="39"/>
  <c r="L58" i="39"/>
  <c r="E52" i="39"/>
  <c r="E97" i="39"/>
  <c r="Q41" i="39"/>
  <c r="Q37" i="39"/>
  <c r="Q33" i="39"/>
  <c r="Q19" i="39"/>
  <c r="Q17" i="39"/>
  <c r="BI97" i="37"/>
  <c r="L102" i="37"/>
  <c r="P102" i="37"/>
  <c r="Q97" i="37"/>
  <c r="Q7" i="37"/>
  <c r="Q52" i="37" s="1"/>
  <c r="H126" i="38"/>
  <c r="H125" i="38"/>
  <c r="H123" i="38"/>
  <c r="H121" i="38"/>
  <c r="H120" i="38"/>
  <c r="H116" i="38"/>
  <c r="H117" i="38"/>
  <c r="H118" i="38"/>
  <c r="H115" i="38"/>
  <c r="H113" i="38"/>
  <c r="H103" i="38"/>
  <c r="H104" i="38"/>
  <c r="H105" i="38"/>
  <c r="H106" i="38"/>
  <c r="H107" i="38"/>
  <c r="H108" i="38"/>
  <c r="H109" i="38"/>
  <c r="H110" i="38"/>
  <c r="H111" i="38"/>
  <c r="H112" i="38"/>
  <c r="H102" i="38"/>
  <c r="H100" i="38"/>
  <c r="H99" i="38"/>
  <c r="H97" i="38"/>
  <c r="H96" i="38"/>
  <c r="H91" i="38"/>
  <c r="H92" i="38"/>
  <c r="H93" i="38"/>
  <c r="H94" i="38"/>
  <c r="H90" i="38"/>
  <c r="H84" i="38"/>
  <c r="H85" i="38"/>
  <c r="H86" i="38"/>
  <c r="H87" i="38"/>
  <c r="H88" i="38"/>
  <c r="H83" i="38"/>
  <c r="H81" i="38"/>
  <c r="H68" i="38"/>
  <c r="H69" i="38"/>
  <c r="H67" i="38"/>
  <c r="H63" i="38"/>
  <c r="H64" i="38"/>
  <c r="H65" i="38"/>
  <c r="H62" i="38"/>
  <c r="H60" i="38"/>
  <c r="H58" i="38"/>
  <c r="H56" i="38"/>
  <c r="H54" i="38"/>
  <c r="H52" i="38"/>
  <c r="H51" i="38"/>
  <c r="H49" i="38"/>
  <c r="H47" i="38"/>
  <c r="H46" i="38"/>
  <c r="H44" i="38"/>
  <c r="H41" i="38"/>
  <c r="H42" i="38"/>
  <c r="H40" i="38"/>
  <c r="H38" i="38"/>
  <c r="H36" i="38"/>
  <c r="H35" i="38"/>
  <c r="H33" i="38"/>
  <c r="H32" i="38"/>
  <c r="H30" i="38"/>
  <c r="H29" i="38"/>
  <c r="H27" i="38"/>
  <c r="H25" i="38"/>
  <c r="H26" i="38"/>
  <c r="H24" i="38"/>
  <c r="H20" i="38"/>
  <c r="H21" i="38"/>
  <c r="H22" i="38"/>
  <c r="H19" i="38"/>
  <c r="H17" i="38"/>
  <c r="H16" i="38"/>
  <c r="H14" i="38"/>
  <c r="H13" i="38"/>
  <c r="H11" i="38"/>
  <c r="H8" i="38"/>
  <c r="H9" i="38"/>
  <c r="H7" i="38"/>
  <c r="H5" i="38"/>
  <c r="H4" i="38"/>
  <c r="AO46" i="39" l="1"/>
  <c r="AO21" i="39"/>
  <c r="Q21" i="39"/>
  <c r="AO82" i="39"/>
  <c r="AO86" i="39"/>
  <c r="AO78" i="39"/>
  <c r="AO58" i="39"/>
  <c r="AO67" i="39"/>
  <c r="AO77" i="39"/>
  <c r="AO81" i="39"/>
  <c r="AO85" i="39"/>
  <c r="AO89" i="39"/>
  <c r="AO93" i="39"/>
  <c r="AO49" i="39"/>
  <c r="AO22" i="39"/>
  <c r="AO26" i="39"/>
  <c r="AO30" i="39"/>
  <c r="Q11" i="39"/>
  <c r="AO11" i="39"/>
  <c r="Q25" i="39"/>
  <c r="AQ25" i="39" s="1"/>
  <c r="AO25" i="39"/>
  <c r="Q45" i="39"/>
  <c r="AO45" i="39"/>
  <c r="AO12" i="39"/>
  <c r="AO34" i="39"/>
  <c r="Q102" i="37"/>
  <c r="Q29" i="39"/>
  <c r="Q7" i="39"/>
  <c r="M60" i="39"/>
  <c r="N66" i="39"/>
  <c r="O76" i="39"/>
  <c r="L80" i="39"/>
  <c r="O84" i="39"/>
  <c r="L88" i="39"/>
  <c r="O92" i="39"/>
  <c r="P9" i="39"/>
  <c r="P13" i="39"/>
  <c r="P23" i="39"/>
  <c r="P27" i="39"/>
  <c r="P31" i="39"/>
  <c r="L39" i="39"/>
  <c r="M43" i="39"/>
  <c r="O47" i="39"/>
  <c r="P59" i="39"/>
  <c r="M20" i="39"/>
  <c r="P24" i="39"/>
  <c r="M28" i="39"/>
  <c r="N36" i="39"/>
  <c r="O44" i="39"/>
  <c r="Q49" i="39"/>
  <c r="AQ49" i="39" s="1"/>
  <c r="AN52" i="39"/>
  <c r="L9" i="39"/>
  <c r="L13" i="39"/>
  <c r="L23" i="39"/>
  <c r="L27" i="39"/>
  <c r="L31" i="39"/>
  <c r="M40" i="39"/>
  <c r="O60" i="39"/>
  <c r="P60" i="39"/>
  <c r="L60" i="39"/>
  <c r="AO60" i="39" s="1"/>
  <c r="O66" i="39"/>
  <c r="P66" i="39"/>
  <c r="L66" i="39"/>
  <c r="M76" i="39"/>
  <c r="AO76" i="39" s="1"/>
  <c r="N76" i="39"/>
  <c r="M80" i="39"/>
  <c r="N80" i="39"/>
  <c r="M84" i="39"/>
  <c r="AO84" i="39" s="1"/>
  <c r="N84" i="39"/>
  <c r="M88" i="39"/>
  <c r="N88" i="39"/>
  <c r="M92" i="39"/>
  <c r="N92" i="39"/>
  <c r="M9" i="39"/>
  <c r="N9" i="39"/>
  <c r="M13" i="39"/>
  <c r="N13" i="39"/>
  <c r="M23" i="39"/>
  <c r="N23" i="39"/>
  <c r="M27" i="39"/>
  <c r="N27" i="39"/>
  <c r="M31" i="39"/>
  <c r="N31" i="39"/>
  <c r="O35" i="39"/>
  <c r="P35" i="39"/>
  <c r="L35" i="39"/>
  <c r="M39" i="39"/>
  <c r="N39" i="39"/>
  <c r="O43" i="39"/>
  <c r="P43" i="39"/>
  <c r="L43" i="39"/>
  <c r="P47" i="39"/>
  <c r="L47" i="39"/>
  <c r="M47" i="39"/>
  <c r="N59" i="39"/>
  <c r="O59" i="39"/>
  <c r="P65" i="39"/>
  <c r="L65" i="39"/>
  <c r="AO65" i="39" s="1"/>
  <c r="M65" i="39"/>
  <c r="P69" i="39"/>
  <c r="L69" i="39"/>
  <c r="M69" i="39"/>
  <c r="P79" i="39"/>
  <c r="L79" i="39"/>
  <c r="AO79" i="39" s="1"/>
  <c r="M79" i="39"/>
  <c r="P83" i="39"/>
  <c r="L83" i="39"/>
  <c r="M83" i="39"/>
  <c r="P87" i="39"/>
  <c r="L87" i="39"/>
  <c r="AO87" i="39" s="1"/>
  <c r="M87" i="39"/>
  <c r="P91" i="39"/>
  <c r="L91" i="39"/>
  <c r="M91" i="39"/>
  <c r="P95" i="39"/>
  <c r="L95" i="39"/>
  <c r="AO95" i="39" s="1"/>
  <c r="M95" i="39"/>
  <c r="P10" i="39"/>
  <c r="L10" i="39"/>
  <c r="AO10" i="39" s="1"/>
  <c r="M10" i="39"/>
  <c r="P14" i="39"/>
  <c r="L14" i="39"/>
  <c r="M14" i="39"/>
  <c r="N20" i="39"/>
  <c r="O20" i="39"/>
  <c r="N24" i="39"/>
  <c r="O24" i="39"/>
  <c r="N28" i="39"/>
  <c r="O28" i="39"/>
  <c r="P36" i="39"/>
  <c r="L36" i="39"/>
  <c r="AO36" i="39" s="1"/>
  <c r="M36" i="39"/>
  <c r="N40" i="39"/>
  <c r="O40" i="39"/>
  <c r="P44" i="39"/>
  <c r="L44" i="39"/>
  <c r="M44" i="39"/>
  <c r="P57" i="39"/>
  <c r="L57" i="39"/>
  <c r="M57" i="39"/>
  <c r="BH52" i="37"/>
  <c r="E102" i="37"/>
  <c r="BH102" i="37" s="1"/>
  <c r="AP52" i="39"/>
  <c r="AN97" i="39"/>
  <c r="AP97" i="39" s="1"/>
  <c r="E102" i="39"/>
  <c r="Q58" i="39"/>
  <c r="J92" i="38" s="1"/>
  <c r="Q62" i="39"/>
  <c r="J94" i="38" s="1"/>
  <c r="Q91" i="39"/>
  <c r="Q22" i="39"/>
  <c r="Q26" i="39"/>
  <c r="Q30" i="39"/>
  <c r="Q78" i="39"/>
  <c r="J100" i="38" s="1"/>
  <c r="Q82" i="39"/>
  <c r="J107" i="38" s="1"/>
  <c r="Q86" i="39"/>
  <c r="J110" i="38" s="1"/>
  <c r="Q90" i="39"/>
  <c r="Q94" i="39"/>
  <c r="AO7" i="39"/>
  <c r="Q61" i="39"/>
  <c r="Q67" i="39"/>
  <c r="J84" i="38" s="1"/>
  <c r="Q77" i="39"/>
  <c r="Q81" i="39"/>
  <c r="J109" i="38" s="1"/>
  <c r="Q85" i="39"/>
  <c r="J102" i="38" s="1"/>
  <c r="Q89" i="39"/>
  <c r="J112" i="38" s="1"/>
  <c r="Q93" i="39"/>
  <c r="Q12" i="39"/>
  <c r="AQ12" i="39" s="1"/>
  <c r="Q34" i="39"/>
  <c r="Q46" i="39"/>
  <c r="BI102" i="37"/>
  <c r="H127" i="38"/>
  <c r="H124" i="38"/>
  <c r="H122" i="38"/>
  <c r="H119" i="38"/>
  <c r="H114" i="38"/>
  <c r="H101" i="38"/>
  <c r="H98" i="38"/>
  <c r="H95" i="38"/>
  <c r="H89" i="38"/>
  <c r="H82" i="38"/>
  <c r="H70" i="38"/>
  <c r="H66" i="38"/>
  <c r="H61" i="38"/>
  <c r="H59" i="38"/>
  <c r="H57" i="38"/>
  <c r="H55" i="38"/>
  <c r="H53" i="38"/>
  <c r="H50" i="38"/>
  <c r="H48" i="38"/>
  <c r="H45" i="38"/>
  <c r="H43" i="38"/>
  <c r="H39" i="38"/>
  <c r="H37" i="38"/>
  <c r="H34" i="38"/>
  <c r="H31" i="38"/>
  <c r="H28" i="38"/>
  <c r="H23" i="38"/>
  <c r="H18" i="38"/>
  <c r="H15" i="38"/>
  <c r="H12" i="38"/>
  <c r="H10" i="38"/>
  <c r="H6" i="38"/>
  <c r="E4" i="38"/>
  <c r="J85" i="38"/>
  <c r="J87" i="38"/>
  <c r="J88" i="38"/>
  <c r="J90" i="38"/>
  <c r="J97" i="38"/>
  <c r="J113" i="38"/>
  <c r="J115" i="38"/>
  <c r="J116" i="38"/>
  <c r="J117" i="38"/>
  <c r="J118" i="38"/>
  <c r="I83" i="38"/>
  <c r="I84" i="38"/>
  <c r="I85" i="38"/>
  <c r="I86" i="38"/>
  <c r="I87" i="38"/>
  <c r="I88" i="38"/>
  <c r="I90" i="38"/>
  <c r="I91" i="38"/>
  <c r="I92" i="38"/>
  <c r="I93" i="38"/>
  <c r="I94" i="38"/>
  <c r="I96" i="38"/>
  <c r="I97" i="38"/>
  <c r="I99" i="38"/>
  <c r="I100" i="38"/>
  <c r="I102" i="38"/>
  <c r="I103" i="38"/>
  <c r="I104" i="38"/>
  <c r="I105" i="38"/>
  <c r="I106" i="38"/>
  <c r="I107" i="38"/>
  <c r="I108" i="38"/>
  <c r="I109" i="38"/>
  <c r="I110" i="38"/>
  <c r="I111" i="38"/>
  <c r="I112" i="38"/>
  <c r="I113" i="38"/>
  <c r="I115" i="38"/>
  <c r="I116" i="38"/>
  <c r="I117" i="38"/>
  <c r="I118" i="38"/>
  <c r="I120" i="38"/>
  <c r="I121" i="38"/>
  <c r="I123" i="38"/>
  <c r="I124" i="38" s="1"/>
  <c r="I125" i="38"/>
  <c r="I126" i="38"/>
  <c r="I81" i="38"/>
  <c r="I82" i="38" s="1"/>
  <c r="J69" i="38"/>
  <c r="J5" i="38"/>
  <c r="J9" i="38"/>
  <c r="J13" i="38"/>
  <c r="J14" i="38"/>
  <c r="J21" i="38"/>
  <c r="J22" i="38"/>
  <c r="J24" i="38"/>
  <c r="J25" i="38"/>
  <c r="J32" i="38"/>
  <c r="J33" i="38"/>
  <c r="J36" i="38"/>
  <c r="J40" i="38"/>
  <c r="J44" i="38"/>
  <c r="J45" i="38" s="1"/>
  <c r="J49" i="38"/>
  <c r="J52" i="38"/>
  <c r="J58" i="38"/>
  <c r="J60" i="38"/>
  <c r="J61" i="38" s="1"/>
  <c r="J62" i="38"/>
  <c r="J63" i="38"/>
  <c r="J64" i="38"/>
  <c r="J65" i="38"/>
  <c r="J67" i="38"/>
  <c r="J68" i="38"/>
  <c r="J4" i="38"/>
  <c r="I5" i="38"/>
  <c r="I7" i="38"/>
  <c r="I8" i="38"/>
  <c r="I9" i="38"/>
  <c r="I11" i="38"/>
  <c r="I12" i="38" s="1"/>
  <c r="I13" i="38"/>
  <c r="I14" i="38"/>
  <c r="I16" i="38"/>
  <c r="I17" i="38"/>
  <c r="I19" i="38"/>
  <c r="I20" i="38"/>
  <c r="I21" i="38"/>
  <c r="I22" i="38"/>
  <c r="I24" i="38"/>
  <c r="I25" i="38"/>
  <c r="I26" i="38"/>
  <c r="I27" i="38"/>
  <c r="I29" i="38"/>
  <c r="I30" i="38"/>
  <c r="I32" i="38"/>
  <c r="I33" i="38"/>
  <c r="I35" i="38"/>
  <c r="I36" i="38"/>
  <c r="I38" i="38"/>
  <c r="I39" i="38" s="1"/>
  <c r="I40" i="38"/>
  <c r="I41" i="38"/>
  <c r="I42" i="38"/>
  <c r="I44" i="38"/>
  <c r="I45" i="38" s="1"/>
  <c r="I46" i="38"/>
  <c r="I47" i="38"/>
  <c r="I49" i="38"/>
  <c r="I50" i="38" s="1"/>
  <c r="I51" i="38"/>
  <c r="I52" i="38"/>
  <c r="I54" i="38"/>
  <c r="I55" i="38" s="1"/>
  <c r="I56" i="38"/>
  <c r="I57" i="38" s="1"/>
  <c r="I58" i="38"/>
  <c r="I59" i="38" s="1"/>
  <c r="I60" i="38"/>
  <c r="I61" i="38" s="1"/>
  <c r="I62" i="38"/>
  <c r="I63" i="38"/>
  <c r="I64" i="38"/>
  <c r="I65" i="38"/>
  <c r="I67" i="38"/>
  <c r="I68" i="38"/>
  <c r="I69" i="38"/>
  <c r="I4" i="38"/>
  <c r="I6" i="38" s="1"/>
  <c r="AO24" i="39" l="1"/>
  <c r="AO35" i="39"/>
  <c r="AO40" i="39"/>
  <c r="AO28" i="39"/>
  <c r="AO20" i="39"/>
  <c r="AO92" i="39"/>
  <c r="J123" i="38"/>
  <c r="AR93" i="39"/>
  <c r="J99" i="38"/>
  <c r="AR77" i="39"/>
  <c r="J125" i="38"/>
  <c r="J120" i="38"/>
  <c r="AO88" i="39"/>
  <c r="AO80" i="39"/>
  <c r="AO57" i="39"/>
  <c r="AO91" i="39"/>
  <c r="Q83" i="39"/>
  <c r="J106" i="38" s="1"/>
  <c r="AO83" i="39"/>
  <c r="Q69" i="39"/>
  <c r="J86" i="38" s="1"/>
  <c r="AO69" i="39"/>
  <c r="Q59" i="39"/>
  <c r="J93" i="38" s="1"/>
  <c r="AO66" i="39"/>
  <c r="O97" i="39"/>
  <c r="AO59" i="39"/>
  <c r="J11" i="38"/>
  <c r="AO44" i="39"/>
  <c r="AO14" i="39"/>
  <c r="AO31" i="39"/>
  <c r="AO23" i="39"/>
  <c r="AO9" i="39"/>
  <c r="J56" i="38"/>
  <c r="J57" i="38" s="1"/>
  <c r="AQ46" i="39"/>
  <c r="J51" i="38"/>
  <c r="AR26" i="39"/>
  <c r="AO47" i="39"/>
  <c r="AO43" i="39"/>
  <c r="AO27" i="39"/>
  <c r="AO13" i="39"/>
  <c r="AO39" i="39"/>
  <c r="J35" i="38"/>
  <c r="AR29" i="39"/>
  <c r="P52" i="39"/>
  <c r="N97" i="39"/>
  <c r="M97" i="39"/>
  <c r="Q57" i="39"/>
  <c r="P97" i="39"/>
  <c r="P102" i="39" s="1"/>
  <c r="P107" i="39" s="1"/>
  <c r="Q44" i="39"/>
  <c r="J47" i="38" s="1"/>
  <c r="Q40" i="39"/>
  <c r="J17" i="38" s="1"/>
  <c r="Q36" i="39"/>
  <c r="J42" i="38" s="1"/>
  <c r="Q28" i="39"/>
  <c r="J30" i="38" s="1"/>
  <c r="Q24" i="39"/>
  <c r="J27" i="38" s="1"/>
  <c r="Q20" i="39"/>
  <c r="Q14" i="39"/>
  <c r="J19" i="38" s="1"/>
  <c r="Q10" i="39"/>
  <c r="J8" i="38" s="1"/>
  <c r="Q35" i="39"/>
  <c r="J41" i="38" s="1"/>
  <c r="J43" i="38" s="1"/>
  <c r="Q92" i="39"/>
  <c r="J121" i="38" s="1"/>
  <c r="J122" i="38" s="1"/>
  <c r="Q88" i="39"/>
  <c r="J111" i="38" s="1"/>
  <c r="Q84" i="39"/>
  <c r="J103" i="38" s="1"/>
  <c r="Q80" i="39"/>
  <c r="J104" i="38" s="1"/>
  <c r="Q76" i="39"/>
  <c r="AR76" i="39" s="1"/>
  <c r="Q95" i="39"/>
  <c r="J126" i="38" s="1"/>
  <c r="Q87" i="39"/>
  <c r="J108" i="38" s="1"/>
  <c r="Q79" i="39"/>
  <c r="Q65" i="39"/>
  <c r="N52" i="39"/>
  <c r="O52" i="39"/>
  <c r="M52" i="39"/>
  <c r="Q66" i="39"/>
  <c r="Q60" i="39"/>
  <c r="J91" i="38" s="1"/>
  <c r="L52" i="39"/>
  <c r="L97" i="39"/>
  <c r="Q31" i="39"/>
  <c r="Q47" i="39"/>
  <c r="AQ47" i="39" s="1"/>
  <c r="Q43" i="39"/>
  <c r="Q39" i="39"/>
  <c r="Q27" i="39"/>
  <c r="Q23" i="39"/>
  <c r="J26" i="38" s="1"/>
  <c r="Q13" i="39"/>
  <c r="Q9" i="39"/>
  <c r="O102" i="39"/>
  <c r="O107" i="39" s="1"/>
  <c r="N102" i="39"/>
  <c r="N107" i="39" s="1"/>
  <c r="M102" i="39"/>
  <c r="M107" i="39" s="1"/>
  <c r="AN102" i="39"/>
  <c r="AP102" i="39" s="1"/>
  <c r="E107" i="39"/>
  <c r="AO97" i="39"/>
  <c r="I48" i="38"/>
  <c r="I70" i="38"/>
  <c r="I66" i="38"/>
  <c r="I53" i="38"/>
  <c r="I37" i="38"/>
  <c r="I34" i="38"/>
  <c r="I31" i="38"/>
  <c r="I28" i="38"/>
  <c r="I23" i="38"/>
  <c r="I18" i="38"/>
  <c r="I15" i="38"/>
  <c r="I10" i="38"/>
  <c r="I127" i="38"/>
  <c r="I95" i="38"/>
  <c r="I89" i="38"/>
  <c r="I43" i="38"/>
  <c r="I122" i="38"/>
  <c r="I119" i="38"/>
  <c r="I114" i="38"/>
  <c r="I101" i="38"/>
  <c r="I98" i="38"/>
  <c r="M4" i="38"/>
  <c r="H129" i="38"/>
  <c r="H72" i="38"/>
  <c r="J34" i="38"/>
  <c r="J59" i="38"/>
  <c r="J66" i="38"/>
  <c r="J15" i="38"/>
  <c r="J101" i="38"/>
  <c r="J12" i="38"/>
  <c r="J124" i="38"/>
  <c r="J53" i="38"/>
  <c r="J127" i="38"/>
  <c r="J50" i="38"/>
  <c r="J37" i="38"/>
  <c r="J70" i="38"/>
  <c r="J119" i="38"/>
  <c r="J6" i="38"/>
  <c r="J95" i="38" l="1"/>
  <c r="L102" i="39"/>
  <c r="L107" i="39" s="1"/>
  <c r="Q97" i="39"/>
  <c r="AQ21" i="39"/>
  <c r="J28" i="38"/>
  <c r="AO52" i="39"/>
  <c r="AR91" i="39"/>
  <c r="AR94" i="39"/>
  <c r="J83" i="38"/>
  <c r="J89" i="38" s="1"/>
  <c r="AR66" i="39"/>
  <c r="J81" i="38"/>
  <c r="J82" i="38" s="1"/>
  <c r="AR57" i="39"/>
  <c r="J7" i="38"/>
  <c r="J10" i="38" s="1"/>
  <c r="AQ9" i="39"/>
  <c r="J16" i="38"/>
  <c r="J18" i="38" s="1"/>
  <c r="AQ39" i="39"/>
  <c r="J54" i="38"/>
  <c r="J55" i="38" s="1"/>
  <c r="AQ20" i="39"/>
  <c r="AQ34" i="39"/>
  <c r="Q52" i="39"/>
  <c r="J29" i="38"/>
  <c r="J31" i="38" s="1"/>
  <c r="AQ27" i="39"/>
  <c r="J46" i="38"/>
  <c r="J48" i="38" s="1"/>
  <c r="AQ43" i="39"/>
  <c r="J38" i="38"/>
  <c r="J39" i="38" s="1"/>
  <c r="AR31" i="39"/>
  <c r="J20" i="38"/>
  <c r="J23" i="38" s="1"/>
  <c r="J72" i="38" s="1"/>
  <c r="AR13" i="39"/>
  <c r="AR52" i="39" s="1"/>
  <c r="J105" i="38"/>
  <c r="J114" i="38" s="1"/>
  <c r="AR79" i="39"/>
  <c r="J96" i="38"/>
  <c r="J98" i="38" s="1"/>
  <c r="AR65" i="39"/>
  <c r="AR58" i="39"/>
  <c r="AR97" i="39" s="1"/>
  <c r="Q102" i="39"/>
  <c r="Q104" i="39" s="1"/>
  <c r="AO102" i="39"/>
  <c r="I129" i="38"/>
  <c r="I72" i="38"/>
  <c r="H133" i="38"/>
  <c r="G83" i="38"/>
  <c r="G84" i="38"/>
  <c r="G85" i="38"/>
  <c r="G86" i="38"/>
  <c r="G87" i="38"/>
  <c r="G88" i="38"/>
  <c r="G90" i="38"/>
  <c r="G91" i="38"/>
  <c r="G92" i="38"/>
  <c r="G93" i="38"/>
  <c r="G94" i="38"/>
  <c r="G96" i="38"/>
  <c r="G97" i="38"/>
  <c r="G99" i="38"/>
  <c r="G100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5" i="38"/>
  <c r="G116" i="38"/>
  <c r="G117" i="38"/>
  <c r="G118" i="38"/>
  <c r="G120" i="38"/>
  <c r="G121" i="38"/>
  <c r="G123" i="38"/>
  <c r="G124" i="38" s="1"/>
  <c r="G125" i="38"/>
  <c r="G127" i="38" s="1"/>
  <c r="G126" i="38"/>
  <c r="G81" i="38"/>
  <c r="G82" i="38" s="1"/>
  <c r="G7" i="38"/>
  <c r="G8" i="38"/>
  <c r="G9" i="38"/>
  <c r="G11" i="38"/>
  <c r="G12" i="38" s="1"/>
  <c r="G5" i="38"/>
  <c r="G4" i="38"/>
  <c r="G16" i="38"/>
  <c r="G17" i="38"/>
  <c r="G19" i="38"/>
  <c r="G20" i="38"/>
  <c r="G21" i="38"/>
  <c r="G22" i="38"/>
  <c r="G24" i="38"/>
  <c r="G25" i="38"/>
  <c r="G26" i="38"/>
  <c r="G27" i="38"/>
  <c r="G29" i="38"/>
  <c r="G30" i="38"/>
  <c r="G32" i="38"/>
  <c r="G33" i="38"/>
  <c r="G35" i="38"/>
  <c r="G36" i="38"/>
  <c r="G38" i="38"/>
  <c r="G39" i="38" s="1"/>
  <c r="G40" i="38"/>
  <c r="G41" i="38"/>
  <c r="G42" i="38"/>
  <c r="G44" i="38"/>
  <c r="G45" i="38" s="1"/>
  <c r="G46" i="38"/>
  <c r="G48" i="38" s="1"/>
  <c r="G47" i="38"/>
  <c r="G49" i="38"/>
  <c r="G50" i="38" s="1"/>
  <c r="G51" i="38"/>
  <c r="G52" i="38"/>
  <c r="G54" i="38"/>
  <c r="G55" i="38" s="1"/>
  <c r="G56" i="38"/>
  <c r="G57" i="38" s="1"/>
  <c r="G58" i="38"/>
  <c r="G59" i="38" s="1"/>
  <c r="G60" i="38"/>
  <c r="G61" i="38" s="1"/>
  <c r="G62" i="38"/>
  <c r="G63" i="38"/>
  <c r="G64" i="38"/>
  <c r="G65" i="38"/>
  <c r="G67" i="38"/>
  <c r="G68" i="38"/>
  <c r="G69" i="38"/>
  <c r="G14" i="38"/>
  <c r="G13" i="38"/>
  <c r="CC100" i="19"/>
  <c r="CC12" i="19"/>
  <c r="CC13" i="19"/>
  <c r="CC14" i="19"/>
  <c r="CC15" i="19"/>
  <c r="CC16" i="19"/>
  <c r="CC17" i="19"/>
  <c r="CC18" i="19"/>
  <c r="CC19" i="19"/>
  <c r="CC20" i="19"/>
  <c r="CC21" i="19"/>
  <c r="CC22" i="19"/>
  <c r="CC23" i="19"/>
  <c r="CC24" i="19"/>
  <c r="CC25" i="19"/>
  <c r="CC26" i="19"/>
  <c r="CC27" i="19"/>
  <c r="CC28" i="19"/>
  <c r="CC29" i="19"/>
  <c r="CC30" i="19"/>
  <c r="CC31" i="19"/>
  <c r="CC32" i="19"/>
  <c r="CC33" i="19"/>
  <c r="CC34" i="19"/>
  <c r="CC35" i="19"/>
  <c r="CC36" i="19"/>
  <c r="CC37" i="19"/>
  <c r="CC38" i="19"/>
  <c r="CC39" i="19"/>
  <c r="CC40" i="19"/>
  <c r="CC41" i="19"/>
  <c r="CC42" i="19"/>
  <c r="CC43" i="19"/>
  <c r="CC44" i="19"/>
  <c r="CC45" i="19"/>
  <c r="CC46" i="19"/>
  <c r="CC47" i="19"/>
  <c r="CC48" i="19"/>
  <c r="CC49" i="19"/>
  <c r="CC50" i="19"/>
  <c r="CC51" i="19"/>
  <c r="CC52" i="19"/>
  <c r="CC53" i="19"/>
  <c r="CC54" i="19"/>
  <c r="CC55" i="19"/>
  <c r="CC56" i="19"/>
  <c r="CC57" i="19"/>
  <c r="CC58" i="19"/>
  <c r="CC59" i="19"/>
  <c r="CC60" i="19"/>
  <c r="CC61" i="19"/>
  <c r="CC62" i="19"/>
  <c r="CC63" i="19"/>
  <c r="CC64" i="19"/>
  <c r="CC65" i="19"/>
  <c r="CC66" i="19"/>
  <c r="CC67" i="19"/>
  <c r="CC68" i="19"/>
  <c r="CC69" i="19"/>
  <c r="CC70" i="19"/>
  <c r="CC71" i="19"/>
  <c r="CC72" i="19"/>
  <c r="CC73" i="19"/>
  <c r="CC74" i="19"/>
  <c r="CC75" i="19"/>
  <c r="CC76" i="19"/>
  <c r="CC77" i="19"/>
  <c r="CC78" i="19"/>
  <c r="CC79" i="19"/>
  <c r="CC80" i="19"/>
  <c r="CC81" i="19"/>
  <c r="CC82" i="19"/>
  <c r="CC83" i="19"/>
  <c r="CC84" i="19"/>
  <c r="CC85" i="19"/>
  <c r="CC86" i="19"/>
  <c r="CC87" i="19"/>
  <c r="CC88" i="19"/>
  <c r="CC89" i="19"/>
  <c r="CC90" i="19"/>
  <c r="CC91" i="19"/>
  <c r="CC92" i="19"/>
  <c r="CC93" i="19"/>
  <c r="CC94" i="19"/>
  <c r="CC95" i="19"/>
  <c r="CC96" i="19"/>
  <c r="CC97" i="19"/>
  <c r="CC98" i="19"/>
  <c r="CC99" i="19"/>
  <c r="CC6" i="19"/>
  <c r="CC7" i="19"/>
  <c r="CC8" i="19"/>
  <c r="CC9" i="19"/>
  <c r="CC10" i="19"/>
  <c r="CC11" i="19"/>
  <c r="CC5" i="19"/>
  <c r="J129" i="38" l="1"/>
  <c r="AQ52" i="39"/>
  <c r="AQ102" i="39" s="1"/>
  <c r="AQ106" i="39" s="1"/>
  <c r="AR102" i="39"/>
  <c r="AR106" i="39" s="1"/>
  <c r="G15" i="38"/>
  <c r="G43" i="38"/>
  <c r="G6" i="38"/>
  <c r="K4" i="38"/>
  <c r="G95" i="38"/>
  <c r="G89" i="38"/>
  <c r="G70" i="38"/>
  <c r="G66" i="38"/>
  <c r="G53" i="38"/>
  <c r="G37" i="38"/>
  <c r="G34" i="38"/>
  <c r="G31" i="38"/>
  <c r="G28" i="38"/>
  <c r="G23" i="38"/>
  <c r="G18" i="38"/>
  <c r="G10" i="38"/>
  <c r="G122" i="38"/>
  <c r="G119" i="38"/>
  <c r="G114" i="38"/>
  <c r="G101" i="38"/>
  <c r="G98" i="38"/>
  <c r="J133" i="38"/>
  <c r="I133" i="38"/>
  <c r="F83" i="38"/>
  <c r="F84" i="38"/>
  <c r="F85" i="38"/>
  <c r="F86" i="38"/>
  <c r="F87" i="38"/>
  <c r="F88" i="38"/>
  <c r="F90" i="38"/>
  <c r="F91" i="38"/>
  <c r="F92" i="38"/>
  <c r="F93" i="38"/>
  <c r="F94" i="38"/>
  <c r="F96" i="38"/>
  <c r="F97" i="38"/>
  <c r="F99" i="38"/>
  <c r="F100" i="38"/>
  <c r="F102" i="38"/>
  <c r="F103" i="38"/>
  <c r="F104" i="38"/>
  <c r="F105" i="38"/>
  <c r="F106" i="38"/>
  <c r="F107" i="38"/>
  <c r="F108" i="38"/>
  <c r="F109" i="38"/>
  <c r="F110" i="38"/>
  <c r="F111" i="38"/>
  <c r="F112" i="38"/>
  <c r="F113" i="38"/>
  <c r="F115" i="38"/>
  <c r="F116" i="38"/>
  <c r="F117" i="38"/>
  <c r="F118" i="38"/>
  <c r="F120" i="38"/>
  <c r="F121" i="38"/>
  <c r="F123" i="38"/>
  <c r="F125" i="38"/>
  <c r="F126" i="38"/>
  <c r="F81" i="38"/>
  <c r="F5" i="38"/>
  <c r="F7" i="38"/>
  <c r="F11" i="38"/>
  <c r="F13" i="38"/>
  <c r="F14" i="38"/>
  <c r="F16" i="38"/>
  <c r="F17" i="38"/>
  <c r="F19" i="38"/>
  <c r="F20" i="38"/>
  <c r="F21" i="38"/>
  <c r="F22" i="38"/>
  <c r="F24" i="38"/>
  <c r="F25" i="38"/>
  <c r="F26" i="38"/>
  <c r="F27" i="38"/>
  <c r="F29" i="38"/>
  <c r="F30" i="38"/>
  <c r="F32" i="38"/>
  <c r="F33" i="38"/>
  <c r="F35" i="38"/>
  <c r="F36" i="38"/>
  <c r="F38" i="38"/>
  <c r="F40" i="38"/>
  <c r="F41" i="38"/>
  <c r="F42" i="38"/>
  <c r="F46" i="38"/>
  <c r="F47" i="38"/>
  <c r="F49" i="38"/>
  <c r="F51" i="38"/>
  <c r="F52" i="38"/>
  <c r="F54" i="38"/>
  <c r="F56" i="38"/>
  <c r="F58" i="38"/>
  <c r="F60" i="38"/>
  <c r="F62" i="38"/>
  <c r="F63" i="38"/>
  <c r="F64" i="38"/>
  <c r="F65" i="38"/>
  <c r="F67" i="38"/>
  <c r="F68" i="38"/>
  <c r="F69" i="38"/>
  <c r="F4" i="38"/>
  <c r="E83" i="38"/>
  <c r="E84" i="38"/>
  <c r="E85" i="38"/>
  <c r="E86" i="38"/>
  <c r="E87" i="38"/>
  <c r="E88" i="38"/>
  <c r="E90" i="38"/>
  <c r="E91" i="38"/>
  <c r="E92" i="38"/>
  <c r="E93" i="38"/>
  <c r="E94" i="38"/>
  <c r="E96" i="38"/>
  <c r="E97" i="38"/>
  <c r="E99" i="38"/>
  <c r="E100" i="38"/>
  <c r="E102" i="38"/>
  <c r="E103" i="38"/>
  <c r="E104" i="38"/>
  <c r="E105" i="38"/>
  <c r="E106" i="38"/>
  <c r="E107" i="38"/>
  <c r="E108" i="38"/>
  <c r="E109" i="38"/>
  <c r="E110" i="38"/>
  <c r="E111" i="38"/>
  <c r="E112" i="38"/>
  <c r="E113" i="38"/>
  <c r="E115" i="38"/>
  <c r="E116" i="38"/>
  <c r="E117" i="38"/>
  <c r="E118" i="38"/>
  <c r="E120" i="38"/>
  <c r="E121" i="38"/>
  <c r="E123" i="38"/>
  <c r="E125" i="38"/>
  <c r="E126" i="38"/>
  <c r="E81" i="38"/>
  <c r="E5" i="38"/>
  <c r="E7" i="38"/>
  <c r="E11" i="38"/>
  <c r="E13" i="38"/>
  <c r="E14" i="38"/>
  <c r="E16" i="38"/>
  <c r="E17" i="38"/>
  <c r="E19" i="38"/>
  <c r="E20" i="38"/>
  <c r="E21" i="38"/>
  <c r="E22" i="38"/>
  <c r="E24" i="38"/>
  <c r="E25" i="38"/>
  <c r="E26" i="38"/>
  <c r="E27" i="38"/>
  <c r="E29" i="38"/>
  <c r="E30" i="38"/>
  <c r="E32" i="38"/>
  <c r="E33" i="38"/>
  <c r="E35" i="38"/>
  <c r="E36" i="38"/>
  <c r="E38" i="38"/>
  <c r="E40" i="38"/>
  <c r="E41" i="38"/>
  <c r="E42" i="38"/>
  <c r="E46" i="38"/>
  <c r="E47" i="38"/>
  <c r="E49" i="38"/>
  <c r="E51" i="38"/>
  <c r="E52" i="38"/>
  <c r="E54" i="38"/>
  <c r="E56" i="38"/>
  <c r="E58" i="38"/>
  <c r="E60" i="38"/>
  <c r="E62" i="38"/>
  <c r="E63" i="38"/>
  <c r="E64" i="38"/>
  <c r="E65" i="38"/>
  <c r="E67" i="38"/>
  <c r="E68" i="38"/>
  <c r="E69" i="38"/>
  <c r="AS102" i="39" l="1"/>
  <c r="AS106" i="39" s="1"/>
  <c r="AS107" i="39" s="1"/>
  <c r="G129" i="38"/>
  <c r="G72" i="38"/>
  <c r="G133" i="38" s="1"/>
  <c r="K67" i="38"/>
  <c r="M67" i="38"/>
  <c r="E70" i="38"/>
  <c r="K64" i="38"/>
  <c r="M64" i="38"/>
  <c r="K62" i="38"/>
  <c r="M62" i="38"/>
  <c r="E66" i="38"/>
  <c r="K58" i="38"/>
  <c r="M58" i="38"/>
  <c r="E59" i="38"/>
  <c r="K54" i="38"/>
  <c r="M54" i="38"/>
  <c r="E55" i="38"/>
  <c r="K51" i="38"/>
  <c r="M51" i="38"/>
  <c r="E53" i="38"/>
  <c r="K47" i="38"/>
  <c r="M47" i="38"/>
  <c r="K41" i="38"/>
  <c r="M41" i="38"/>
  <c r="K38" i="38"/>
  <c r="M38" i="38"/>
  <c r="E39" i="38"/>
  <c r="K35" i="38"/>
  <c r="M35" i="38"/>
  <c r="E37" i="38"/>
  <c r="K32" i="38"/>
  <c r="M32" i="38"/>
  <c r="E34" i="38"/>
  <c r="K29" i="38"/>
  <c r="M29" i="38"/>
  <c r="E31" i="38"/>
  <c r="K26" i="38"/>
  <c r="M26" i="38"/>
  <c r="K24" i="38"/>
  <c r="M24" i="38"/>
  <c r="E28" i="38"/>
  <c r="K21" i="38"/>
  <c r="M21" i="38"/>
  <c r="K19" i="38"/>
  <c r="M19" i="38"/>
  <c r="E23" i="38"/>
  <c r="K16" i="38"/>
  <c r="M16" i="38"/>
  <c r="E18" i="38"/>
  <c r="K13" i="38"/>
  <c r="M13" i="38"/>
  <c r="E15" i="38"/>
  <c r="K7" i="38"/>
  <c r="M7" i="38"/>
  <c r="E82" i="38"/>
  <c r="M81" i="38"/>
  <c r="K81" i="38"/>
  <c r="E127" i="38"/>
  <c r="M125" i="38"/>
  <c r="K125" i="38"/>
  <c r="M121" i="38"/>
  <c r="K121" i="38"/>
  <c r="M118" i="38"/>
  <c r="K118" i="38"/>
  <c r="M116" i="38"/>
  <c r="K116" i="38"/>
  <c r="M113" i="38"/>
  <c r="K113" i="38"/>
  <c r="M111" i="38"/>
  <c r="K111" i="38"/>
  <c r="M109" i="38"/>
  <c r="K109" i="38"/>
  <c r="M107" i="38"/>
  <c r="K107" i="38"/>
  <c r="M105" i="38"/>
  <c r="K105" i="38"/>
  <c r="M103" i="38"/>
  <c r="K103" i="38"/>
  <c r="M100" i="38"/>
  <c r="K100" i="38"/>
  <c r="M97" i="38"/>
  <c r="K97" i="38"/>
  <c r="M94" i="38"/>
  <c r="K94" i="38"/>
  <c r="M92" i="38"/>
  <c r="K92" i="38"/>
  <c r="E95" i="38"/>
  <c r="M90" i="38"/>
  <c r="K90" i="38"/>
  <c r="M87" i="38"/>
  <c r="K87" i="38"/>
  <c r="M85" i="38"/>
  <c r="K85" i="38"/>
  <c r="E89" i="38"/>
  <c r="M83" i="38"/>
  <c r="K83" i="38"/>
  <c r="L69" i="38"/>
  <c r="N69" i="38"/>
  <c r="L67" i="38"/>
  <c r="F70" i="38"/>
  <c r="N67" i="38"/>
  <c r="L64" i="38"/>
  <c r="N64" i="38"/>
  <c r="L62" i="38"/>
  <c r="F66" i="38"/>
  <c r="N62" i="38"/>
  <c r="L58" i="38"/>
  <c r="F59" i="38"/>
  <c r="N58" i="38"/>
  <c r="L54" i="38"/>
  <c r="F55" i="38"/>
  <c r="N54" i="38"/>
  <c r="L51" i="38"/>
  <c r="F53" i="38"/>
  <c r="N51" i="38"/>
  <c r="L47" i="38"/>
  <c r="N47" i="38"/>
  <c r="L41" i="38"/>
  <c r="N41" i="38"/>
  <c r="L38" i="38"/>
  <c r="F39" i="38"/>
  <c r="N38" i="38"/>
  <c r="L35" i="38"/>
  <c r="F37" i="38"/>
  <c r="N35" i="38"/>
  <c r="L32" i="38"/>
  <c r="F34" i="38"/>
  <c r="N32" i="38"/>
  <c r="L29" i="38"/>
  <c r="F31" i="38"/>
  <c r="N29" i="38"/>
  <c r="L26" i="38"/>
  <c r="N26" i="38"/>
  <c r="L24" i="38"/>
  <c r="F28" i="38"/>
  <c r="N24" i="38"/>
  <c r="L21" i="38"/>
  <c r="N21" i="38"/>
  <c r="L19" i="38"/>
  <c r="F23" i="38"/>
  <c r="N19" i="38"/>
  <c r="L16" i="38"/>
  <c r="F18" i="38"/>
  <c r="N16" i="38"/>
  <c r="L13" i="38"/>
  <c r="F15" i="38"/>
  <c r="N13" i="38"/>
  <c r="L7" i="38"/>
  <c r="N7" i="38"/>
  <c r="F82" i="38"/>
  <c r="L81" i="38"/>
  <c r="N81" i="38"/>
  <c r="F127" i="38"/>
  <c r="L125" i="38"/>
  <c r="N125" i="38"/>
  <c r="L121" i="38"/>
  <c r="N121" i="38"/>
  <c r="L118" i="38"/>
  <c r="N118" i="38"/>
  <c r="L116" i="38"/>
  <c r="N116" i="38"/>
  <c r="L113" i="38"/>
  <c r="N113" i="38"/>
  <c r="L111" i="38"/>
  <c r="N111" i="38"/>
  <c r="L109" i="38"/>
  <c r="N109" i="38"/>
  <c r="L107" i="38"/>
  <c r="N107" i="38"/>
  <c r="L105" i="38"/>
  <c r="N105" i="38"/>
  <c r="L103" i="38"/>
  <c r="N103" i="38"/>
  <c r="L100" i="38"/>
  <c r="N100" i="38"/>
  <c r="L97" i="38"/>
  <c r="N97" i="38"/>
  <c r="L94" i="38"/>
  <c r="N94" i="38"/>
  <c r="L92" i="38"/>
  <c r="N92" i="38"/>
  <c r="F95" i="38"/>
  <c r="L90" i="38"/>
  <c r="N90" i="38"/>
  <c r="L87" i="38"/>
  <c r="N87" i="38"/>
  <c r="L85" i="38"/>
  <c r="N85" i="38"/>
  <c r="F89" i="38"/>
  <c r="L83" i="38"/>
  <c r="N83" i="38"/>
  <c r="K69" i="38"/>
  <c r="M69" i="38"/>
  <c r="K68" i="38"/>
  <c r="M68" i="38"/>
  <c r="K65" i="38"/>
  <c r="M65" i="38"/>
  <c r="K63" i="38"/>
  <c r="M63" i="38"/>
  <c r="K60" i="38"/>
  <c r="M60" i="38"/>
  <c r="E61" i="38"/>
  <c r="K56" i="38"/>
  <c r="M56" i="38"/>
  <c r="E57" i="38"/>
  <c r="K52" i="38"/>
  <c r="M52" i="38"/>
  <c r="K49" i="38"/>
  <c r="M49" i="38"/>
  <c r="E50" i="38"/>
  <c r="K46" i="38"/>
  <c r="M46" i="38"/>
  <c r="E48" i="38"/>
  <c r="K42" i="38"/>
  <c r="M42" i="38"/>
  <c r="K40" i="38"/>
  <c r="M40" i="38"/>
  <c r="E43" i="38"/>
  <c r="K36" i="38"/>
  <c r="M36" i="38"/>
  <c r="K33" i="38"/>
  <c r="M33" i="38"/>
  <c r="K30" i="38"/>
  <c r="M30" i="38"/>
  <c r="K27" i="38"/>
  <c r="M27" i="38"/>
  <c r="K25" i="38"/>
  <c r="M25" i="38"/>
  <c r="K22" i="38"/>
  <c r="M22" i="38"/>
  <c r="K20" i="38"/>
  <c r="M20" i="38"/>
  <c r="K17" i="38"/>
  <c r="M17" i="38"/>
  <c r="K14" i="38"/>
  <c r="M14" i="38"/>
  <c r="K11" i="38"/>
  <c r="M11" i="38"/>
  <c r="E12" i="38"/>
  <c r="K5" i="38"/>
  <c r="M5" i="38"/>
  <c r="E6" i="38"/>
  <c r="M126" i="38"/>
  <c r="K126" i="38"/>
  <c r="M123" i="38"/>
  <c r="E124" i="38"/>
  <c r="K123" i="38"/>
  <c r="E122" i="38"/>
  <c r="M120" i="38"/>
  <c r="K120" i="38"/>
  <c r="M117" i="38"/>
  <c r="K117" i="38"/>
  <c r="E119" i="38"/>
  <c r="M115" i="38"/>
  <c r="K115" i="38"/>
  <c r="M112" i="38"/>
  <c r="K112" i="38"/>
  <c r="M110" i="38"/>
  <c r="K110" i="38"/>
  <c r="M108" i="38"/>
  <c r="K108" i="38"/>
  <c r="M106" i="38"/>
  <c r="K106" i="38"/>
  <c r="M104" i="38"/>
  <c r="K104" i="38"/>
  <c r="E114" i="38"/>
  <c r="M102" i="38"/>
  <c r="K102" i="38"/>
  <c r="M99" i="38"/>
  <c r="E101" i="38"/>
  <c r="K99" i="38"/>
  <c r="E98" i="38"/>
  <c r="M96" i="38"/>
  <c r="K96" i="38"/>
  <c r="M93" i="38"/>
  <c r="K93" i="38"/>
  <c r="M91" i="38"/>
  <c r="K91" i="38"/>
  <c r="M88" i="38"/>
  <c r="K88" i="38"/>
  <c r="M86" i="38"/>
  <c r="K86" i="38"/>
  <c r="M84" i="38"/>
  <c r="K84" i="38"/>
  <c r="L4" i="38"/>
  <c r="F6" i="38"/>
  <c r="N4" i="38"/>
  <c r="L68" i="38"/>
  <c r="N68" i="38"/>
  <c r="L65" i="38"/>
  <c r="N65" i="38"/>
  <c r="L63" i="38"/>
  <c r="N63" i="38"/>
  <c r="L60" i="38"/>
  <c r="F61" i="38"/>
  <c r="N60" i="38"/>
  <c r="L56" i="38"/>
  <c r="F57" i="38"/>
  <c r="N56" i="38"/>
  <c r="L52" i="38"/>
  <c r="N52" i="38"/>
  <c r="L49" i="38"/>
  <c r="F50" i="38"/>
  <c r="N49" i="38"/>
  <c r="L46" i="38"/>
  <c r="F48" i="38"/>
  <c r="N46" i="38"/>
  <c r="L42" i="38"/>
  <c r="N42" i="38"/>
  <c r="L40" i="38"/>
  <c r="F43" i="38"/>
  <c r="N40" i="38"/>
  <c r="L36" i="38"/>
  <c r="N36" i="38"/>
  <c r="L33" i="38"/>
  <c r="N33" i="38"/>
  <c r="L30" i="38"/>
  <c r="N30" i="38"/>
  <c r="L27" i="38"/>
  <c r="N27" i="38"/>
  <c r="L25" i="38"/>
  <c r="N25" i="38"/>
  <c r="L22" i="38"/>
  <c r="N22" i="38"/>
  <c r="L20" i="38"/>
  <c r="N20" i="38"/>
  <c r="L17" i="38"/>
  <c r="N17" i="38"/>
  <c r="L14" i="38"/>
  <c r="N14" i="38"/>
  <c r="L11" i="38"/>
  <c r="F12" i="38"/>
  <c r="N11" i="38"/>
  <c r="L5" i="38"/>
  <c r="N5" i="38"/>
  <c r="L126" i="38"/>
  <c r="N126" i="38"/>
  <c r="F124" i="38"/>
  <c r="L123" i="38"/>
  <c r="N123" i="38"/>
  <c r="F122" i="38"/>
  <c r="L120" i="38"/>
  <c r="N120" i="38"/>
  <c r="L117" i="38"/>
  <c r="N117" i="38"/>
  <c r="F119" i="38"/>
  <c r="L115" i="38"/>
  <c r="N115" i="38"/>
  <c r="L112" i="38"/>
  <c r="N112" i="38"/>
  <c r="L110" i="38"/>
  <c r="N110" i="38"/>
  <c r="L108" i="38"/>
  <c r="N108" i="38"/>
  <c r="L106" i="38"/>
  <c r="N106" i="38"/>
  <c r="L104" i="38"/>
  <c r="N104" i="38"/>
  <c r="F114" i="38"/>
  <c r="L102" i="38"/>
  <c r="N102" i="38"/>
  <c r="F101" i="38"/>
  <c r="L99" i="38"/>
  <c r="N99" i="38"/>
  <c r="F98" i="38"/>
  <c r="L96" i="38"/>
  <c r="N96" i="38"/>
  <c r="L93" i="38"/>
  <c r="N93" i="38"/>
  <c r="L91" i="38"/>
  <c r="N91" i="38"/>
  <c r="L88" i="38"/>
  <c r="N88" i="38"/>
  <c r="L86" i="38"/>
  <c r="N86" i="38"/>
  <c r="L84" i="38"/>
  <c r="N84" i="38"/>
  <c r="V97" i="5"/>
  <c r="V95" i="5"/>
  <c r="V94" i="5"/>
  <c r="V93" i="5"/>
  <c r="V92" i="5"/>
  <c r="V91" i="5"/>
  <c r="V90" i="5"/>
  <c r="V89" i="5"/>
  <c r="V88" i="5"/>
  <c r="V87" i="5"/>
  <c r="V86" i="5"/>
  <c r="V85" i="5"/>
  <c r="V84" i="5"/>
  <c r="V83" i="5"/>
  <c r="V82" i="5"/>
  <c r="V81" i="5"/>
  <c r="V80" i="5"/>
  <c r="V79" i="5"/>
  <c r="V78" i="5"/>
  <c r="V77" i="5"/>
  <c r="V76" i="5"/>
  <c r="V75" i="5"/>
  <c r="V74" i="5"/>
  <c r="V73" i="5"/>
  <c r="V72" i="5"/>
  <c r="V71" i="5"/>
  <c r="V70" i="5"/>
  <c r="V69" i="5"/>
  <c r="V68" i="5"/>
  <c r="V67" i="5"/>
  <c r="V66" i="5"/>
  <c r="V65" i="5"/>
  <c r="V64" i="5"/>
  <c r="V63" i="5"/>
  <c r="V62" i="5"/>
  <c r="V61" i="5"/>
  <c r="V60" i="5"/>
  <c r="V59" i="5"/>
  <c r="V48" i="5"/>
  <c r="V47" i="5"/>
  <c r="V46" i="5"/>
  <c r="V45" i="5"/>
  <c r="V44" i="5"/>
  <c r="V43" i="5"/>
  <c r="V42" i="5"/>
  <c r="V41" i="5"/>
  <c r="V40" i="5"/>
  <c r="V39" i="5"/>
  <c r="V38" i="5"/>
  <c r="V37" i="5"/>
  <c r="V36" i="5"/>
  <c r="V35" i="5"/>
  <c r="V34" i="5"/>
  <c r="V33" i="5"/>
  <c r="V31" i="5"/>
  <c r="V30" i="5"/>
  <c r="V29" i="5"/>
  <c r="V28" i="5"/>
  <c r="V27" i="5"/>
  <c r="V26" i="5"/>
  <c r="V25" i="5"/>
  <c r="V24" i="5"/>
  <c r="V23" i="5"/>
  <c r="V22" i="5"/>
  <c r="V21" i="5"/>
  <c r="V20" i="5"/>
  <c r="V19" i="5"/>
  <c r="V18" i="5"/>
  <c r="V17" i="5"/>
  <c r="V16" i="5"/>
  <c r="V15" i="5"/>
  <c r="V14" i="5"/>
  <c r="V13" i="5"/>
  <c r="V12" i="5"/>
  <c r="V9" i="5"/>
  <c r="V6" i="5"/>
  <c r="V5" i="5"/>
  <c r="V4" i="5"/>
  <c r="T48" i="5"/>
  <c r="S48" i="5"/>
  <c r="T47" i="5"/>
  <c r="S47" i="5"/>
  <c r="T46" i="5"/>
  <c r="S46" i="5"/>
  <c r="T45" i="5"/>
  <c r="S45" i="5"/>
  <c r="T44" i="5"/>
  <c r="S44" i="5"/>
  <c r="T43" i="5"/>
  <c r="S43" i="5"/>
  <c r="T42" i="5"/>
  <c r="S42" i="5"/>
  <c r="T41" i="5"/>
  <c r="S41" i="5"/>
  <c r="T40" i="5"/>
  <c r="S40" i="5"/>
  <c r="T39" i="5"/>
  <c r="S39" i="5"/>
  <c r="T38" i="5"/>
  <c r="S38" i="5"/>
  <c r="T37" i="5"/>
  <c r="S37" i="5"/>
  <c r="T36" i="5"/>
  <c r="S36" i="5"/>
  <c r="T35" i="5"/>
  <c r="S35" i="5"/>
  <c r="T34" i="5"/>
  <c r="S34" i="5"/>
  <c r="T33" i="5"/>
  <c r="S33" i="5"/>
  <c r="T32" i="5"/>
  <c r="S32" i="5"/>
  <c r="T31" i="5"/>
  <c r="S31" i="5"/>
  <c r="T30" i="5"/>
  <c r="S30" i="5"/>
  <c r="T29" i="5"/>
  <c r="S29" i="5"/>
  <c r="T28" i="5"/>
  <c r="S28" i="5"/>
  <c r="T27" i="5"/>
  <c r="S27" i="5"/>
  <c r="T26" i="5"/>
  <c r="S26" i="5"/>
  <c r="T25" i="5"/>
  <c r="S25" i="5"/>
  <c r="T24" i="5"/>
  <c r="S24" i="5"/>
  <c r="T23" i="5"/>
  <c r="S23" i="5"/>
  <c r="T22" i="5"/>
  <c r="S22" i="5"/>
  <c r="T21" i="5"/>
  <c r="S21" i="5"/>
  <c r="T20" i="5"/>
  <c r="S20" i="5"/>
  <c r="T19" i="5"/>
  <c r="S19" i="5"/>
  <c r="T18" i="5"/>
  <c r="S18" i="5"/>
  <c r="T17" i="5"/>
  <c r="S17" i="5"/>
  <c r="T16" i="5"/>
  <c r="S16" i="5"/>
  <c r="T15" i="5"/>
  <c r="S15" i="5"/>
  <c r="T14" i="5"/>
  <c r="S14" i="5"/>
  <c r="T13" i="5"/>
  <c r="S13" i="5"/>
  <c r="T12" i="5"/>
  <c r="S12" i="5"/>
  <c r="T11" i="5"/>
  <c r="S11" i="5"/>
  <c r="T10" i="5"/>
  <c r="S10" i="5"/>
  <c r="T9" i="5"/>
  <c r="S9" i="5"/>
  <c r="T8" i="5"/>
  <c r="S8" i="5"/>
  <c r="T7" i="5"/>
  <c r="S7" i="5"/>
  <c r="T6" i="5"/>
  <c r="S6" i="5"/>
  <c r="T5" i="5"/>
  <c r="S5" i="5"/>
  <c r="T4" i="5"/>
  <c r="S4" i="5"/>
  <c r="S95" i="5"/>
  <c r="S94" i="5"/>
  <c r="S93" i="5"/>
  <c r="S92" i="5"/>
  <c r="S91" i="5"/>
  <c r="S90" i="5"/>
  <c r="S89" i="5"/>
  <c r="S88" i="5"/>
  <c r="S87" i="5"/>
  <c r="S86" i="5"/>
  <c r="S85" i="5"/>
  <c r="S84" i="5"/>
  <c r="S83" i="5"/>
  <c r="S82" i="5"/>
  <c r="S81" i="5"/>
  <c r="S80" i="5"/>
  <c r="S79" i="5"/>
  <c r="S78" i="5"/>
  <c r="S77" i="5"/>
  <c r="S76" i="5"/>
  <c r="S75" i="5"/>
  <c r="S74" i="5"/>
  <c r="S73" i="5"/>
  <c r="S72" i="5"/>
  <c r="S71" i="5"/>
  <c r="S70" i="5"/>
  <c r="S69" i="5"/>
  <c r="S68" i="5"/>
  <c r="S67" i="5"/>
  <c r="S66" i="5"/>
  <c r="S65" i="5"/>
  <c r="S64" i="5"/>
  <c r="S63" i="5"/>
  <c r="S62" i="5"/>
  <c r="S61" i="5"/>
  <c r="S60" i="5"/>
  <c r="S59" i="5"/>
  <c r="T95" i="5"/>
  <c r="T94" i="5"/>
  <c r="T93" i="5"/>
  <c r="T92" i="5"/>
  <c r="T91" i="5"/>
  <c r="T90" i="5"/>
  <c r="T89" i="5"/>
  <c r="T88" i="5"/>
  <c r="T87" i="5"/>
  <c r="T86" i="5"/>
  <c r="T85" i="5"/>
  <c r="T84" i="5"/>
  <c r="T83" i="5"/>
  <c r="T82" i="5"/>
  <c r="T81" i="5"/>
  <c r="T80" i="5"/>
  <c r="T79" i="5"/>
  <c r="T78" i="5"/>
  <c r="T77" i="5"/>
  <c r="T76" i="5"/>
  <c r="T75" i="5"/>
  <c r="T74" i="5"/>
  <c r="T73" i="5"/>
  <c r="T72" i="5"/>
  <c r="T71" i="5"/>
  <c r="T70" i="5"/>
  <c r="T69" i="5"/>
  <c r="T68" i="5"/>
  <c r="T67" i="5"/>
  <c r="T65" i="5"/>
  <c r="T64" i="5"/>
  <c r="T63" i="5"/>
  <c r="T62" i="5"/>
  <c r="T61" i="5"/>
  <c r="T60" i="5"/>
  <c r="T59" i="5"/>
  <c r="D122" i="19"/>
  <c r="E122" i="19" s="1"/>
  <c r="F122" i="19" s="1"/>
  <c r="G122" i="19" s="1"/>
  <c r="H122" i="19" s="1"/>
  <c r="I122" i="19" s="1"/>
  <c r="J122" i="19" s="1"/>
  <c r="K122" i="19" s="1"/>
  <c r="L122" i="19" s="1"/>
  <c r="M122" i="19" s="1"/>
  <c r="N122" i="19" s="1"/>
  <c r="O122" i="19" s="1"/>
  <c r="P122" i="19" s="1"/>
  <c r="Q122" i="19" s="1"/>
  <c r="R122" i="19" s="1"/>
  <c r="S122" i="19" s="1"/>
  <c r="T122" i="19" s="1"/>
  <c r="U122" i="19" s="1"/>
  <c r="V122" i="19" s="1"/>
  <c r="W122" i="19" s="1"/>
  <c r="X122" i="19" s="1"/>
  <c r="Y122" i="19" s="1"/>
  <c r="Z122" i="19" s="1"/>
  <c r="AA122" i="19" s="1"/>
  <c r="AB122" i="19" s="1"/>
  <c r="AC122" i="19" s="1"/>
  <c r="AD122" i="19" s="1"/>
  <c r="AE122" i="19" s="1"/>
  <c r="AF122" i="19" s="1"/>
  <c r="AG122" i="19" s="1"/>
  <c r="AH122" i="19" s="1"/>
  <c r="AI122" i="19" s="1"/>
  <c r="AJ122" i="19" s="1"/>
  <c r="AK122" i="19" s="1"/>
  <c r="AL122" i="19" s="1"/>
  <c r="AM122" i="19" s="1"/>
  <c r="AN122" i="19" s="1"/>
  <c r="AO122" i="19" s="1"/>
  <c r="AP122" i="19" s="1"/>
  <c r="AQ122" i="19" s="1"/>
  <c r="AR122" i="19" s="1"/>
  <c r="AS122" i="19" s="1"/>
  <c r="AT122" i="19" s="1"/>
  <c r="AU122" i="19" s="1"/>
  <c r="AV122" i="19" s="1"/>
  <c r="AW122" i="19" s="1"/>
  <c r="AX122" i="19" s="1"/>
  <c r="AY122" i="19" s="1"/>
  <c r="AZ122" i="19" s="1"/>
  <c r="BA122" i="19" s="1"/>
  <c r="BB122" i="19" s="1"/>
  <c r="BC122" i="19" s="1"/>
  <c r="BD122" i="19" s="1"/>
  <c r="BE122" i="19" s="1"/>
  <c r="BF122" i="19" s="1"/>
  <c r="BG122" i="19" s="1"/>
  <c r="BH122" i="19" s="1"/>
  <c r="BI122" i="19" s="1"/>
  <c r="BJ122" i="19" s="1"/>
  <c r="BK122" i="19" s="1"/>
  <c r="BL122" i="19" s="1"/>
  <c r="BM122" i="19" s="1"/>
  <c r="BN122" i="19" s="1"/>
  <c r="BO122" i="19" s="1"/>
  <c r="BP122" i="19" s="1"/>
  <c r="BQ122" i="19" s="1"/>
  <c r="BR122" i="19" s="1"/>
  <c r="BS122" i="19" s="1"/>
  <c r="BT122" i="19" s="1"/>
  <c r="BU122" i="19" s="1"/>
  <c r="BV122" i="19" s="1"/>
  <c r="BW122" i="19" s="1"/>
  <c r="BX122" i="19" s="1"/>
  <c r="BY122" i="19" s="1"/>
  <c r="C122" i="19"/>
  <c r="BW102" i="21"/>
  <c r="BV102" i="21"/>
  <c r="BW101" i="21"/>
  <c r="BV101" i="21"/>
  <c r="BW100" i="21"/>
  <c r="BV100" i="21"/>
  <c r="BW99" i="21"/>
  <c r="BV99" i="21"/>
  <c r="BW98" i="21"/>
  <c r="BV98" i="21"/>
  <c r="BW97" i="21"/>
  <c r="BV97" i="21"/>
  <c r="BW96" i="21"/>
  <c r="BV96" i="21"/>
  <c r="BW95" i="21"/>
  <c r="BV95" i="21"/>
  <c r="BW94" i="21"/>
  <c r="BV94" i="21"/>
  <c r="BW93" i="21"/>
  <c r="BV93" i="21"/>
  <c r="BW92" i="21"/>
  <c r="BV92" i="21"/>
  <c r="BW91" i="21"/>
  <c r="BV91" i="21"/>
  <c r="BW90" i="21"/>
  <c r="BV90" i="21"/>
  <c r="BW89" i="21"/>
  <c r="BV89" i="21"/>
  <c r="BW88" i="21"/>
  <c r="BV88" i="21"/>
  <c r="BW87" i="21"/>
  <c r="BV87" i="21"/>
  <c r="BW86" i="21"/>
  <c r="BV86" i="21"/>
  <c r="BW85" i="21"/>
  <c r="BV85" i="21"/>
  <c r="BW84" i="21"/>
  <c r="BV84" i="21"/>
  <c r="BW83" i="21"/>
  <c r="BV83" i="21"/>
  <c r="BW82" i="21"/>
  <c r="BV82" i="21"/>
  <c r="BW81" i="21"/>
  <c r="BV81" i="21"/>
  <c r="BW80" i="21"/>
  <c r="BV80" i="21"/>
  <c r="BW79" i="21"/>
  <c r="BV79" i="21"/>
  <c r="BW78" i="21"/>
  <c r="BV78" i="21"/>
  <c r="BW77" i="21"/>
  <c r="BV77" i="21"/>
  <c r="BW76" i="21"/>
  <c r="BV76" i="21"/>
  <c r="BW75" i="21"/>
  <c r="BV75" i="21"/>
  <c r="BW74" i="21"/>
  <c r="BV74" i="21"/>
  <c r="BW73" i="21"/>
  <c r="BV73" i="21"/>
  <c r="BW72" i="21"/>
  <c r="BV72" i="21"/>
  <c r="BW71" i="21"/>
  <c r="BV71" i="21"/>
  <c r="BW70" i="21"/>
  <c r="BV70" i="21"/>
  <c r="BW69" i="21"/>
  <c r="BV69" i="21"/>
  <c r="BW68" i="21"/>
  <c r="BV68" i="21"/>
  <c r="BW67" i="21"/>
  <c r="BV67" i="21"/>
  <c r="BW66" i="21"/>
  <c r="BV66" i="21"/>
  <c r="BW65" i="21"/>
  <c r="BV65" i="21"/>
  <c r="BW64" i="21"/>
  <c r="BV64" i="21"/>
  <c r="BW63" i="21"/>
  <c r="BV63" i="21"/>
  <c r="BW62" i="21"/>
  <c r="BV62" i="21"/>
  <c r="BW61" i="21"/>
  <c r="BV61" i="21"/>
  <c r="BW60" i="21"/>
  <c r="BV60" i="21"/>
  <c r="BW59" i="21"/>
  <c r="BV59" i="21"/>
  <c r="BW58" i="21"/>
  <c r="BV58" i="21"/>
  <c r="BW57" i="21"/>
  <c r="BV57" i="21"/>
  <c r="BW56" i="21"/>
  <c r="BV56" i="21"/>
  <c r="BW55" i="21"/>
  <c r="BV55" i="21"/>
  <c r="BW54" i="21"/>
  <c r="BV54" i="21"/>
  <c r="BW53" i="21"/>
  <c r="BV53" i="21"/>
  <c r="BW52" i="21"/>
  <c r="BV52" i="21"/>
  <c r="BW51" i="21"/>
  <c r="BV51" i="21"/>
  <c r="BW50" i="21"/>
  <c r="BV50" i="21"/>
  <c r="BW49" i="21"/>
  <c r="BV49" i="21"/>
  <c r="BW48" i="21"/>
  <c r="BV48" i="21"/>
  <c r="BW47" i="21"/>
  <c r="BV47" i="21"/>
  <c r="BW46" i="21"/>
  <c r="BV46" i="21"/>
  <c r="BW45" i="21"/>
  <c r="BV45" i="21"/>
  <c r="BW44" i="21"/>
  <c r="BV44" i="21"/>
  <c r="BW43" i="21"/>
  <c r="BV43" i="21"/>
  <c r="BW42" i="21"/>
  <c r="BV42" i="21"/>
  <c r="BW41" i="21"/>
  <c r="BV41" i="21"/>
  <c r="BW40" i="21"/>
  <c r="BV40" i="21"/>
  <c r="BW39" i="21"/>
  <c r="BV39" i="21"/>
  <c r="BW38" i="21"/>
  <c r="BV38" i="21"/>
  <c r="BW37" i="21"/>
  <c r="BV37" i="21"/>
  <c r="BW36" i="21"/>
  <c r="BV36" i="21"/>
  <c r="BW35" i="21"/>
  <c r="BV35" i="21"/>
  <c r="BW34" i="21"/>
  <c r="BV34" i="21"/>
  <c r="BW33" i="21"/>
  <c r="BV33" i="21"/>
  <c r="BW32" i="21"/>
  <c r="BV32" i="21"/>
  <c r="BW31" i="21"/>
  <c r="BV31" i="21"/>
  <c r="BW30" i="21"/>
  <c r="BV30" i="21"/>
  <c r="BW29" i="21"/>
  <c r="BV29" i="21"/>
  <c r="BW28" i="21"/>
  <c r="BV28" i="21"/>
  <c r="BW27" i="21"/>
  <c r="BV27" i="21"/>
  <c r="BW26" i="21"/>
  <c r="BV26" i="21"/>
  <c r="BW25" i="21"/>
  <c r="BV25" i="21"/>
  <c r="BW24" i="21"/>
  <c r="BV24" i="21"/>
  <c r="BW23" i="21"/>
  <c r="BV23" i="21"/>
  <c r="BW22" i="21"/>
  <c r="BV22" i="21"/>
  <c r="BW21" i="21"/>
  <c r="BV21" i="21"/>
  <c r="BW20" i="21"/>
  <c r="BV20" i="21"/>
  <c r="BW19" i="21"/>
  <c r="BV19" i="21"/>
  <c r="BW18" i="21"/>
  <c r="BV18" i="21"/>
  <c r="BW17" i="21"/>
  <c r="BV17" i="21"/>
  <c r="BW16" i="21"/>
  <c r="BV16" i="21"/>
  <c r="BW15" i="21"/>
  <c r="BV15" i="21"/>
  <c r="BW14" i="21"/>
  <c r="BV14" i="21"/>
  <c r="BW13" i="21"/>
  <c r="BV13" i="21"/>
  <c r="BW12" i="21"/>
  <c r="BV12" i="21"/>
  <c r="BW11" i="21"/>
  <c r="BV11" i="21"/>
  <c r="BW10" i="21"/>
  <c r="BV10" i="21"/>
  <c r="BW9" i="21"/>
  <c r="BV9" i="21"/>
  <c r="BW8" i="21"/>
  <c r="BV8" i="21"/>
  <c r="BW7" i="21"/>
  <c r="BV7" i="21"/>
  <c r="BW6" i="21"/>
  <c r="BV6" i="21"/>
  <c r="BX102" i="21"/>
  <c r="BX101" i="21"/>
  <c r="BX100" i="21"/>
  <c r="BX99" i="21"/>
  <c r="BX98" i="21"/>
  <c r="BX97" i="21"/>
  <c r="BX96" i="21"/>
  <c r="BX95" i="21"/>
  <c r="BX94" i="21"/>
  <c r="BX93" i="21"/>
  <c r="BX92" i="21"/>
  <c r="BX91" i="21"/>
  <c r="BX90" i="21"/>
  <c r="BX89" i="21"/>
  <c r="BX88" i="21"/>
  <c r="BX87" i="21"/>
  <c r="BX86" i="21"/>
  <c r="BX85" i="21"/>
  <c r="BX84" i="21"/>
  <c r="BX83" i="21"/>
  <c r="BX82" i="21"/>
  <c r="BX81" i="21"/>
  <c r="BX80" i="21"/>
  <c r="BX79" i="21"/>
  <c r="BX78" i="21"/>
  <c r="BX77" i="21"/>
  <c r="BX76" i="21"/>
  <c r="BX75" i="21"/>
  <c r="BX74" i="21"/>
  <c r="BX73" i="21"/>
  <c r="BX72" i="21"/>
  <c r="BX71" i="21"/>
  <c r="BX70" i="21"/>
  <c r="BX69" i="21"/>
  <c r="BX68" i="21"/>
  <c r="BX67" i="21"/>
  <c r="BX66" i="21"/>
  <c r="BX65" i="21"/>
  <c r="BX64" i="21"/>
  <c r="BX63" i="21"/>
  <c r="BX62" i="21"/>
  <c r="BX61" i="21"/>
  <c r="BX60" i="21"/>
  <c r="BX59" i="21"/>
  <c r="BX58" i="21"/>
  <c r="BX57" i="21"/>
  <c r="BX56" i="21"/>
  <c r="BX55" i="21"/>
  <c r="BX54" i="21"/>
  <c r="BX53" i="21"/>
  <c r="BX52" i="21"/>
  <c r="BX51" i="21"/>
  <c r="BX50" i="21"/>
  <c r="BX49" i="21"/>
  <c r="BX48" i="21"/>
  <c r="BX47" i="21"/>
  <c r="BX46" i="21"/>
  <c r="BX45" i="21"/>
  <c r="BX44" i="21"/>
  <c r="BX43" i="21"/>
  <c r="BX42" i="21"/>
  <c r="BX41" i="21"/>
  <c r="BX40" i="21"/>
  <c r="BX39" i="21"/>
  <c r="BX38" i="21"/>
  <c r="BX37" i="21"/>
  <c r="BX36" i="21"/>
  <c r="BX35" i="21"/>
  <c r="BX34" i="21"/>
  <c r="BX33" i="21"/>
  <c r="BX32" i="21"/>
  <c r="BX31" i="21"/>
  <c r="BX30" i="21"/>
  <c r="BX29" i="21"/>
  <c r="BX28" i="21"/>
  <c r="BX27" i="21"/>
  <c r="BX26" i="21"/>
  <c r="BX25" i="21"/>
  <c r="BX24" i="21"/>
  <c r="BX23" i="21"/>
  <c r="BX22" i="21"/>
  <c r="BX21" i="21"/>
  <c r="BX20" i="21"/>
  <c r="BX19" i="21"/>
  <c r="BX18" i="21"/>
  <c r="BX17" i="21"/>
  <c r="BX16" i="21"/>
  <c r="BX15" i="21"/>
  <c r="BX14" i="21"/>
  <c r="BX13" i="21"/>
  <c r="BX12" i="21"/>
  <c r="BX11" i="21"/>
  <c r="BX10" i="21"/>
  <c r="BX9" i="21"/>
  <c r="BX8" i="21"/>
  <c r="BX7" i="21"/>
  <c r="BX6" i="21"/>
  <c r="BX5" i="21"/>
  <c r="BW5" i="21"/>
  <c r="BV5" i="21"/>
  <c r="BX121" i="19"/>
  <c r="BY121" i="19" s="1"/>
  <c r="BW121" i="19"/>
  <c r="BX120" i="19"/>
  <c r="BY120" i="19" s="1"/>
  <c r="BW120" i="19"/>
  <c r="BX119" i="19"/>
  <c r="BY119" i="19" s="1"/>
  <c r="BW119" i="19"/>
  <c r="BX118" i="19"/>
  <c r="BY118" i="19" s="1"/>
  <c r="BW118" i="19"/>
  <c r="BX117" i="19"/>
  <c r="BY117" i="19" s="1"/>
  <c r="BW117" i="19"/>
  <c r="BX116" i="19"/>
  <c r="BY116" i="19" s="1"/>
  <c r="BW116" i="19"/>
  <c r="BX115" i="19"/>
  <c r="BY115" i="19" s="1"/>
  <c r="BW115" i="19"/>
  <c r="BX114" i="19"/>
  <c r="BY114" i="19" s="1"/>
  <c r="BW114" i="19"/>
  <c r="BX113" i="19"/>
  <c r="BY113" i="19" s="1"/>
  <c r="BW113" i="19"/>
  <c r="BX112" i="19"/>
  <c r="BY112" i="19" s="1"/>
  <c r="BW112" i="19"/>
  <c r="BX111" i="19"/>
  <c r="BY111" i="19" s="1"/>
  <c r="BW111" i="19"/>
  <c r="BX110" i="19"/>
  <c r="BY110" i="19" s="1"/>
  <c r="BW110" i="19"/>
  <c r="BX109" i="19"/>
  <c r="BY109" i="19" s="1"/>
  <c r="BW109" i="19"/>
  <c r="BX108" i="19"/>
  <c r="BY108" i="19" s="1"/>
  <c r="BW108" i="19"/>
  <c r="BX107" i="19"/>
  <c r="BY107" i="19" s="1"/>
  <c r="BW107" i="19"/>
  <c r="BX106" i="19"/>
  <c r="BY106" i="19" s="1"/>
  <c r="BW106" i="19"/>
  <c r="BX105" i="19"/>
  <c r="BY105" i="19" s="1"/>
  <c r="BW105" i="19"/>
  <c r="BX104" i="19"/>
  <c r="BY104" i="19" s="1"/>
  <c r="BW104" i="19"/>
  <c r="BX103" i="19"/>
  <c r="BY103" i="19" s="1"/>
  <c r="BW103" i="19"/>
  <c r="BX102" i="19"/>
  <c r="BY102" i="19" s="1"/>
  <c r="BW102" i="19"/>
  <c r="BX101" i="19"/>
  <c r="BY101" i="19" s="1"/>
  <c r="BW101" i="19"/>
  <c r="BX100" i="19"/>
  <c r="BY100" i="19" s="1"/>
  <c r="BW100" i="19"/>
  <c r="BX99" i="19"/>
  <c r="BY99" i="19" s="1"/>
  <c r="BW99" i="19"/>
  <c r="BX98" i="19"/>
  <c r="BY98" i="19" s="1"/>
  <c r="BW98" i="19"/>
  <c r="BX97" i="19"/>
  <c r="BY97" i="19" s="1"/>
  <c r="BW97" i="19"/>
  <c r="BX96" i="19"/>
  <c r="BY96" i="19" s="1"/>
  <c r="BW96" i="19"/>
  <c r="BX95" i="19"/>
  <c r="BY95" i="19" s="1"/>
  <c r="BW95" i="19"/>
  <c r="BX94" i="19"/>
  <c r="BY94" i="19" s="1"/>
  <c r="BW94" i="19"/>
  <c r="BX93" i="19"/>
  <c r="BY93" i="19" s="1"/>
  <c r="BW93" i="19"/>
  <c r="BX92" i="19"/>
  <c r="BY92" i="19" s="1"/>
  <c r="BW92" i="19"/>
  <c r="BX91" i="19"/>
  <c r="BY91" i="19" s="1"/>
  <c r="BW91" i="19"/>
  <c r="BX90" i="19"/>
  <c r="BY90" i="19" s="1"/>
  <c r="BW90" i="19"/>
  <c r="BX89" i="19"/>
  <c r="BY89" i="19" s="1"/>
  <c r="BW89" i="19"/>
  <c r="BX88" i="19"/>
  <c r="BY88" i="19" s="1"/>
  <c r="BW88" i="19"/>
  <c r="BX87" i="19"/>
  <c r="BY87" i="19" s="1"/>
  <c r="BW87" i="19"/>
  <c r="BX86" i="19"/>
  <c r="BY86" i="19" s="1"/>
  <c r="BW86" i="19"/>
  <c r="BX85" i="19"/>
  <c r="BY85" i="19" s="1"/>
  <c r="BW85" i="19"/>
  <c r="BX84" i="19"/>
  <c r="BY84" i="19" s="1"/>
  <c r="T66" i="5" s="1"/>
  <c r="BW84" i="19"/>
  <c r="BX83" i="19"/>
  <c r="BW83" i="19"/>
  <c r="BX82" i="19"/>
  <c r="BY82" i="19" s="1"/>
  <c r="BW82" i="19"/>
  <c r="BX81" i="19"/>
  <c r="BY81" i="19" s="1"/>
  <c r="BW81" i="19"/>
  <c r="BX80" i="19"/>
  <c r="BY80" i="19" s="1"/>
  <c r="BW80" i="19"/>
  <c r="BX79" i="19"/>
  <c r="BY79" i="19" s="1"/>
  <c r="BW79" i="19"/>
  <c r="BX78" i="19"/>
  <c r="BY78" i="19" s="1"/>
  <c r="BW78" i="19"/>
  <c r="BX77" i="19"/>
  <c r="BY77" i="19" s="1"/>
  <c r="BW77" i="19"/>
  <c r="BX76" i="19"/>
  <c r="BY76" i="19" s="1"/>
  <c r="BW76" i="19"/>
  <c r="BX75" i="19"/>
  <c r="BY75" i="19" s="1"/>
  <c r="BW75" i="19"/>
  <c r="BX74" i="19"/>
  <c r="BY74" i="19" s="1"/>
  <c r="BW74" i="19"/>
  <c r="BX73" i="19"/>
  <c r="BY73" i="19" s="1"/>
  <c r="BW73" i="19"/>
  <c r="BX72" i="19"/>
  <c r="BY72" i="19" s="1"/>
  <c r="BW72" i="19"/>
  <c r="BX71" i="19"/>
  <c r="BY71" i="19" s="1"/>
  <c r="BW71" i="19"/>
  <c r="BX70" i="19"/>
  <c r="BY70" i="19" s="1"/>
  <c r="BW70" i="19"/>
  <c r="BX69" i="19"/>
  <c r="BY69" i="19" s="1"/>
  <c r="BW69" i="19"/>
  <c r="BX68" i="19"/>
  <c r="BY68" i="19" s="1"/>
  <c r="BW68" i="19"/>
  <c r="BX67" i="19"/>
  <c r="BY67" i="19" s="1"/>
  <c r="BW67" i="19"/>
  <c r="BX66" i="19"/>
  <c r="BY66" i="19" s="1"/>
  <c r="BW66" i="19"/>
  <c r="BX65" i="19"/>
  <c r="BY65" i="19" s="1"/>
  <c r="BW65" i="19"/>
  <c r="BX64" i="19"/>
  <c r="BY64" i="19" s="1"/>
  <c r="BW64" i="19"/>
  <c r="BX63" i="19"/>
  <c r="BY63" i="19" s="1"/>
  <c r="BW63" i="19"/>
  <c r="BX62" i="19"/>
  <c r="BY62" i="19" s="1"/>
  <c r="BW62" i="19"/>
  <c r="BX61" i="19"/>
  <c r="BY61" i="19" s="1"/>
  <c r="BW61" i="19"/>
  <c r="BX60" i="19"/>
  <c r="BY60" i="19" s="1"/>
  <c r="BW60" i="19"/>
  <c r="BX59" i="19"/>
  <c r="BY59" i="19" s="1"/>
  <c r="BW59" i="19"/>
  <c r="BX58" i="19"/>
  <c r="BY58" i="19" s="1"/>
  <c r="BW58" i="19"/>
  <c r="BX57" i="19"/>
  <c r="BY57" i="19" s="1"/>
  <c r="BW57" i="19"/>
  <c r="BX56" i="19"/>
  <c r="BY56" i="19" s="1"/>
  <c r="BW56" i="19"/>
  <c r="BX55" i="19"/>
  <c r="BY55" i="19" s="1"/>
  <c r="BW55" i="19"/>
  <c r="BX54" i="19"/>
  <c r="BY54" i="19" s="1"/>
  <c r="BW54" i="19"/>
  <c r="BX53" i="19"/>
  <c r="BY53" i="19" s="1"/>
  <c r="BW53" i="19"/>
  <c r="BX52" i="19"/>
  <c r="BY52" i="19" s="1"/>
  <c r="BW52" i="19"/>
  <c r="BX51" i="19"/>
  <c r="BY51" i="19" s="1"/>
  <c r="BW51" i="19"/>
  <c r="BX50" i="19"/>
  <c r="BY50" i="19" s="1"/>
  <c r="BW50" i="19"/>
  <c r="BX49" i="19"/>
  <c r="BY49" i="19" s="1"/>
  <c r="BW49" i="19"/>
  <c r="BX48" i="19"/>
  <c r="BY48" i="19" s="1"/>
  <c r="BW48" i="19"/>
  <c r="BX47" i="19"/>
  <c r="BY47" i="19" s="1"/>
  <c r="BW47" i="19"/>
  <c r="BX46" i="19"/>
  <c r="BY46" i="19" s="1"/>
  <c r="BW46" i="19"/>
  <c r="BX45" i="19"/>
  <c r="BY45" i="19" s="1"/>
  <c r="BW45" i="19"/>
  <c r="BX44" i="19"/>
  <c r="BY44" i="19" s="1"/>
  <c r="BW44" i="19"/>
  <c r="BX43" i="19"/>
  <c r="BY43" i="19" s="1"/>
  <c r="BW43" i="19"/>
  <c r="BX42" i="19"/>
  <c r="BY42" i="19" s="1"/>
  <c r="BW42" i="19"/>
  <c r="BX41" i="19"/>
  <c r="BY41" i="19" s="1"/>
  <c r="BW41" i="19"/>
  <c r="BX40" i="19"/>
  <c r="BY40" i="19" s="1"/>
  <c r="BW40" i="19"/>
  <c r="BX39" i="19"/>
  <c r="BY39" i="19" s="1"/>
  <c r="BW39" i="19"/>
  <c r="BX38" i="19"/>
  <c r="BY38" i="19" s="1"/>
  <c r="BW38" i="19"/>
  <c r="BX37" i="19"/>
  <c r="BY37" i="19" s="1"/>
  <c r="BW37" i="19"/>
  <c r="BX36" i="19"/>
  <c r="BY36" i="19" s="1"/>
  <c r="BW36" i="19"/>
  <c r="BX35" i="19"/>
  <c r="BY35" i="19" s="1"/>
  <c r="BW35" i="19"/>
  <c r="BX34" i="19"/>
  <c r="BY34" i="19" s="1"/>
  <c r="BW34" i="19"/>
  <c r="BX33" i="19"/>
  <c r="BY33" i="19" s="1"/>
  <c r="BW33" i="19"/>
  <c r="BX32" i="19"/>
  <c r="BY32" i="19" s="1"/>
  <c r="BW32" i="19"/>
  <c r="BX31" i="19"/>
  <c r="BY31" i="19" s="1"/>
  <c r="BW31" i="19"/>
  <c r="BX30" i="19"/>
  <c r="BY30" i="19" s="1"/>
  <c r="BW30" i="19"/>
  <c r="BX29" i="19"/>
  <c r="BY29" i="19" s="1"/>
  <c r="BW29" i="19"/>
  <c r="BX28" i="19"/>
  <c r="BY28" i="19" s="1"/>
  <c r="BW28" i="19"/>
  <c r="BX27" i="19"/>
  <c r="BY27" i="19" s="1"/>
  <c r="BW27" i="19"/>
  <c r="BX26" i="19"/>
  <c r="BY26" i="19" s="1"/>
  <c r="BW26" i="19"/>
  <c r="BX25" i="19"/>
  <c r="BY25" i="19" s="1"/>
  <c r="BW25" i="19"/>
  <c r="BX24" i="19"/>
  <c r="BY24" i="19" s="1"/>
  <c r="BW24" i="19"/>
  <c r="BX23" i="19"/>
  <c r="BY23" i="19" s="1"/>
  <c r="BW23" i="19"/>
  <c r="BX22" i="19"/>
  <c r="BY22" i="19" s="1"/>
  <c r="BW22" i="19"/>
  <c r="BX21" i="19"/>
  <c r="BY21" i="19" s="1"/>
  <c r="BW21" i="19"/>
  <c r="BX20" i="19"/>
  <c r="BY20" i="19" s="1"/>
  <c r="BW20" i="19"/>
  <c r="BX19" i="19"/>
  <c r="BY19" i="19" s="1"/>
  <c r="BW19" i="19"/>
  <c r="BX18" i="19"/>
  <c r="BY18" i="19" s="1"/>
  <c r="BW18" i="19"/>
  <c r="BX17" i="19"/>
  <c r="BY17" i="19" s="1"/>
  <c r="BW17" i="19"/>
  <c r="BX16" i="19"/>
  <c r="BY16" i="19" s="1"/>
  <c r="BW16" i="19"/>
  <c r="BX15" i="19"/>
  <c r="BY15" i="19" s="1"/>
  <c r="BW15" i="19"/>
  <c r="BX14" i="19"/>
  <c r="BY14" i="19" s="1"/>
  <c r="BW14" i="19"/>
  <c r="BX13" i="19"/>
  <c r="BY13" i="19" s="1"/>
  <c r="BW13" i="19"/>
  <c r="BX12" i="19"/>
  <c r="BY12" i="19" s="1"/>
  <c r="BW12" i="19"/>
  <c r="BX11" i="19"/>
  <c r="BY11" i="19" s="1"/>
  <c r="BW11" i="19"/>
  <c r="BX10" i="19"/>
  <c r="BY10" i="19" s="1"/>
  <c r="BW10" i="19"/>
  <c r="BX9" i="19"/>
  <c r="BY9" i="19" s="1"/>
  <c r="BW9" i="19"/>
  <c r="BX8" i="19"/>
  <c r="BY8" i="19" s="1"/>
  <c r="BW8" i="19"/>
  <c r="BX7" i="19"/>
  <c r="BY7" i="19" s="1"/>
  <c r="BW7" i="19"/>
  <c r="BX6" i="19"/>
  <c r="BY6" i="19" s="1"/>
  <c r="BW6" i="19"/>
  <c r="BY5" i="19"/>
  <c r="BX5" i="19"/>
  <c r="BW5" i="19"/>
  <c r="BY83" i="19" l="1"/>
  <c r="L98" i="38"/>
  <c r="N98" i="38"/>
  <c r="L114" i="38"/>
  <c r="N114" i="38"/>
  <c r="L122" i="38"/>
  <c r="N122" i="38"/>
  <c r="L43" i="38"/>
  <c r="N43" i="38"/>
  <c r="L50" i="38"/>
  <c r="N50" i="38"/>
  <c r="N61" i="38"/>
  <c r="L61" i="38"/>
  <c r="M119" i="38"/>
  <c r="K119" i="38"/>
  <c r="M12" i="38"/>
  <c r="K12" i="38"/>
  <c r="M48" i="38"/>
  <c r="K48" i="38"/>
  <c r="K57" i="38"/>
  <c r="M57" i="38"/>
  <c r="L89" i="38"/>
  <c r="N89" i="38"/>
  <c r="L127" i="38"/>
  <c r="N127" i="38"/>
  <c r="L15" i="38"/>
  <c r="N15" i="38"/>
  <c r="L23" i="38"/>
  <c r="N23" i="38"/>
  <c r="L31" i="38"/>
  <c r="N31" i="38"/>
  <c r="L37" i="38"/>
  <c r="N37" i="38"/>
  <c r="L53" i="38"/>
  <c r="N53" i="38"/>
  <c r="L59" i="38"/>
  <c r="N59" i="38"/>
  <c r="L70" i="38"/>
  <c r="N70" i="38"/>
  <c r="M89" i="38"/>
  <c r="K89" i="38"/>
  <c r="M127" i="38"/>
  <c r="K127" i="38"/>
  <c r="M18" i="38"/>
  <c r="K18" i="38"/>
  <c r="M28" i="38"/>
  <c r="K28" i="38"/>
  <c r="K34" i="38"/>
  <c r="M34" i="38"/>
  <c r="M39" i="38"/>
  <c r="K39" i="38"/>
  <c r="M55" i="38"/>
  <c r="K55" i="38"/>
  <c r="K66" i="38"/>
  <c r="M66" i="38"/>
  <c r="L101" i="38"/>
  <c r="N101" i="38"/>
  <c r="L119" i="38"/>
  <c r="N119" i="38"/>
  <c r="L124" i="38"/>
  <c r="N124" i="38"/>
  <c r="L12" i="38"/>
  <c r="N12" i="38"/>
  <c r="L48" i="38"/>
  <c r="N48" i="38"/>
  <c r="L57" i="38"/>
  <c r="N57" i="38"/>
  <c r="L6" i="38"/>
  <c r="N6" i="38"/>
  <c r="M98" i="38"/>
  <c r="K98" i="38"/>
  <c r="M101" i="38"/>
  <c r="K101" i="38"/>
  <c r="M114" i="38"/>
  <c r="K114" i="38"/>
  <c r="M122" i="38"/>
  <c r="K122" i="38"/>
  <c r="M124" i="38"/>
  <c r="K124" i="38"/>
  <c r="M6" i="38"/>
  <c r="K6" i="38"/>
  <c r="K43" i="38"/>
  <c r="M43" i="38"/>
  <c r="K50" i="38"/>
  <c r="M50" i="38"/>
  <c r="K61" i="38"/>
  <c r="M61" i="38"/>
  <c r="L95" i="38"/>
  <c r="N95" i="38"/>
  <c r="F129" i="38"/>
  <c r="L82" i="38"/>
  <c r="N82" i="38"/>
  <c r="L18" i="38"/>
  <c r="N18" i="38"/>
  <c r="L28" i="38"/>
  <c r="N28" i="38"/>
  <c r="L34" i="38"/>
  <c r="N34" i="38"/>
  <c r="N39" i="38"/>
  <c r="L39" i="38"/>
  <c r="N55" i="38"/>
  <c r="L55" i="38"/>
  <c r="L66" i="38"/>
  <c r="N66" i="38"/>
  <c r="M95" i="38"/>
  <c r="K95" i="38"/>
  <c r="M82" i="38"/>
  <c r="E129" i="38"/>
  <c r="K82" i="38"/>
  <c r="M15" i="38"/>
  <c r="K15" i="38"/>
  <c r="M23" i="38"/>
  <c r="K23" i="38"/>
  <c r="M31" i="38"/>
  <c r="K31" i="38"/>
  <c r="K37" i="38"/>
  <c r="M37" i="38"/>
  <c r="K53" i="38"/>
  <c r="M53" i="38"/>
  <c r="M59" i="38"/>
  <c r="K59" i="38"/>
  <c r="M70" i="38"/>
  <c r="K70" i="38"/>
  <c r="Q11" i="35"/>
  <c r="E11" i="34"/>
  <c r="F11" i="34"/>
  <c r="G11" i="34"/>
  <c r="H11" i="34"/>
  <c r="I11" i="34"/>
  <c r="J11" i="34"/>
  <c r="K11" i="34"/>
  <c r="L11" i="34"/>
  <c r="M11" i="34"/>
  <c r="N11" i="34"/>
  <c r="O11" i="34"/>
  <c r="P11" i="34"/>
  <c r="Q11" i="31"/>
  <c r="Q11" i="5"/>
  <c r="V11" i="5" s="1"/>
  <c r="K129" i="38" l="1"/>
  <c r="M129" i="38"/>
  <c r="N129" i="38"/>
  <c r="L129" i="38"/>
  <c r="Q11" i="34"/>
  <c r="Q37" i="5"/>
  <c r="R102" i="34"/>
  <c r="R101" i="34"/>
  <c r="T94" i="34"/>
  <c r="T91" i="34"/>
  <c r="T89" i="34"/>
  <c r="T88" i="34"/>
  <c r="T87" i="34"/>
  <c r="T85" i="34"/>
  <c r="T84" i="34"/>
  <c r="T83" i="34"/>
  <c r="T82" i="34"/>
  <c r="T81" i="34"/>
  <c r="T80" i="34"/>
  <c r="T79" i="34"/>
  <c r="T78" i="34"/>
  <c r="T77" i="34"/>
  <c r="T76" i="34"/>
  <c r="T75" i="34"/>
  <c r="T73" i="34"/>
  <c r="T71" i="34"/>
  <c r="T70" i="34"/>
  <c r="T68" i="34"/>
  <c r="T67" i="34"/>
  <c r="T66" i="34"/>
  <c r="T64" i="34"/>
  <c r="T63" i="34"/>
  <c r="T62" i="34"/>
  <c r="T61" i="34"/>
  <c r="T60" i="34"/>
  <c r="T58" i="34"/>
  <c r="T57" i="34"/>
  <c r="T56" i="34"/>
  <c r="T55" i="34"/>
  <c r="T54" i="34"/>
  <c r="T53" i="34"/>
  <c r="T52" i="34"/>
  <c r="T51" i="34"/>
  <c r="T50" i="34"/>
  <c r="T49" i="34"/>
  <c r="T47" i="34"/>
  <c r="T46" i="34"/>
  <c r="T44" i="34"/>
  <c r="T43" i="34"/>
  <c r="T42" i="34"/>
  <c r="T37" i="34"/>
  <c r="T33" i="34"/>
  <c r="T30" i="34"/>
  <c r="T29" i="34"/>
  <c r="T26" i="34"/>
  <c r="T24" i="34"/>
  <c r="T22" i="34"/>
  <c r="T20" i="34"/>
  <c r="T19" i="34"/>
  <c r="T18" i="34"/>
  <c r="T16" i="34"/>
  <c r="T15" i="34"/>
  <c r="T14" i="34"/>
  <c r="T12" i="34"/>
  <c r="T7" i="34"/>
  <c r="T6" i="34"/>
  <c r="Q64" i="35" l="1"/>
  <c r="Q65" i="35"/>
  <c r="E64" i="34"/>
  <c r="F64" i="34"/>
  <c r="G64" i="34"/>
  <c r="H64" i="34"/>
  <c r="I64" i="34"/>
  <c r="J64" i="34"/>
  <c r="K64" i="34"/>
  <c r="L64" i="34"/>
  <c r="M64" i="34"/>
  <c r="N64" i="34"/>
  <c r="O64" i="34"/>
  <c r="P64" i="34"/>
  <c r="E65" i="34"/>
  <c r="F65" i="34"/>
  <c r="G65" i="34"/>
  <c r="H65" i="34"/>
  <c r="I65" i="34"/>
  <c r="J65" i="34"/>
  <c r="K65" i="34"/>
  <c r="L65" i="34"/>
  <c r="M65" i="34"/>
  <c r="N65" i="34"/>
  <c r="O65" i="34"/>
  <c r="P65" i="34"/>
  <c r="Q64" i="31"/>
  <c r="Q65" i="31"/>
  <c r="Q64" i="5"/>
  <c r="Q65" i="5"/>
  <c r="E45" i="2"/>
  <c r="E44" i="2"/>
  <c r="Q65" i="34" l="1"/>
  <c r="Q64" i="34"/>
  <c r="E60" i="34"/>
  <c r="F60" i="34"/>
  <c r="G60" i="34"/>
  <c r="H60" i="34"/>
  <c r="I60" i="34"/>
  <c r="J60" i="34"/>
  <c r="K60" i="34"/>
  <c r="L60" i="34"/>
  <c r="M60" i="34"/>
  <c r="N60" i="34"/>
  <c r="O60" i="34"/>
  <c r="P60" i="34"/>
  <c r="E61" i="34"/>
  <c r="F61" i="34"/>
  <c r="G61" i="34"/>
  <c r="H61" i="34"/>
  <c r="I61" i="34"/>
  <c r="J61" i="34"/>
  <c r="K61" i="34"/>
  <c r="L61" i="34"/>
  <c r="M61" i="34"/>
  <c r="N61" i="34"/>
  <c r="O61" i="34"/>
  <c r="P61" i="34"/>
  <c r="E62" i="34"/>
  <c r="F62" i="34"/>
  <c r="G62" i="34"/>
  <c r="H62" i="34"/>
  <c r="I62" i="34"/>
  <c r="J62" i="34"/>
  <c r="K62" i="34"/>
  <c r="L62" i="34"/>
  <c r="M62" i="34"/>
  <c r="N62" i="34"/>
  <c r="O62" i="34"/>
  <c r="P62" i="34"/>
  <c r="E63" i="34"/>
  <c r="F63" i="34"/>
  <c r="G63" i="34"/>
  <c r="H63" i="34"/>
  <c r="I63" i="34"/>
  <c r="J63" i="34"/>
  <c r="K63" i="34"/>
  <c r="L63" i="34"/>
  <c r="M63" i="34"/>
  <c r="N63" i="34"/>
  <c r="O63" i="34"/>
  <c r="P63" i="34"/>
  <c r="E66" i="34"/>
  <c r="F66" i="34"/>
  <c r="G66" i="34"/>
  <c r="H66" i="34"/>
  <c r="I66" i="34"/>
  <c r="J66" i="34"/>
  <c r="K66" i="34"/>
  <c r="L66" i="34"/>
  <c r="M66" i="34"/>
  <c r="N66" i="34"/>
  <c r="O66" i="34"/>
  <c r="P66" i="34"/>
  <c r="E67" i="34"/>
  <c r="F67" i="34"/>
  <c r="G67" i="34"/>
  <c r="H67" i="34"/>
  <c r="I67" i="34"/>
  <c r="J67" i="34"/>
  <c r="K67" i="34"/>
  <c r="L67" i="34"/>
  <c r="M67" i="34"/>
  <c r="N67" i="34"/>
  <c r="O67" i="34"/>
  <c r="P67" i="34"/>
  <c r="E68" i="34"/>
  <c r="F68" i="34"/>
  <c r="G68" i="34"/>
  <c r="H68" i="34"/>
  <c r="I68" i="34"/>
  <c r="J68" i="34"/>
  <c r="K68" i="34"/>
  <c r="L68" i="34"/>
  <c r="M68" i="34"/>
  <c r="N68" i="34"/>
  <c r="O68" i="34"/>
  <c r="P68" i="34"/>
  <c r="E69" i="34"/>
  <c r="F69" i="34"/>
  <c r="G69" i="34"/>
  <c r="H69" i="34"/>
  <c r="I69" i="34"/>
  <c r="J69" i="34"/>
  <c r="K69" i="34"/>
  <c r="L69" i="34"/>
  <c r="M69" i="34"/>
  <c r="N69" i="34"/>
  <c r="O69" i="34"/>
  <c r="P69" i="34"/>
  <c r="E70" i="34"/>
  <c r="F70" i="34"/>
  <c r="G70" i="34"/>
  <c r="H70" i="34"/>
  <c r="I70" i="34"/>
  <c r="J70" i="34"/>
  <c r="K70" i="34"/>
  <c r="L70" i="34"/>
  <c r="M70" i="34"/>
  <c r="N70" i="34"/>
  <c r="O70" i="34"/>
  <c r="P70" i="34"/>
  <c r="E71" i="34"/>
  <c r="F71" i="34"/>
  <c r="G71" i="34"/>
  <c r="H71" i="34"/>
  <c r="I71" i="34"/>
  <c r="J71" i="34"/>
  <c r="K71" i="34"/>
  <c r="L71" i="34"/>
  <c r="M71" i="34"/>
  <c r="N71" i="34"/>
  <c r="O71" i="34"/>
  <c r="P71" i="34"/>
  <c r="E72" i="34"/>
  <c r="F72" i="34"/>
  <c r="G72" i="34"/>
  <c r="H72" i="34"/>
  <c r="I72" i="34"/>
  <c r="J72" i="34"/>
  <c r="K72" i="34"/>
  <c r="L72" i="34"/>
  <c r="M72" i="34"/>
  <c r="N72" i="34"/>
  <c r="O72" i="34"/>
  <c r="P72" i="34"/>
  <c r="E73" i="34"/>
  <c r="F73" i="34"/>
  <c r="G73" i="34"/>
  <c r="H73" i="34"/>
  <c r="I73" i="34"/>
  <c r="J73" i="34"/>
  <c r="K73" i="34"/>
  <c r="L73" i="34"/>
  <c r="M73" i="34"/>
  <c r="N73" i="34"/>
  <c r="O73" i="34"/>
  <c r="P73" i="34"/>
  <c r="E74" i="34"/>
  <c r="F74" i="34"/>
  <c r="G74" i="34"/>
  <c r="H74" i="34"/>
  <c r="I74" i="34"/>
  <c r="J74" i="34"/>
  <c r="K74" i="34"/>
  <c r="L74" i="34"/>
  <c r="M74" i="34"/>
  <c r="N74" i="34"/>
  <c r="O74" i="34"/>
  <c r="P74" i="34"/>
  <c r="E75" i="34"/>
  <c r="F75" i="34"/>
  <c r="G75" i="34"/>
  <c r="H75" i="34"/>
  <c r="I75" i="34"/>
  <c r="J75" i="34"/>
  <c r="K75" i="34"/>
  <c r="L75" i="34"/>
  <c r="M75" i="34"/>
  <c r="N75" i="34"/>
  <c r="O75" i="34"/>
  <c r="P75" i="34"/>
  <c r="E76" i="34"/>
  <c r="F76" i="34"/>
  <c r="G76" i="34"/>
  <c r="H76" i="34"/>
  <c r="I76" i="34"/>
  <c r="J76" i="34"/>
  <c r="K76" i="34"/>
  <c r="L76" i="34"/>
  <c r="M76" i="34"/>
  <c r="N76" i="34"/>
  <c r="O76" i="34"/>
  <c r="P76" i="34"/>
  <c r="E77" i="34"/>
  <c r="F77" i="34"/>
  <c r="G77" i="34"/>
  <c r="H77" i="34"/>
  <c r="I77" i="34"/>
  <c r="J77" i="34"/>
  <c r="K77" i="34"/>
  <c r="L77" i="34"/>
  <c r="M77" i="34"/>
  <c r="N77" i="34"/>
  <c r="O77" i="34"/>
  <c r="P77" i="34"/>
  <c r="E78" i="34"/>
  <c r="F78" i="34"/>
  <c r="G78" i="34"/>
  <c r="H78" i="34"/>
  <c r="I78" i="34"/>
  <c r="J78" i="34"/>
  <c r="K78" i="34"/>
  <c r="L78" i="34"/>
  <c r="M78" i="34"/>
  <c r="N78" i="34"/>
  <c r="O78" i="34"/>
  <c r="P78" i="34"/>
  <c r="E79" i="34"/>
  <c r="F79" i="34"/>
  <c r="G79" i="34"/>
  <c r="H79" i="34"/>
  <c r="I79" i="34"/>
  <c r="J79" i="34"/>
  <c r="K79" i="34"/>
  <c r="L79" i="34"/>
  <c r="M79" i="34"/>
  <c r="N79" i="34"/>
  <c r="O79" i="34"/>
  <c r="P79" i="34"/>
  <c r="E80" i="34"/>
  <c r="F80" i="34"/>
  <c r="G80" i="34"/>
  <c r="H80" i="34"/>
  <c r="I80" i="34"/>
  <c r="J80" i="34"/>
  <c r="K80" i="34"/>
  <c r="L80" i="34"/>
  <c r="M80" i="34"/>
  <c r="N80" i="34"/>
  <c r="O80" i="34"/>
  <c r="P80" i="34"/>
  <c r="E81" i="34"/>
  <c r="F81" i="34"/>
  <c r="G81" i="34"/>
  <c r="H81" i="34"/>
  <c r="I81" i="34"/>
  <c r="J81" i="34"/>
  <c r="K81" i="34"/>
  <c r="L81" i="34"/>
  <c r="M81" i="34"/>
  <c r="N81" i="34"/>
  <c r="O81" i="34"/>
  <c r="P81" i="34"/>
  <c r="E82" i="34"/>
  <c r="F82" i="34"/>
  <c r="G82" i="34"/>
  <c r="H82" i="34"/>
  <c r="I82" i="34"/>
  <c r="J82" i="34"/>
  <c r="K82" i="34"/>
  <c r="L82" i="34"/>
  <c r="M82" i="34"/>
  <c r="N82" i="34"/>
  <c r="O82" i="34"/>
  <c r="P82" i="34"/>
  <c r="E83" i="34"/>
  <c r="F83" i="34"/>
  <c r="G83" i="34"/>
  <c r="H83" i="34"/>
  <c r="I83" i="34"/>
  <c r="J83" i="34"/>
  <c r="K83" i="34"/>
  <c r="L83" i="34"/>
  <c r="M83" i="34"/>
  <c r="N83" i="34"/>
  <c r="O83" i="34"/>
  <c r="P83" i="34"/>
  <c r="E84" i="34"/>
  <c r="F84" i="34"/>
  <c r="G84" i="34"/>
  <c r="H84" i="34"/>
  <c r="I84" i="34"/>
  <c r="J84" i="34"/>
  <c r="K84" i="34"/>
  <c r="L84" i="34"/>
  <c r="M84" i="34"/>
  <c r="N84" i="34"/>
  <c r="O84" i="34"/>
  <c r="P84" i="34"/>
  <c r="E85" i="34"/>
  <c r="F85" i="34"/>
  <c r="G85" i="34"/>
  <c r="H85" i="34"/>
  <c r="I85" i="34"/>
  <c r="J85" i="34"/>
  <c r="K85" i="34"/>
  <c r="L85" i="34"/>
  <c r="M85" i="34"/>
  <c r="N85" i="34"/>
  <c r="O85" i="34"/>
  <c r="P85" i="34"/>
  <c r="E86" i="34"/>
  <c r="F86" i="34"/>
  <c r="G86" i="34"/>
  <c r="H86" i="34"/>
  <c r="I86" i="34"/>
  <c r="J86" i="34"/>
  <c r="K86" i="34"/>
  <c r="L86" i="34"/>
  <c r="M86" i="34"/>
  <c r="N86" i="34"/>
  <c r="O86" i="34"/>
  <c r="P86" i="34"/>
  <c r="E87" i="34"/>
  <c r="F87" i="34"/>
  <c r="G87" i="34"/>
  <c r="H87" i="34"/>
  <c r="I87" i="34"/>
  <c r="J87" i="34"/>
  <c r="K87" i="34"/>
  <c r="L87" i="34"/>
  <c r="M87" i="34"/>
  <c r="N87" i="34"/>
  <c r="O87" i="34"/>
  <c r="P87" i="34"/>
  <c r="E88" i="34"/>
  <c r="F88" i="34"/>
  <c r="G88" i="34"/>
  <c r="H88" i="34"/>
  <c r="I88" i="34"/>
  <c r="J88" i="34"/>
  <c r="K88" i="34"/>
  <c r="L88" i="34"/>
  <c r="M88" i="34"/>
  <c r="N88" i="34"/>
  <c r="O88" i="34"/>
  <c r="P88" i="34"/>
  <c r="E89" i="34"/>
  <c r="F89" i="34"/>
  <c r="G89" i="34"/>
  <c r="H89" i="34"/>
  <c r="I89" i="34"/>
  <c r="J89" i="34"/>
  <c r="K89" i="34"/>
  <c r="L89" i="34"/>
  <c r="M89" i="34"/>
  <c r="N89" i="34"/>
  <c r="O89" i="34"/>
  <c r="P89" i="34"/>
  <c r="E90" i="34"/>
  <c r="F90" i="34"/>
  <c r="G90" i="34"/>
  <c r="H90" i="34"/>
  <c r="I90" i="34"/>
  <c r="J90" i="34"/>
  <c r="K90" i="34"/>
  <c r="L90" i="34"/>
  <c r="M90" i="34"/>
  <c r="N90" i="34"/>
  <c r="O90" i="34"/>
  <c r="P90" i="34"/>
  <c r="E91" i="34"/>
  <c r="F91" i="34"/>
  <c r="G91" i="34"/>
  <c r="H91" i="34"/>
  <c r="I91" i="34"/>
  <c r="J91" i="34"/>
  <c r="K91" i="34"/>
  <c r="L91" i="34"/>
  <c r="M91" i="34"/>
  <c r="N91" i="34"/>
  <c r="O91" i="34"/>
  <c r="P91" i="34"/>
  <c r="E92" i="34"/>
  <c r="F92" i="34"/>
  <c r="G92" i="34"/>
  <c r="H92" i="34"/>
  <c r="I92" i="34"/>
  <c r="J92" i="34"/>
  <c r="K92" i="34"/>
  <c r="L92" i="34"/>
  <c r="M92" i="34"/>
  <c r="N92" i="34"/>
  <c r="O92" i="34"/>
  <c r="P92" i="34"/>
  <c r="E93" i="34"/>
  <c r="F93" i="34"/>
  <c r="G93" i="34"/>
  <c r="H93" i="34"/>
  <c r="I93" i="34"/>
  <c r="J93" i="34"/>
  <c r="K93" i="34"/>
  <c r="L93" i="34"/>
  <c r="M93" i="34"/>
  <c r="N93" i="34"/>
  <c r="O93" i="34"/>
  <c r="P93" i="34"/>
  <c r="E94" i="34"/>
  <c r="F94" i="34"/>
  <c r="G94" i="34"/>
  <c r="H94" i="34"/>
  <c r="I94" i="34"/>
  <c r="J94" i="34"/>
  <c r="K94" i="34"/>
  <c r="L94" i="34"/>
  <c r="M94" i="34"/>
  <c r="N94" i="34"/>
  <c r="O94" i="34"/>
  <c r="P94" i="34"/>
  <c r="E95" i="34"/>
  <c r="F95" i="34"/>
  <c r="G95" i="34"/>
  <c r="H95" i="34"/>
  <c r="I95" i="34"/>
  <c r="J95" i="34"/>
  <c r="K95" i="34"/>
  <c r="L95" i="34"/>
  <c r="M95" i="34"/>
  <c r="N95" i="34"/>
  <c r="O95" i="34"/>
  <c r="P95" i="34"/>
  <c r="F59" i="34"/>
  <c r="G59" i="34"/>
  <c r="H59" i="34"/>
  <c r="I59" i="34"/>
  <c r="J59" i="34"/>
  <c r="K59" i="34"/>
  <c r="L59" i="34"/>
  <c r="M59" i="34"/>
  <c r="N59" i="34"/>
  <c r="O59" i="34"/>
  <c r="P59" i="34"/>
  <c r="E59" i="34"/>
  <c r="E5" i="34"/>
  <c r="F5" i="34"/>
  <c r="G5" i="34"/>
  <c r="H5" i="34"/>
  <c r="I5" i="34"/>
  <c r="J5" i="34"/>
  <c r="K5" i="34"/>
  <c r="L5" i="34"/>
  <c r="M5" i="34"/>
  <c r="N5" i="34"/>
  <c r="O5" i="34"/>
  <c r="P5" i="34"/>
  <c r="E6" i="34"/>
  <c r="F6" i="34"/>
  <c r="G6" i="34"/>
  <c r="H6" i="34"/>
  <c r="I6" i="34"/>
  <c r="J6" i="34"/>
  <c r="K6" i="34"/>
  <c r="L6" i="34"/>
  <c r="M6" i="34"/>
  <c r="N6" i="34"/>
  <c r="O6" i="34"/>
  <c r="P6" i="34"/>
  <c r="E7" i="34"/>
  <c r="F7" i="34"/>
  <c r="G7" i="34"/>
  <c r="H7" i="34"/>
  <c r="I7" i="34"/>
  <c r="J7" i="34"/>
  <c r="K7" i="34"/>
  <c r="L7" i="34"/>
  <c r="M7" i="34"/>
  <c r="N7" i="34"/>
  <c r="O7" i="34"/>
  <c r="P7" i="34"/>
  <c r="E8" i="34"/>
  <c r="F8" i="34"/>
  <c r="G8" i="34"/>
  <c r="H8" i="34"/>
  <c r="I8" i="34"/>
  <c r="J8" i="34"/>
  <c r="K8" i="34"/>
  <c r="L8" i="34"/>
  <c r="M8" i="34"/>
  <c r="N8" i="34"/>
  <c r="O8" i="34"/>
  <c r="P8" i="34"/>
  <c r="E9" i="34"/>
  <c r="F9" i="34"/>
  <c r="G9" i="34"/>
  <c r="H9" i="34"/>
  <c r="I9" i="34"/>
  <c r="J9" i="34"/>
  <c r="K9" i="34"/>
  <c r="L9" i="34"/>
  <c r="M9" i="34"/>
  <c r="N9" i="34"/>
  <c r="O9" i="34"/>
  <c r="P9" i="34"/>
  <c r="E10" i="34"/>
  <c r="F10" i="34"/>
  <c r="G10" i="34"/>
  <c r="H10" i="34"/>
  <c r="I10" i="34"/>
  <c r="J10" i="34"/>
  <c r="K10" i="34"/>
  <c r="L10" i="34"/>
  <c r="M10" i="34"/>
  <c r="N10" i="34"/>
  <c r="O10" i="34"/>
  <c r="P10" i="34"/>
  <c r="E12" i="34"/>
  <c r="F12" i="34"/>
  <c r="G12" i="34"/>
  <c r="H12" i="34"/>
  <c r="I12" i="34"/>
  <c r="J12" i="34"/>
  <c r="K12" i="34"/>
  <c r="L12" i="34"/>
  <c r="M12" i="34"/>
  <c r="N12" i="34"/>
  <c r="O12" i="34"/>
  <c r="P12" i="34"/>
  <c r="E13" i="34"/>
  <c r="F13" i="34"/>
  <c r="G13" i="34"/>
  <c r="H13" i="34"/>
  <c r="I13" i="34"/>
  <c r="J13" i="34"/>
  <c r="K13" i="34"/>
  <c r="L13" i="34"/>
  <c r="M13" i="34"/>
  <c r="N13" i="34"/>
  <c r="O13" i="34"/>
  <c r="P13" i="34"/>
  <c r="E14" i="34"/>
  <c r="F14" i="34"/>
  <c r="G14" i="34"/>
  <c r="H14" i="34"/>
  <c r="I14" i="34"/>
  <c r="J14" i="34"/>
  <c r="K14" i="34"/>
  <c r="L14" i="34"/>
  <c r="M14" i="34"/>
  <c r="N14" i="34"/>
  <c r="O14" i="34"/>
  <c r="P14" i="34"/>
  <c r="E15" i="34"/>
  <c r="F15" i="34"/>
  <c r="G15" i="34"/>
  <c r="H15" i="34"/>
  <c r="I15" i="34"/>
  <c r="J15" i="34"/>
  <c r="K15" i="34"/>
  <c r="L15" i="34"/>
  <c r="M15" i="34"/>
  <c r="N15" i="34"/>
  <c r="O15" i="34"/>
  <c r="P15" i="34"/>
  <c r="E16" i="34"/>
  <c r="F16" i="34"/>
  <c r="G16" i="34"/>
  <c r="H16" i="34"/>
  <c r="I16" i="34"/>
  <c r="J16" i="34"/>
  <c r="K16" i="34"/>
  <c r="L16" i="34"/>
  <c r="M16" i="34"/>
  <c r="N16" i="34"/>
  <c r="O16" i="34"/>
  <c r="P16" i="34"/>
  <c r="E17" i="34"/>
  <c r="F17" i="34"/>
  <c r="G17" i="34"/>
  <c r="H17" i="34"/>
  <c r="I17" i="34"/>
  <c r="J17" i="34"/>
  <c r="K17" i="34"/>
  <c r="L17" i="34"/>
  <c r="M17" i="34"/>
  <c r="N17" i="34"/>
  <c r="O17" i="34"/>
  <c r="P17" i="34"/>
  <c r="E18" i="34"/>
  <c r="F18" i="34"/>
  <c r="G18" i="34"/>
  <c r="H18" i="34"/>
  <c r="I18" i="34"/>
  <c r="J18" i="34"/>
  <c r="K18" i="34"/>
  <c r="L18" i="34"/>
  <c r="M18" i="34"/>
  <c r="N18" i="34"/>
  <c r="O18" i="34"/>
  <c r="P18" i="34"/>
  <c r="E19" i="34"/>
  <c r="F19" i="34"/>
  <c r="G19" i="34"/>
  <c r="H19" i="34"/>
  <c r="I19" i="34"/>
  <c r="J19" i="34"/>
  <c r="K19" i="34"/>
  <c r="L19" i="34"/>
  <c r="M19" i="34"/>
  <c r="N19" i="34"/>
  <c r="O19" i="34"/>
  <c r="P19" i="34"/>
  <c r="E20" i="34"/>
  <c r="F20" i="34"/>
  <c r="G20" i="34"/>
  <c r="H20" i="34"/>
  <c r="I20" i="34"/>
  <c r="J20" i="34"/>
  <c r="K20" i="34"/>
  <c r="L20" i="34"/>
  <c r="M20" i="34"/>
  <c r="N20" i="34"/>
  <c r="O20" i="34"/>
  <c r="P20" i="34"/>
  <c r="E21" i="34"/>
  <c r="F21" i="34"/>
  <c r="G21" i="34"/>
  <c r="H21" i="34"/>
  <c r="I21" i="34"/>
  <c r="J21" i="34"/>
  <c r="K21" i="34"/>
  <c r="L21" i="34"/>
  <c r="M21" i="34"/>
  <c r="N21" i="34"/>
  <c r="O21" i="34"/>
  <c r="P21" i="34"/>
  <c r="E22" i="34"/>
  <c r="F22" i="34"/>
  <c r="G22" i="34"/>
  <c r="H22" i="34"/>
  <c r="I22" i="34"/>
  <c r="J22" i="34"/>
  <c r="K22" i="34"/>
  <c r="L22" i="34"/>
  <c r="M22" i="34"/>
  <c r="N22" i="34"/>
  <c r="O22" i="34"/>
  <c r="P22" i="34"/>
  <c r="E23" i="34"/>
  <c r="F23" i="34"/>
  <c r="G23" i="34"/>
  <c r="H23" i="34"/>
  <c r="I23" i="34"/>
  <c r="J23" i="34"/>
  <c r="K23" i="34"/>
  <c r="L23" i="34"/>
  <c r="M23" i="34"/>
  <c r="N23" i="34"/>
  <c r="O23" i="34"/>
  <c r="P23" i="34"/>
  <c r="E24" i="34"/>
  <c r="F24" i="34"/>
  <c r="G24" i="34"/>
  <c r="H24" i="34"/>
  <c r="I24" i="34"/>
  <c r="J24" i="34"/>
  <c r="K24" i="34"/>
  <c r="L24" i="34"/>
  <c r="M24" i="34"/>
  <c r="N24" i="34"/>
  <c r="O24" i="34"/>
  <c r="P24" i="34"/>
  <c r="E25" i="34"/>
  <c r="F25" i="34"/>
  <c r="G25" i="34"/>
  <c r="H25" i="34"/>
  <c r="I25" i="34"/>
  <c r="J25" i="34"/>
  <c r="K25" i="34"/>
  <c r="L25" i="34"/>
  <c r="M25" i="34"/>
  <c r="N25" i="34"/>
  <c r="O25" i="34"/>
  <c r="P25" i="34"/>
  <c r="E26" i="34"/>
  <c r="F26" i="34"/>
  <c r="G26" i="34"/>
  <c r="H26" i="34"/>
  <c r="I26" i="34"/>
  <c r="J26" i="34"/>
  <c r="K26" i="34"/>
  <c r="L26" i="34"/>
  <c r="M26" i="34"/>
  <c r="N26" i="34"/>
  <c r="O26" i="34"/>
  <c r="P26" i="34"/>
  <c r="E27" i="34"/>
  <c r="F27" i="34"/>
  <c r="G27" i="34"/>
  <c r="H27" i="34"/>
  <c r="I27" i="34"/>
  <c r="J27" i="34"/>
  <c r="K27" i="34"/>
  <c r="L27" i="34"/>
  <c r="M27" i="34"/>
  <c r="N27" i="34"/>
  <c r="O27" i="34"/>
  <c r="P27" i="34"/>
  <c r="E28" i="34"/>
  <c r="F28" i="34"/>
  <c r="G28" i="34"/>
  <c r="H28" i="34"/>
  <c r="I28" i="34"/>
  <c r="J28" i="34"/>
  <c r="K28" i="34"/>
  <c r="L28" i="34"/>
  <c r="M28" i="34"/>
  <c r="N28" i="34"/>
  <c r="O28" i="34"/>
  <c r="P28" i="34"/>
  <c r="E29" i="34"/>
  <c r="F29" i="34"/>
  <c r="G29" i="34"/>
  <c r="H29" i="34"/>
  <c r="I29" i="34"/>
  <c r="J29" i="34"/>
  <c r="K29" i="34"/>
  <c r="L29" i="34"/>
  <c r="M29" i="34"/>
  <c r="N29" i="34"/>
  <c r="O29" i="34"/>
  <c r="P29" i="34"/>
  <c r="E30" i="34"/>
  <c r="F30" i="34"/>
  <c r="G30" i="34"/>
  <c r="H30" i="34"/>
  <c r="I30" i="34"/>
  <c r="J30" i="34"/>
  <c r="K30" i="34"/>
  <c r="L30" i="34"/>
  <c r="M30" i="34"/>
  <c r="N30" i="34"/>
  <c r="O30" i="34"/>
  <c r="P30" i="34"/>
  <c r="E31" i="34"/>
  <c r="F31" i="34"/>
  <c r="G31" i="34"/>
  <c r="H31" i="34"/>
  <c r="I31" i="34"/>
  <c r="J31" i="34"/>
  <c r="K31" i="34"/>
  <c r="L31" i="34"/>
  <c r="M31" i="34"/>
  <c r="N31" i="34"/>
  <c r="O31" i="34"/>
  <c r="P31" i="34"/>
  <c r="E32" i="34"/>
  <c r="F32" i="34"/>
  <c r="G32" i="34"/>
  <c r="H32" i="34"/>
  <c r="I32" i="34"/>
  <c r="J32" i="34"/>
  <c r="K32" i="34"/>
  <c r="L32" i="34"/>
  <c r="M32" i="34"/>
  <c r="N32" i="34"/>
  <c r="O32" i="34"/>
  <c r="P32" i="34"/>
  <c r="E33" i="34"/>
  <c r="F33" i="34"/>
  <c r="G33" i="34"/>
  <c r="H33" i="34"/>
  <c r="I33" i="34"/>
  <c r="J33" i="34"/>
  <c r="K33" i="34"/>
  <c r="L33" i="34"/>
  <c r="M33" i="34"/>
  <c r="N33" i="34"/>
  <c r="O33" i="34"/>
  <c r="P33" i="34"/>
  <c r="E34" i="34"/>
  <c r="F34" i="34"/>
  <c r="G34" i="34"/>
  <c r="H34" i="34"/>
  <c r="I34" i="34"/>
  <c r="J34" i="34"/>
  <c r="K34" i="34"/>
  <c r="L34" i="34"/>
  <c r="M34" i="34"/>
  <c r="N34" i="34"/>
  <c r="O34" i="34"/>
  <c r="P34" i="34"/>
  <c r="E35" i="34"/>
  <c r="F35" i="34"/>
  <c r="G35" i="34"/>
  <c r="H35" i="34"/>
  <c r="I35" i="34"/>
  <c r="J35" i="34"/>
  <c r="K35" i="34"/>
  <c r="L35" i="34"/>
  <c r="M35" i="34"/>
  <c r="N35" i="34"/>
  <c r="O35" i="34"/>
  <c r="P35" i="34"/>
  <c r="E36" i="34"/>
  <c r="F36" i="34"/>
  <c r="G36" i="34"/>
  <c r="H36" i="34"/>
  <c r="I36" i="34"/>
  <c r="J36" i="34"/>
  <c r="K36" i="34"/>
  <c r="L36" i="34"/>
  <c r="M36" i="34"/>
  <c r="N36" i="34"/>
  <c r="O36" i="34"/>
  <c r="P36" i="34"/>
  <c r="E37" i="34"/>
  <c r="F37" i="34"/>
  <c r="G37" i="34"/>
  <c r="H37" i="34"/>
  <c r="I37" i="34"/>
  <c r="J37" i="34"/>
  <c r="K37" i="34"/>
  <c r="L37" i="34"/>
  <c r="M37" i="34"/>
  <c r="N37" i="34"/>
  <c r="O37" i="34"/>
  <c r="P37" i="34"/>
  <c r="E38" i="34"/>
  <c r="F38" i="34"/>
  <c r="G38" i="34"/>
  <c r="H38" i="34"/>
  <c r="I38" i="34"/>
  <c r="J38" i="34"/>
  <c r="K38" i="34"/>
  <c r="L38" i="34"/>
  <c r="M38" i="34"/>
  <c r="N38" i="34"/>
  <c r="O38" i="34"/>
  <c r="P38" i="34"/>
  <c r="E39" i="34"/>
  <c r="F39" i="34"/>
  <c r="G39" i="34"/>
  <c r="H39" i="34"/>
  <c r="I39" i="34"/>
  <c r="J39" i="34"/>
  <c r="K39" i="34"/>
  <c r="L39" i="34"/>
  <c r="M39" i="34"/>
  <c r="N39" i="34"/>
  <c r="O39" i="34"/>
  <c r="P39" i="34"/>
  <c r="E40" i="34"/>
  <c r="F40" i="34"/>
  <c r="G40" i="34"/>
  <c r="H40" i="34"/>
  <c r="I40" i="34"/>
  <c r="J40" i="34"/>
  <c r="K40" i="34"/>
  <c r="L40" i="34"/>
  <c r="M40" i="34"/>
  <c r="N40" i="34"/>
  <c r="O40" i="34"/>
  <c r="P40" i="34"/>
  <c r="E41" i="34"/>
  <c r="F41" i="34"/>
  <c r="G41" i="34"/>
  <c r="H41" i="34"/>
  <c r="I41" i="34"/>
  <c r="J41" i="34"/>
  <c r="K41" i="34"/>
  <c r="L41" i="34"/>
  <c r="M41" i="34"/>
  <c r="N41" i="34"/>
  <c r="O41" i="34"/>
  <c r="P41" i="34"/>
  <c r="E42" i="34"/>
  <c r="F42" i="34"/>
  <c r="G42" i="34"/>
  <c r="H42" i="34"/>
  <c r="I42" i="34"/>
  <c r="J42" i="34"/>
  <c r="K42" i="34"/>
  <c r="L42" i="34"/>
  <c r="M42" i="34"/>
  <c r="N42" i="34"/>
  <c r="O42" i="34"/>
  <c r="P42" i="34"/>
  <c r="E43" i="34"/>
  <c r="F43" i="34"/>
  <c r="G43" i="34"/>
  <c r="H43" i="34"/>
  <c r="I43" i="34"/>
  <c r="J43" i="34"/>
  <c r="K43" i="34"/>
  <c r="L43" i="34"/>
  <c r="M43" i="34"/>
  <c r="N43" i="34"/>
  <c r="O43" i="34"/>
  <c r="P43" i="34"/>
  <c r="E44" i="34"/>
  <c r="F44" i="34"/>
  <c r="G44" i="34"/>
  <c r="H44" i="34"/>
  <c r="I44" i="34"/>
  <c r="J44" i="34"/>
  <c r="K44" i="34"/>
  <c r="L44" i="34"/>
  <c r="M44" i="34"/>
  <c r="N44" i="34"/>
  <c r="O44" i="34"/>
  <c r="P44" i="34"/>
  <c r="E45" i="34"/>
  <c r="F45" i="34"/>
  <c r="G45" i="34"/>
  <c r="H45" i="34"/>
  <c r="I45" i="34"/>
  <c r="J45" i="34"/>
  <c r="K45" i="34"/>
  <c r="L45" i="34"/>
  <c r="M45" i="34"/>
  <c r="N45" i="34"/>
  <c r="O45" i="34"/>
  <c r="P45" i="34"/>
  <c r="E46" i="34"/>
  <c r="F46" i="34"/>
  <c r="G46" i="34"/>
  <c r="H46" i="34"/>
  <c r="I46" i="34"/>
  <c r="J46" i="34"/>
  <c r="K46" i="34"/>
  <c r="L46" i="34"/>
  <c r="M46" i="34"/>
  <c r="N46" i="34"/>
  <c r="O46" i="34"/>
  <c r="P46" i="34"/>
  <c r="E47" i="34"/>
  <c r="F47" i="34"/>
  <c r="G47" i="34"/>
  <c r="H47" i="34"/>
  <c r="I47" i="34"/>
  <c r="J47" i="34"/>
  <c r="K47" i="34"/>
  <c r="L47" i="34"/>
  <c r="M47" i="34"/>
  <c r="N47" i="34"/>
  <c r="O47" i="34"/>
  <c r="P47" i="34"/>
  <c r="E48" i="34"/>
  <c r="F48" i="34"/>
  <c r="G48" i="34"/>
  <c r="H48" i="34"/>
  <c r="I48" i="34"/>
  <c r="J48" i="34"/>
  <c r="K48" i="34"/>
  <c r="L48" i="34"/>
  <c r="M48" i="34"/>
  <c r="N48" i="34"/>
  <c r="O48" i="34"/>
  <c r="P48" i="34"/>
  <c r="F4" i="34"/>
  <c r="G4" i="34"/>
  <c r="H4" i="34"/>
  <c r="I4" i="34"/>
  <c r="J4" i="34"/>
  <c r="K4" i="34"/>
  <c r="L4" i="34"/>
  <c r="M4" i="34"/>
  <c r="N4" i="34"/>
  <c r="O4" i="34"/>
  <c r="P4" i="34"/>
  <c r="E4" i="34"/>
  <c r="Q60" i="35" l="1"/>
  <c r="Q61" i="35"/>
  <c r="Q62" i="35"/>
  <c r="Q63" i="35"/>
  <c r="Q66" i="35"/>
  <c r="Q67" i="35"/>
  <c r="Q68" i="35"/>
  <c r="Q69" i="35"/>
  <c r="Q70" i="35"/>
  <c r="Q71" i="35"/>
  <c r="Q72" i="35"/>
  <c r="Q73" i="35"/>
  <c r="Q74" i="35"/>
  <c r="Q75" i="35"/>
  <c r="Q76" i="35"/>
  <c r="Q77" i="35"/>
  <c r="Q78" i="35"/>
  <c r="Q79" i="35"/>
  <c r="Q80" i="35"/>
  <c r="Q81" i="35"/>
  <c r="Q82" i="35"/>
  <c r="Q83" i="35"/>
  <c r="Q84" i="35"/>
  <c r="Q85" i="35"/>
  <c r="Q86" i="35"/>
  <c r="Q87" i="35"/>
  <c r="Q88" i="35"/>
  <c r="Q89" i="35"/>
  <c r="Q90" i="35"/>
  <c r="Q91" i="35"/>
  <c r="Q92" i="35"/>
  <c r="Q93" i="35"/>
  <c r="Q94" i="35"/>
  <c r="Q95" i="35"/>
  <c r="Q59" i="35"/>
  <c r="Q5" i="35"/>
  <c r="Q6" i="35"/>
  <c r="Q7" i="35"/>
  <c r="Q8" i="35"/>
  <c r="Q9" i="35"/>
  <c r="Q10" i="35"/>
  <c r="Q12" i="35"/>
  <c r="Q13" i="35"/>
  <c r="Q14" i="35"/>
  <c r="Q15" i="35"/>
  <c r="Q16" i="35"/>
  <c r="Q17" i="35"/>
  <c r="Q18" i="35"/>
  <c r="Q19" i="35"/>
  <c r="Q20" i="35"/>
  <c r="Q21" i="35"/>
  <c r="Q22" i="35"/>
  <c r="Q23" i="35"/>
  <c r="Q24" i="35"/>
  <c r="Q25" i="35"/>
  <c r="Q26" i="35"/>
  <c r="Q27" i="35"/>
  <c r="Q28" i="35"/>
  <c r="Q29" i="35"/>
  <c r="Q30" i="35"/>
  <c r="Q31" i="35"/>
  <c r="Q32" i="35"/>
  <c r="Q33" i="35"/>
  <c r="Q34" i="35"/>
  <c r="Q35" i="35"/>
  <c r="Q36" i="35"/>
  <c r="Q37" i="35"/>
  <c r="Q38" i="35"/>
  <c r="Q39" i="35"/>
  <c r="Q40" i="35"/>
  <c r="Q41" i="35"/>
  <c r="Q42" i="35"/>
  <c r="Q43" i="35"/>
  <c r="Q44" i="35"/>
  <c r="Q45" i="35"/>
  <c r="Q46" i="35"/>
  <c r="Q47" i="35"/>
  <c r="Q48" i="35"/>
  <c r="Q4" i="35"/>
  <c r="P97" i="35"/>
  <c r="O97" i="35"/>
  <c r="N97" i="35"/>
  <c r="M97" i="35"/>
  <c r="L97" i="35"/>
  <c r="K97" i="35"/>
  <c r="J97" i="35"/>
  <c r="I97" i="35"/>
  <c r="H97" i="35"/>
  <c r="G97" i="35"/>
  <c r="F97" i="35"/>
  <c r="E97" i="35"/>
  <c r="P50" i="35"/>
  <c r="P101" i="35" s="1"/>
  <c r="O50" i="35"/>
  <c r="O101" i="35" s="1"/>
  <c r="N50" i="35"/>
  <c r="M50" i="35"/>
  <c r="M101" i="35" s="1"/>
  <c r="L50" i="35"/>
  <c r="L101" i="35" s="1"/>
  <c r="K50" i="35"/>
  <c r="K101" i="35" s="1"/>
  <c r="J50" i="35"/>
  <c r="I50" i="35"/>
  <c r="I101" i="35" s="1"/>
  <c r="H50" i="35"/>
  <c r="H101" i="35" s="1"/>
  <c r="G50" i="35"/>
  <c r="G101" i="35" s="1"/>
  <c r="F50" i="35"/>
  <c r="E50" i="35"/>
  <c r="E101" i="35" s="1"/>
  <c r="P97" i="34"/>
  <c r="O97" i="34"/>
  <c r="N97" i="34"/>
  <c r="M97" i="34"/>
  <c r="L97" i="34"/>
  <c r="K97" i="34"/>
  <c r="J97" i="34"/>
  <c r="I97" i="34"/>
  <c r="H97" i="34"/>
  <c r="G97" i="34"/>
  <c r="F97" i="34"/>
  <c r="E97" i="34"/>
  <c r="Q95" i="34"/>
  <c r="Q94" i="34"/>
  <c r="Q93" i="34"/>
  <c r="S93" i="34" s="1"/>
  <c r="Q92" i="34"/>
  <c r="Q91" i="34"/>
  <c r="Q90" i="34"/>
  <c r="Q89" i="34"/>
  <c r="Q88" i="34"/>
  <c r="Q87" i="34"/>
  <c r="Q86" i="34"/>
  <c r="Q85" i="34"/>
  <c r="Q84" i="34"/>
  <c r="Q83" i="34"/>
  <c r="Q82" i="34"/>
  <c r="Q81" i="34"/>
  <c r="Q80" i="34"/>
  <c r="Q79" i="34"/>
  <c r="Q78" i="34"/>
  <c r="Q77" i="34"/>
  <c r="Q76" i="34"/>
  <c r="Q75" i="34"/>
  <c r="Q74" i="34"/>
  <c r="Q73" i="34"/>
  <c r="Q72" i="34"/>
  <c r="Q71" i="34"/>
  <c r="Q70" i="34"/>
  <c r="Q69" i="34"/>
  <c r="Q68" i="34"/>
  <c r="Q67" i="34"/>
  <c r="Q66" i="34"/>
  <c r="Q63" i="34"/>
  <c r="Q62" i="34"/>
  <c r="Q61" i="34"/>
  <c r="Q60" i="34"/>
  <c r="Q59" i="34"/>
  <c r="S59" i="34" s="1"/>
  <c r="P50" i="34"/>
  <c r="O50" i="34"/>
  <c r="N50" i="34"/>
  <c r="M50" i="34"/>
  <c r="L50" i="34"/>
  <c r="K50" i="34"/>
  <c r="J50" i="34"/>
  <c r="I50" i="34"/>
  <c r="H50" i="34"/>
  <c r="G50" i="34"/>
  <c r="F50" i="34"/>
  <c r="E50" i="34"/>
  <c r="Q48" i="34"/>
  <c r="Q47" i="34"/>
  <c r="Q46" i="34"/>
  <c r="Q45" i="34"/>
  <c r="Q44" i="34"/>
  <c r="Q43" i="34"/>
  <c r="Q42" i="34"/>
  <c r="Q41" i="34"/>
  <c r="S41" i="34" s="1"/>
  <c r="Q40" i="34"/>
  <c r="S40" i="34" s="1"/>
  <c r="Q39" i="34"/>
  <c r="S39" i="34" s="1"/>
  <c r="Q38" i="34"/>
  <c r="S38" i="34" s="1"/>
  <c r="Q37" i="34"/>
  <c r="Q36" i="34"/>
  <c r="Q35" i="34"/>
  <c r="S35" i="34" s="1"/>
  <c r="Q34" i="34"/>
  <c r="Q33" i="34"/>
  <c r="Q32" i="34"/>
  <c r="Q31" i="34"/>
  <c r="Q30" i="34"/>
  <c r="Q29" i="34"/>
  <c r="Q28" i="34"/>
  <c r="S28" i="34" s="1"/>
  <c r="Q27" i="34"/>
  <c r="Q26" i="34"/>
  <c r="S27" i="34" s="1"/>
  <c r="Q25" i="34"/>
  <c r="Q24" i="34"/>
  <c r="Q23" i="34"/>
  <c r="Q22" i="34"/>
  <c r="Q21" i="34"/>
  <c r="Q20" i="34"/>
  <c r="Q19" i="34"/>
  <c r="Q18" i="34"/>
  <c r="Q17" i="34"/>
  <c r="Q16" i="34"/>
  <c r="Q15" i="34"/>
  <c r="Q14" i="34"/>
  <c r="Q13" i="34"/>
  <c r="Q12" i="34"/>
  <c r="S13" i="34" s="1"/>
  <c r="Q10" i="34"/>
  <c r="S10" i="34" s="1"/>
  <c r="Q9" i="34"/>
  <c r="S9" i="34" s="1"/>
  <c r="Q8" i="34"/>
  <c r="F9" i="38" s="1"/>
  <c r="Q7" i="34"/>
  <c r="F8" i="38" s="1"/>
  <c r="Q6" i="34"/>
  <c r="Q5" i="34"/>
  <c r="Q4" i="34"/>
  <c r="Q87" i="31"/>
  <c r="Q88" i="31"/>
  <c r="Q89" i="31"/>
  <c r="Q90" i="31"/>
  <c r="Q72" i="31"/>
  <c r="Q37" i="31"/>
  <c r="Q16" i="31"/>
  <c r="Q17" i="31"/>
  <c r="Q87" i="5"/>
  <c r="Q88" i="5"/>
  <c r="Q89" i="5"/>
  <c r="Q90" i="5"/>
  <c r="Q72" i="5"/>
  <c r="Q16" i="5"/>
  <c r="Q17" i="5"/>
  <c r="E14" i="2"/>
  <c r="E12" i="2"/>
  <c r="E34" i="2"/>
  <c r="E52" i="2"/>
  <c r="L8" i="38" l="1"/>
  <c r="N8" i="38"/>
  <c r="N9" i="38"/>
  <c r="F10" i="38"/>
  <c r="L9" i="38"/>
  <c r="S32" i="34"/>
  <c r="F44" i="38"/>
  <c r="S92" i="34"/>
  <c r="S21" i="34"/>
  <c r="S17" i="34"/>
  <c r="T17" i="34" s="1"/>
  <c r="S23" i="34"/>
  <c r="V23" i="34" s="1"/>
  <c r="S95" i="34"/>
  <c r="T95" i="34" s="1"/>
  <c r="S69" i="34"/>
  <c r="W69" i="34" s="1"/>
  <c r="V10" i="34"/>
  <c r="T10" i="34"/>
  <c r="V35" i="34"/>
  <c r="T35" i="34"/>
  <c r="W92" i="34"/>
  <c r="T92" i="34"/>
  <c r="V9" i="34"/>
  <c r="T9" i="34"/>
  <c r="V13" i="34"/>
  <c r="T13" i="34"/>
  <c r="W28" i="34"/>
  <c r="T28" i="34"/>
  <c r="W27" i="34"/>
  <c r="T27" i="34"/>
  <c r="S5" i="34"/>
  <c r="S36" i="34"/>
  <c r="T36" i="34" s="1"/>
  <c r="W59" i="34"/>
  <c r="T59" i="34"/>
  <c r="W93" i="34"/>
  <c r="T93" i="34"/>
  <c r="W38" i="34"/>
  <c r="T38" i="34"/>
  <c r="W95" i="34"/>
  <c r="W17" i="34"/>
  <c r="S8" i="34"/>
  <c r="V39" i="34"/>
  <c r="T39" i="34"/>
  <c r="S25" i="34"/>
  <c r="V32" i="34"/>
  <c r="T32" i="34"/>
  <c r="W40" i="34"/>
  <c r="T40" i="34"/>
  <c r="S34" i="34"/>
  <c r="V41" i="34"/>
  <c r="T41" i="34"/>
  <c r="S74" i="34"/>
  <c r="V21" i="34"/>
  <c r="T21" i="34"/>
  <c r="S86" i="34"/>
  <c r="W86" i="34" s="1"/>
  <c r="S45" i="34"/>
  <c r="S48" i="34"/>
  <c r="S31" i="34"/>
  <c r="S72" i="34"/>
  <c r="S90" i="34"/>
  <c r="W90" i="34" s="1"/>
  <c r="S65" i="34"/>
  <c r="F101" i="34"/>
  <c r="Q50" i="35"/>
  <c r="Q101" i="35" s="1"/>
  <c r="Q97" i="35"/>
  <c r="F101" i="35"/>
  <c r="N101" i="35"/>
  <c r="J101" i="35"/>
  <c r="N101" i="34"/>
  <c r="J101" i="34"/>
  <c r="Q97" i="34"/>
  <c r="G101" i="34"/>
  <c r="O101" i="34"/>
  <c r="H101" i="34"/>
  <c r="P101" i="34"/>
  <c r="I101" i="34"/>
  <c r="K101" i="34"/>
  <c r="L101" i="34"/>
  <c r="M101" i="34"/>
  <c r="E101" i="34"/>
  <c r="Q50" i="34"/>
  <c r="F97" i="31"/>
  <c r="E97" i="31"/>
  <c r="P50" i="31"/>
  <c r="O50" i="31"/>
  <c r="N50" i="31"/>
  <c r="M50" i="31"/>
  <c r="L50" i="31"/>
  <c r="K50" i="31"/>
  <c r="J50" i="31"/>
  <c r="I50" i="31"/>
  <c r="H50" i="31"/>
  <c r="G50" i="31"/>
  <c r="F50" i="31"/>
  <c r="E50" i="31"/>
  <c r="Q42" i="31"/>
  <c r="Q43" i="31"/>
  <c r="Q44" i="31"/>
  <c r="Q45" i="31"/>
  <c r="Q46" i="31"/>
  <c r="Q47" i="31"/>
  <c r="Q48" i="31"/>
  <c r="E97" i="5"/>
  <c r="P50" i="5"/>
  <c r="O50" i="5"/>
  <c r="N50" i="5"/>
  <c r="M50" i="5"/>
  <c r="L50" i="5"/>
  <c r="K50" i="5"/>
  <c r="J50" i="5"/>
  <c r="I50" i="5"/>
  <c r="H50" i="5"/>
  <c r="G50" i="5"/>
  <c r="Q42" i="5"/>
  <c r="Q43" i="5"/>
  <c r="Q44" i="5"/>
  <c r="Q45" i="5"/>
  <c r="Q46" i="5"/>
  <c r="Q47" i="5"/>
  <c r="Q48" i="5"/>
  <c r="E50" i="5"/>
  <c r="F50" i="5"/>
  <c r="N10" i="38" l="1"/>
  <c r="L10" i="38"/>
  <c r="L44" i="38"/>
  <c r="F45" i="38"/>
  <c r="N44" i="38"/>
  <c r="T69" i="34"/>
  <c r="T23" i="34"/>
  <c r="T90" i="34"/>
  <c r="W36" i="34"/>
  <c r="T48" i="34"/>
  <c r="V48" i="34"/>
  <c r="T45" i="34"/>
  <c r="V45" i="34"/>
  <c r="W74" i="34"/>
  <c r="T74" i="34"/>
  <c r="V5" i="34"/>
  <c r="T5" i="34"/>
  <c r="W65" i="34"/>
  <c r="T65" i="34"/>
  <c r="V25" i="34"/>
  <c r="T25" i="34"/>
  <c r="V34" i="34"/>
  <c r="T34" i="34"/>
  <c r="V8" i="34"/>
  <c r="T8" i="34"/>
  <c r="T31" i="34"/>
  <c r="V31" i="34"/>
  <c r="T86" i="34"/>
  <c r="T72" i="34"/>
  <c r="W72" i="34"/>
  <c r="S101" i="34"/>
  <c r="S102" i="34" s="1"/>
  <c r="Q101" i="34"/>
  <c r="E101" i="5"/>
  <c r="E8" i="2"/>
  <c r="N45" i="38" l="1"/>
  <c r="L45" i="38"/>
  <c r="F72" i="38"/>
  <c r="V101" i="34"/>
  <c r="T101" i="34"/>
  <c r="W101" i="34"/>
  <c r="X102" i="34" s="1"/>
  <c r="X101" i="34"/>
  <c r="V102" i="34"/>
  <c r="V104" i="34" s="1"/>
  <c r="Q4" i="31"/>
  <c r="J19" i="33"/>
  <c r="E19" i="33"/>
  <c r="C19" i="33"/>
  <c r="M17" i="33"/>
  <c r="N17" i="33" s="1"/>
  <c r="L17" i="33"/>
  <c r="K17" i="33"/>
  <c r="M16" i="33"/>
  <c r="N16" i="33" s="1"/>
  <c r="L16" i="33"/>
  <c r="K16" i="33"/>
  <c r="M15" i="33"/>
  <c r="N15" i="33" s="1"/>
  <c r="L15" i="33"/>
  <c r="K15" i="33"/>
  <c r="M14" i="33"/>
  <c r="N14" i="33" s="1"/>
  <c r="L14" i="33"/>
  <c r="K14" i="33"/>
  <c r="M13" i="33"/>
  <c r="N13" i="33" s="1"/>
  <c r="L13" i="33"/>
  <c r="K13" i="33"/>
  <c r="M12" i="33"/>
  <c r="N12" i="33" s="1"/>
  <c r="L12" i="33"/>
  <c r="K12" i="33"/>
  <c r="M11" i="33"/>
  <c r="N11" i="33" s="1"/>
  <c r="L11" i="33"/>
  <c r="K11" i="33"/>
  <c r="M10" i="33"/>
  <c r="N10" i="33" s="1"/>
  <c r="L10" i="33"/>
  <c r="K10" i="33"/>
  <c r="M9" i="33"/>
  <c r="N9" i="33" s="1"/>
  <c r="L9" i="33"/>
  <c r="K9" i="33"/>
  <c r="M8" i="33"/>
  <c r="N8" i="33" s="1"/>
  <c r="L8" i="33"/>
  <c r="K8" i="33"/>
  <c r="M7" i="33"/>
  <c r="L7" i="33"/>
  <c r="K7" i="33"/>
  <c r="Q6" i="33"/>
  <c r="Q7" i="33" s="1"/>
  <c r="P2" i="33"/>
  <c r="Q4" i="33" s="1"/>
  <c r="O2" i="33"/>
  <c r="N72" i="38" l="1"/>
  <c r="F133" i="38"/>
  <c r="L72" i="38"/>
  <c r="W102" i="34"/>
  <c r="W104" i="34" s="1"/>
  <c r="D8" i="33"/>
  <c r="D9" i="33"/>
  <c r="D10" i="33"/>
  <c r="D11" i="33"/>
  <c r="D12" i="33"/>
  <c r="D7" i="33"/>
  <c r="D5" i="33"/>
  <c r="D13" i="33"/>
  <c r="D6" i="33"/>
  <c r="D14" i="33"/>
  <c r="D15" i="33"/>
  <c r="D16" i="33"/>
  <c r="K19" i="33"/>
  <c r="L19" i="33"/>
  <c r="M19" i="33"/>
  <c r="N5" i="33"/>
  <c r="Q8" i="33"/>
  <c r="Q9" i="33" s="1"/>
  <c r="O5" i="33"/>
  <c r="Q5" i="33"/>
  <c r="N7" i="33"/>
  <c r="Q2" i="33"/>
  <c r="N6" i="33"/>
  <c r="Q3" i="33"/>
  <c r="Q66" i="31"/>
  <c r="Q27" i="31"/>
  <c r="N133" i="38" l="1"/>
  <c r="L133" i="38"/>
  <c r="Q12" i="33"/>
  <c r="Q10" i="33"/>
  <c r="Q11" i="33"/>
  <c r="O6" i="33"/>
  <c r="N19" i="33"/>
  <c r="Q59" i="5"/>
  <c r="P97" i="5"/>
  <c r="O97" i="5"/>
  <c r="N97" i="5"/>
  <c r="M97" i="5"/>
  <c r="L97" i="5"/>
  <c r="K97" i="5"/>
  <c r="J97" i="5"/>
  <c r="I97" i="5"/>
  <c r="H97" i="5"/>
  <c r="G97" i="5"/>
  <c r="F97" i="5"/>
  <c r="Q67" i="5"/>
  <c r="Q27" i="5"/>
  <c r="Q95" i="5"/>
  <c r="Q94" i="5"/>
  <c r="Q93" i="5"/>
  <c r="Q92" i="5"/>
  <c r="Q91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1" i="5"/>
  <c r="Q70" i="5"/>
  <c r="Q69" i="5"/>
  <c r="Q68" i="5"/>
  <c r="Q66" i="5"/>
  <c r="Q63" i="5"/>
  <c r="Q62" i="5"/>
  <c r="Q61" i="5"/>
  <c r="Q60" i="5"/>
  <c r="Q41" i="5"/>
  <c r="Q40" i="5"/>
  <c r="Q39" i="5"/>
  <c r="Q38" i="5"/>
  <c r="Q36" i="5"/>
  <c r="Q35" i="5"/>
  <c r="Q34" i="5"/>
  <c r="Q33" i="5"/>
  <c r="Q32" i="5"/>
  <c r="Q31" i="5"/>
  <c r="Q30" i="5"/>
  <c r="Q29" i="5"/>
  <c r="Q28" i="5"/>
  <c r="Q26" i="5"/>
  <c r="Q25" i="5"/>
  <c r="Q24" i="5"/>
  <c r="Q23" i="5"/>
  <c r="Q22" i="5"/>
  <c r="Q21" i="5"/>
  <c r="Q20" i="5"/>
  <c r="Q19" i="5"/>
  <c r="Q18" i="5"/>
  <c r="Q15" i="5"/>
  <c r="Q14" i="5"/>
  <c r="Q13" i="5"/>
  <c r="Q12" i="5"/>
  <c r="Q10" i="5"/>
  <c r="V10" i="5" s="1"/>
  <c r="Q9" i="5"/>
  <c r="Q8" i="5"/>
  <c r="Q7" i="5"/>
  <c r="Q6" i="5"/>
  <c r="Q5" i="5"/>
  <c r="Q4" i="5"/>
  <c r="P97" i="31"/>
  <c r="O97" i="31"/>
  <c r="N97" i="31"/>
  <c r="M97" i="31"/>
  <c r="L97" i="31"/>
  <c r="K97" i="31"/>
  <c r="J97" i="31"/>
  <c r="I97" i="31"/>
  <c r="H97" i="31"/>
  <c r="G97" i="31"/>
  <c r="Q95" i="31"/>
  <c r="Q94" i="31"/>
  <c r="Q93" i="31"/>
  <c r="Q92" i="31"/>
  <c r="Q91" i="31"/>
  <c r="Q86" i="31"/>
  <c r="Q85" i="31"/>
  <c r="Q84" i="31"/>
  <c r="Q83" i="31"/>
  <c r="Q82" i="31"/>
  <c r="Q81" i="31"/>
  <c r="Q80" i="31"/>
  <c r="Q79" i="31"/>
  <c r="Q78" i="31"/>
  <c r="Q77" i="31"/>
  <c r="Q76" i="31"/>
  <c r="Q75" i="31"/>
  <c r="Q74" i="31"/>
  <c r="Q73" i="31"/>
  <c r="Q71" i="31"/>
  <c r="Q70" i="31"/>
  <c r="Q69" i="31"/>
  <c r="Q68" i="31"/>
  <c r="Q67" i="31"/>
  <c r="Q63" i="31"/>
  <c r="Q62" i="31"/>
  <c r="Q61" i="31"/>
  <c r="Q60" i="31"/>
  <c r="Q59" i="31"/>
  <c r="Q41" i="31"/>
  <c r="Q40" i="31"/>
  <c r="Q39" i="31"/>
  <c r="Q38" i="31"/>
  <c r="Q36" i="31"/>
  <c r="Q35" i="31"/>
  <c r="Q34" i="31"/>
  <c r="Q33" i="31"/>
  <c r="Q32" i="31"/>
  <c r="Q31" i="31"/>
  <c r="Q30" i="31"/>
  <c r="Q29" i="31"/>
  <c r="Q28" i="31"/>
  <c r="Q26" i="31"/>
  <c r="Q25" i="31"/>
  <c r="Q24" i="31"/>
  <c r="Q23" i="31"/>
  <c r="Q22" i="31"/>
  <c r="Q21" i="31"/>
  <c r="Q20" i="31"/>
  <c r="Q19" i="31"/>
  <c r="Q18" i="31"/>
  <c r="Q15" i="31"/>
  <c r="Q14" i="31"/>
  <c r="Q13" i="31"/>
  <c r="Q12" i="31"/>
  <c r="Q10" i="31"/>
  <c r="Q9" i="31"/>
  <c r="Q8" i="31"/>
  <c r="Q7" i="31"/>
  <c r="Q6" i="31"/>
  <c r="Q5" i="31"/>
  <c r="E8" i="38" l="1"/>
  <c r="V7" i="5"/>
  <c r="E9" i="38"/>
  <c r="V8" i="5"/>
  <c r="E44" i="38"/>
  <c r="V32" i="5"/>
  <c r="V50" i="5" s="1"/>
  <c r="V101" i="5" s="1"/>
  <c r="Q50" i="31"/>
  <c r="Q50" i="5"/>
  <c r="L101" i="5"/>
  <c r="J101" i="31"/>
  <c r="F101" i="31"/>
  <c r="P101" i="5"/>
  <c r="H101" i="5"/>
  <c r="O19" i="33"/>
  <c r="D19" i="33"/>
  <c r="G101" i="31"/>
  <c r="N101" i="5"/>
  <c r="K101" i="31"/>
  <c r="H101" i="31"/>
  <c r="O101" i="31"/>
  <c r="N101" i="31"/>
  <c r="L101" i="31"/>
  <c r="Q97" i="31"/>
  <c r="O101" i="5"/>
  <c r="G101" i="5"/>
  <c r="F101" i="5"/>
  <c r="M101" i="5"/>
  <c r="K101" i="5"/>
  <c r="J101" i="5"/>
  <c r="I101" i="5"/>
  <c r="Q97" i="5"/>
  <c r="P101" i="31"/>
  <c r="E101" i="31"/>
  <c r="M101" i="31"/>
  <c r="I101" i="31"/>
  <c r="J19" i="30"/>
  <c r="M17" i="30"/>
  <c r="N17" i="30" s="1"/>
  <c r="L17" i="30"/>
  <c r="K17" i="30"/>
  <c r="M16" i="30"/>
  <c r="N16" i="30" s="1"/>
  <c r="L16" i="30"/>
  <c r="K16" i="30"/>
  <c r="M15" i="30"/>
  <c r="N15" i="30" s="1"/>
  <c r="L15" i="30"/>
  <c r="K15" i="30"/>
  <c r="M14" i="30"/>
  <c r="N14" i="30" s="1"/>
  <c r="L14" i="30"/>
  <c r="K14" i="30"/>
  <c r="M13" i="30"/>
  <c r="N13" i="30" s="1"/>
  <c r="L13" i="30"/>
  <c r="K13" i="30"/>
  <c r="N12" i="30"/>
  <c r="M12" i="30"/>
  <c r="L12" i="30"/>
  <c r="K12" i="30"/>
  <c r="M11" i="30"/>
  <c r="N11" i="30" s="1"/>
  <c r="L11" i="30"/>
  <c r="K11" i="30"/>
  <c r="M10" i="30"/>
  <c r="N10" i="30" s="1"/>
  <c r="L10" i="30"/>
  <c r="K10" i="30"/>
  <c r="M9" i="30"/>
  <c r="N9" i="30" s="1"/>
  <c r="L9" i="30"/>
  <c r="K9" i="30"/>
  <c r="M8" i="30"/>
  <c r="N8" i="30" s="1"/>
  <c r="L8" i="30"/>
  <c r="K8" i="30"/>
  <c r="M7" i="30"/>
  <c r="L7" i="30"/>
  <c r="K7" i="30"/>
  <c r="Q6" i="30"/>
  <c r="Q7" i="30" s="1"/>
  <c r="P2" i="30"/>
  <c r="O2" i="30"/>
  <c r="K8" i="38" l="1"/>
  <c r="M8" i="38"/>
  <c r="M9" i="38"/>
  <c r="K9" i="38"/>
  <c r="E10" i="38"/>
  <c r="K44" i="38"/>
  <c r="M44" i="38"/>
  <c r="E45" i="38"/>
  <c r="O5" i="30"/>
  <c r="N5" i="30"/>
  <c r="Q101" i="31"/>
  <c r="Q101" i="5"/>
  <c r="V102" i="5" s="1"/>
  <c r="N6" i="30"/>
  <c r="O6" i="30" s="1"/>
  <c r="L19" i="30"/>
  <c r="M19" i="30"/>
  <c r="K19" i="30"/>
  <c r="Q5" i="30"/>
  <c r="Q8" i="30"/>
  <c r="Q9" i="30" s="1"/>
  <c r="Q10" i="30" s="1"/>
  <c r="Q2" i="30"/>
  <c r="N7" i="30"/>
  <c r="Q3" i="30"/>
  <c r="Q4" i="30"/>
  <c r="K10" i="38" l="1"/>
  <c r="M10" i="38"/>
  <c r="M45" i="38"/>
  <c r="K45" i="38"/>
  <c r="E72" i="38"/>
  <c r="D5" i="30"/>
  <c r="C19" i="30"/>
  <c r="D6" i="30"/>
  <c r="D19" i="30" s="1"/>
  <c r="N19" i="30"/>
  <c r="Q12" i="30"/>
  <c r="Q11" i="30"/>
  <c r="K72" i="38" l="1"/>
  <c r="E133" i="38"/>
  <c r="M72" i="38"/>
  <c r="E19" i="30"/>
  <c r="O19" i="30"/>
  <c r="P79" i="29"/>
  <c r="O79" i="29"/>
  <c r="N79" i="29"/>
  <c r="M79" i="29"/>
  <c r="L79" i="29"/>
  <c r="K79" i="29"/>
  <c r="J79" i="29"/>
  <c r="I79" i="29"/>
  <c r="H79" i="29"/>
  <c r="G79" i="29"/>
  <c r="F79" i="29"/>
  <c r="E79" i="29"/>
  <c r="Q77" i="29"/>
  <c r="Q76" i="29"/>
  <c r="Q75" i="29"/>
  <c r="Q74" i="29"/>
  <c r="Q73" i="29"/>
  <c r="Q72" i="29"/>
  <c r="Q71" i="29"/>
  <c r="Q70" i="29"/>
  <c r="Q69" i="29"/>
  <c r="Q68" i="29"/>
  <c r="Q67" i="29"/>
  <c r="Q66" i="29"/>
  <c r="Q65" i="29"/>
  <c r="Q64" i="29"/>
  <c r="Q63" i="29"/>
  <c r="Q62" i="29"/>
  <c r="Q61" i="29"/>
  <c r="Q60" i="29"/>
  <c r="Q59" i="29"/>
  <c r="Q58" i="29"/>
  <c r="Q57" i="29"/>
  <c r="Q56" i="29"/>
  <c r="Q55" i="29"/>
  <c r="Q54" i="29"/>
  <c r="Q53" i="29"/>
  <c r="Q52" i="29"/>
  <c r="Q51" i="29"/>
  <c r="Q50" i="29"/>
  <c r="Q49" i="29"/>
  <c r="Q48" i="29"/>
  <c r="Q79" i="29" s="1"/>
  <c r="P39" i="29"/>
  <c r="P83" i="29" s="1"/>
  <c r="O39" i="29"/>
  <c r="O83" i="29" s="1"/>
  <c r="N39" i="29"/>
  <c r="N83" i="29" s="1"/>
  <c r="M39" i="29"/>
  <c r="M83" i="29" s="1"/>
  <c r="L39" i="29"/>
  <c r="L83" i="29" s="1"/>
  <c r="K39" i="29"/>
  <c r="K83" i="29" s="1"/>
  <c r="J39" i="29"/>
  <c r="J83" i="29" s="1"/>
  <c r="I39" i="29"/>
  <c r="I83" i="29" s="1"/>
  <c r="H39" i="29"/>
  <c r="H83" i="29" s="1"/>
  <c r="G39" i="29"/>
  <c r="G83" i="29" s="1"/>
  <c r="F39" i="29"/>
  <c r="F83" i="29" s="1"/>
  <c r="E39" i="29"/>
  <c r="E83" i="29" s="1"/>
  <c r="Q37" i="29"/>
  <c r="Q36" i="29"/>
  <c r="Q35" i="29"/>
  <c r="Q34" i="29"/>
  <c r="Q33" i="29"/>
  <c r="Q32" i="29"/>
  <c r="Q31" i="29"/>
  <c r="Q30" i="29"/>
  <c r="Q29" i="29"/>
  <c r="Q28" i="29"/>
  <c r="Q27" i="29"/>
  <c r="Q26" i="29"/>
  <c r="Q25" i="29"/>
  <c r="Q24" i="29"/>
  <c r="Q23" i="29"/>
  <c r="Q22" i="29"/>
  <c r="Q21" i="29"/>
  <c r="Q20" i="29"/>
  <c r="Q19" i="29"/>
  <c r="Q18" i="29"/>
  <c r="Q17" i="29"/>
  <c r="Q16" i="29"/>
  <c r="Q15" i="29"/>
  <c r="Q14" i="29"/>
  <c r="Q13" i="29"/>
  <c r="Q12" i="29"/>
  <c r="Q11" i="29"/>
  <c r="Q10" i="29"/>
  <c r="Q9" i="29"/>
  <c r="Q8" i="29"/>
  <c r="Q7" i="29"/>
  <c r="Q6" i="29"/>
  <c r="Q5" i="29"/>
  <c r="Q4" i="29"/>
  <c r="Q39" i="29" s="1"/>
  <c r="Q83" i="29" s="1"/>
  <c r="K133" i="38" l="1"/>
  <c r="M133" i="38"/>
  <c r="J19" i="4"/>
  <c r="M16" i="4" l="1"/>
  <c r="N16" i="4" s="1"/>
  <c r="M15" i="4"/>
  <c r="N15" i="4" s="1"/>
  <c r="M14" i="4"/>
  <c r="N14" i="4" s="1"/>
  <c r="M13" i="4"/>
  <c r="N13" i="4" s="1"/>
  <c r="M12" i="4"/>
  <c r="N12" i="4" s="1"/>
  <c r="M11" i="4"/>
  <c r="N11" i="4" s="1"/>
  <c r="M10" i="4"/>
  <c r="N10" i="4" s="1"/>
  <c r="M9" i="4"/>
  <c r="N9" i="4" s="1"/>
  <c r="M8" i="4"/>
  <c r="N8" i="4" s="1"/>
  <c r="M7" i="4"/>
  <c r="N7" i="4" s="1"/>
  <c r="L16" i="4"/>
  <c r="L15" i="4"/>
  <c r="L14" i="4"/>
  <c r="L13" i="4"/>
  <c r="L12" i="4"/>
  <c r="L11" i="4"/>
  <c r="L10" i="4"/>
  <c r="L9" i="4"/>
  <c r="L8" i="4"/>
  <c r="L7" i="4"/>
  <c r="K17" i="4"/>
  <c r="K16" i="4"/>
  <c r="K15" i="4"/>
  <c r="K14" i="4"/>
  <c r="K13" i="4"/>
  <c r="K12" i="4"/>
  <c r="K11" i="4"/>
  <c r="K10" i="4"/>
  <c r="K9" i="4"/>
  <c r="K8" i="4"/>
  <c r="K7" i="4"/>
  <c r="C19" i="4"/>
  <c r="D19" i="4"/>
  <c r="X2" i="20"/>
  <c r="Y2" i="20"/>
  <c r="Z2" i="20"/>
  <c r="O2" i="20"/>
  <c r="P2" i="20"/>
  <c r="Q2" i="20"/>
  <c r="R2" i="20"/>
  <c r="S2" i="20"/>
  <c r="T2" i="20"/>
  <c r="U2" i="20"/>
  <c r="V2" i="20"/>
  <c r="W2" i="20"/>
  <c r="F2" i="20"/>
  <c r="G2" i="20"/>
  <c r="H2" i="20"/>
  <c r="I2" i="20"/>
  <c r="J2" i="20"/>
  <c r="K2" i="20"/>
  <c r="L2" i="20"/>
  <c r="M2" i="20"/>
  <c r="N2" i="20"/>
  <c r="D2" i="20"/>
  <c r="E2" i="20"/>
  <c r="C2" i="20"/>
  <c r="BT1" i="19"/>
  <c r="BQ1" i="19"/>
  <c r="BN1" i="19"/>
  <c r="BK1" i="19"/>
  <c r="BH1" i="19"/>
  <c r="BE1" i="19"/>
  <c r="BB1" i="19"/>
  <c r="AY1" i="19"/>
  <c r="AV1" i="19"/>
  <c r="AS1" i="19"/>
  <c r="AP1" i="19"/>
  <c r="AM1" i="19"/>
  <c r="AJ1" i="19"/>
  <c r="AG1" i="19"/>
  <c r="AD1" i="19"/>
  <c r="AA1" i="19"/>
  <c r="X1" i="19"/>
  <c r="U1" i="19"/>
  <c r="R1" i="19"/>
  <c r="O1" i="19"/>
  <c r="L1" i="19"/>
  <c r="I1" i="19"/>
  <c r="F1" i="19"/>
  <c r="C1" i="19"/>
  <c r="BT1" i="21"/>
  <c r="BQ1" i="21"/>
  <c r="BN1" i="21"/>
  <c r="BK1" i="21"/>
  <c r="BH1" i="21"/>
  <c r="BE1" i="21"/>
  <c r="BB1" i="21"/>
  <c r="AY1" i="21"/>
  <c r="AV1" i="21"/>
  <c r="AS1" i="21"/>
  <c r="AP1" i="21"/>
  <c r="AM1" i="21"/>
  <c r="AJ1" i="21"/>
  <c r="AG1" i="21"/>
  <c r="AD1" i="21"/>
  <c r="AA1" i="21"/>
  <c r="X1" i="21"/>
  <c r="U1" i="21"/>
  <c r="R1" i="21"/>
  <c r="O1" i="21"/>
  <c r="L1" i="21"/>
  <c r="I1" i="21"/>
  <c r="F1" i="21"/>
  <c r="C1" i="21"/>
  <c r="Q6" i="4"/>
  <c r="Q7" i="4" s="1"/>
  <c r="E19" i="4"/>
  <c r="M17" i="4"/>
  <c r="N17" i="4" s="1"/>
  <c r="P2" i="4"/>
  <c r="E48" i="2"/>
  <c r="O2" i="4"/>
  <c r="O7" i="4"/>
  <c r="O8" i="4"/>
  <c r="O9" i="4"/>
  <c r="O10" i="4"/>
  <c r="O11" i="4"/>
  <c r="O12" i="4"/>
  <c r="O13" i="4"/>
  <c r="O14" i="4"/>
  <c r="O15" i="4"/>
  <c r="O16" i="4"/>
  <c r="O17" i="4"/>
  <c r="L17" i="4"/>
  <c r="E13" i="2"/>
  <c r="E22" i="2"/>
  <c r="E21" i="2"/>
  <c r="E54" i="2"/>
  <c r="E77" i="2"/>
  <c r="E36" i="2"/>
  <c r="E19" i="2"/>
  <c r="E98" i="2"/>
  <c r="E80" i="2"/>
  <c r="E81" i="2"/>
  <c r="E76" i="2"/>
  <c r="E87" i="2"/>
  <c r="E86" i="2"/>
  <c r="E75" i="2"/>
  <c r="E47" i="2"/>
  <c r="E93" i="2"/>
  <c r="E37" i="2"/>
  <c r="E4" i="2"/>
  <c r="E5" i="2"/>
  <c r="E82" i="2"/>
  <c r="E83" i="2"/>
  <c r="E30" i="2"/>
  <c r="E31" i="2"/>
  <c r="E29" i="2"/>
  <c r="E94" i="2"/>
  <c r="E99" i="2"/>
  <c r="E79" i="2"/>
  <c r="E73" i="2"/>
  <c r="E53" i="2"/>
  <c r="E51" i="2"/>
  <c r="E50" i="2"/>
  <c r="E57" i="2"/>
  <c r="E58" i="2"/>
  <c r="E28" i="2"/>
  <c r="E46" i="2"/>
  <c r="E6" i="2"/>
  <c r="E3" i="2"/>
  <c r="E1" i="2"/>
  <c r="E2" i="2"/>
  <c r="E7" i="2"/>
  <c r="E9" i="2"/>
  <c r="E10" i="2"/>
  <c r="E85" i="2"/>
  <c r="E74" i="2"/>
  <c r="E56" i="2"/>
  <c r="E84" i="2"/>
  <c r="E35" i="2"/>
  <c r="E49" i="2"/>
  <c r="E24" i="2"/>
  <c r="E38" i="2"/>
  <c r="E39" i="2"/>
  <c r="E40" i="2"/>
  <c r="E41" i="2"/>
  <c r="E16" i="2"/>
  <c r="E17" i="2"/>
  <c r="E18" i="2"/>
  <c r="E78" i="2"/>
  <c r="E88" i="2"/>
  <c r="E89" i="2"/>
  <c r="E33" i="2"/>
  <c r="E32" i="2"/>
  <c r="E55" i="2"/>
  <c r="E27" i="2"/>
  <c r="E95" i="2"/>
  <c r="E108" i="2"/>
  <c r="E23" i="2"/>
  <c r="E25" i="2"/>
  <c r="E26" i="2"/>
  <c r="E64" i="2"/>
  <c r="E65" i="2"/>
  <c r="E100" i="2"/>
  <c r="E101" i="2"/>
  <c r="E102" i="2"/>
  <c r="E103" i="2"/>
  <c r="E104" i="2"/>
  <c r="E90" i="2"/>
  <c r="E91" i="2"/>
  <c r="E105" i="2"/>
  <c r="E106" i="2"/>
  <c r="E107" i="2"/>
  <c r="E66" i="2"/>
  <c r="E67" i="2"/>
  <c r="E68" i="2"/>
  <c r="E69" i="2"/>
  <c r="E70" i="2"/>
  <c r="E71" i="2"/>
  <c r="E72" i="2"/>
  <c r="E63" i="2"/>
  <c r="E62" i="2"/>
  <c r="E61" i="2"/>
  <c r="E42" i="2"/>
  <c r="E96" i="2"/>
  <c r="E97" i="2"/>
  <c r="E11" i="2"/>
  <c r="E20" i="2"/>
  <c r="E43" i="2"/>
  <c r="E92" i="2"/>
  <c r="E60" i="2"/>
  <c r="E59" i="2"/>
  <c r="E15" i="2"/>
  <c r="Q5" i="4" l="1"/>
  <c r="Q13" i="4"/>
  <c r="Q2" i="4"/>
  <c r="Q3" i="4"/>
  <c r="Q4" i="4"/>
  <c r="O19" i="4"/>
  <c r="K19" i="4"/>
  <c r="L19" i="4"/>
  <c r="N19" i="4"/>
  <c r="M19" i="4"/>
  <c r="Q8" i="4"/>
  <c r="Q9" i="4" s="1"/>
  <c r="Q11" i="4" l="1"/>
  <c r="Q12" i="4"/>
  <c r="Q10" i="4"/>
</calcChain>
</file>

<file path=xl/comments1.xml><?xml version="1.0" encoding="utf-8"?>
<comments xmlns="http://schemas.openxmlformats.org/spreadsheetml/2006/main">
  <authors>
    <author>Auditorio Gerencia Ecuador (EC)</author>
  </authors>
  <commentList>
    <comment ref="L32" authorId="0">
      <text>
        <r>
          <rPr>
            <b/>
            <sz val="9"/>
            <color indexed="81"/>
            <rFont val="Tahoma"/>
            <charset val="1"/>
          </rPr>
          <t>Auditorio Gerencia Ecuador (EC):</t>
        </r>
        <r>
          <rPr>
            <sz val="9"/>
            <color indexed="81"/>
            <rFont val="Tahoma"/>
            <charset val="1"/>
          </rPr>
          <t xml:space="preserve">
incluye 2 SKUs</t>
        </r>
      </text>
    </comment>
  </commentList>
</comments>
</file>

<file path=xl/sharedStrings.xml><?xml version="1.0" encoding="utf-8"?>
<sst xmlns="http://schemas.openxmlformats.org/spreadsheetml/2006/main" count="5124" uniqueCount="724">
  <si>
    <t>DIOSMIN 500 MG X 30 Comp. Rec.</t>
  </si>
  <si>
    <t>DIOSMIN 1.000 mg CAJA X 15 Sobres</t>
  </si>
  <si>
    <t>NORMIX 200 mg. x 12 tab.rec.</t>
  </si>
  <si>
    <t>INSTILLAGEL 11 ML. GEL X 1 JERINGA</t>
  </si>
  <si>
    <t>FARMA D X 60 Caps. 2000 UI</t>
  </si>
  <si>
    <t>AMLOR</t>
  </si>
  <si>
    <t>AMLOR 5 MG X 10</t>
  </si>
  <si>
    <t>AMLOR 10 MG X 10</t>
  </si>
  <si>
    <t>ARANDA</t>
  </si>
  <si>
    <t>ARANDA 2,5/50 x 30 CAP</t>
  </si>
  <si>
    <t>ARANDA 5/50  X 30  CAP</t>
  </si>
  <si>
    <t>ARANDA 5/100 X 30 CAP</t>
  </si>
  <si>
    <t>BEDOYECTA</t>
  </si>
  <si>
    <t>BEDOYECTA JER X 1</t>
  </si>
  <si>
    <t>HIDROTEN</t>
  </si>
  <si>
    <t>NEOLAX</t>
  </si>
  <si>
    <t>NEOLAX FRASCO X 250 ML</t>
  </si>
  <si>
    <t>NEOLAX SOBRES X 10</t>
  </si>
  <si>
    <t>BIOFLORA</t>
  </si>
  <si>
    <t>BIOFLORA 200 MG X 12 CAP</t>
  </si>
  <si>
    <t>BIOFLORA 200 MG X 10 SOBRES</t>
  </si>
  <si>
    <t>COLYPAN</t>
  </si>
  <si>
    <t>COL TAB 200 x 30</t>
  </si>
  <si>
    <t>COL TAB 300 x 20</t>
  </si>
  <si>
    <t>COLYPAN PLUS 200 MG X 30</t>
  </si>
  <si>
    <t>COL INY 50x2</t>
  </si>
  <si>
    <t>CORAZEM CD</t>
  </si>
  <si>
    <t>CORAZEM 120 x 10</t>
  </si>
  <si>
    <t>CORAZEM 180 x 10</t>
  </si>
  <si>
    <t>DIOSMIN</t>
  </si>
  <si>
    <t>450/50 CAJA X 30 TAB</t>
  </si>
  <si>
    <t>450/50 CAJA X 15 SOBRES</t>
  </si>
  <si>
    <t>DUOPRES</t>
  </si>
  <si>
    <t>VONAU</t>
  </si>
  <si>
    <t>VONAU 4 MG X 10 COMPRIMIDOS</t>
  </si>
  <si>
    <t>VONAU 8 MG X 10 COMPRIMIDOS</t>
  </si>
  <si>
    <t>FARMA D</t>
  </si>
  <si>
    <t>1.000 UI CAPSULA x 50</t>
  </si>
  <si>
    <t>FULLDERMA</t>
  </si>
  <si>
    <t>FULLDERMA TUBO X 20 GRMS</t>
  </si>
  <si>
    <t>MILPAX</t>
  </si>
  <si>
    <t>MILPAX SUSP. 360 ML CEREZA</t>
  </si>
  <si>
    <t>MILPAX SUSP. 360 ML MENTA</t>
  </si>
  <si>
    <t>MILPAX SUSP. 150 ML CHICLE</t>
  </si>
  <si>
    <t>NIFELAN</t>
  </si>
  <si>
    <t>CAJA 30 mg x 30</t>
  </si>
  <si>
    <t>CAJA 60 mg x 30</t>
  </si>
  <si>
    <t>NOTOLAC</t>
  </si>
  <si>
    <t>NOTOLAC TAB 20mg</t>
  </si>
  <si>
    <t>NOTOLAC IM 30mg</t>
  </si>
  <si>
    <t>PRILACE</t>
  </si>
  <si>
    <t>PRILACE 5 MG x 10</t>
  </si>
  <si>
    <t>PRILACE 10 MG x 10</t>
  </si>
  <si>
    <t>PRILACE 20 MG x 10</t>
  </si>
  <si>
    <t>INSTILLAGEL</t>
  </si>
  <si>
    <t>CAJA X 1 JERINGA</t>
  </si>
  <si>
    <t>COUPLETT</t>
  </si>
  <si>
    <t>COUPLET TUBO X 30 GRMS</t>
  </si>
  <si>
    <t>BONAMES</t>
  </si>
  <si>
    <t>Capsula 150 mg x 1</t>
  </si>
  <si>
    <t>NORMIX</t>
  </si>
  <si>
    <t>Cajas X 12</t>
  </si>
  <si>
    <t>TAPAZOL</t>
  </si>
  <si>
    <t>TAPAZOL CAJA X 100</t>
  </si>
  <si>
    <t>UROCIT - K</t>
  </si>
  <si>
    <t>UROCIT FRASCO X 100</t>
  </si>
  <si>
    <t>ETICO</t>
  </si>
  <si>
    <t xml:space="preserve">AGUDOL </t>
  </si>
  <si>
    <t>AGUDOL Tab X 12</t>
  </si>
  <si>
    <t>FEMEN</t>
  </si>
  <si>
    <t>FEMEN Disp 12 * 4</t>
  </si>
  <si>
    <t>FEMEN Caja * 12</t>
  </si>
  <si>
    <t>FEMEN 400 MG CAJA X 10</t>
  </si>
  <si>
    <t>FEMEN 400 MG CAJA X 50</t>
  </si>
  <si>
    <t>CALCIBON</t>
  </si>
  <si>
    <t>CALCIBON D</t>
  </si>
  <si>
    <t>CALCIBON NATAL FORTE X 30</t>
  </si>
  <si>
    <t>CALCIBON D 800</t>
  </si>
  <si>
    <t>CALCIBON D 800 ENVASE * 30</t>
  </si>
  <si>
    <t>CALCIBON D  800 ENVASE * 60</t>
  </si>
  <si>
    <t>CALCI MIIN</t>
  </si>
  <si>
    <t>ENVASE * 30</t>
  </si>
  <si>
    <t>CLIMASOY</t>
  </si>
  <si>
    <t>CLIMASOY CAP X 45</t>
  </si>
  <si>
    <t>KID CAL</t>
  </si>
  <si>
    <t>KIDCAL FCO X 180 ML fresa</t>
  </si>
  <si>
    <t>KIDCAL FCO X 180 ML tutifruti</t>
  </si>
  <si>
    <t>ORALYTE</t>
  </si>
  <si>
    <t>MANZANA 500 ML FOS</t>
  </si>
  <si>
    <t>MANZANA 250 ML FOS</t>
  </si>
  <si>
    <t>CEREZA 500 ML FOS</t>
  </si>
  <si>
    <t>CEREZA 250 ML FOS</t>
  </si>
  <si>
    <t>COCO 500 ML FOS</t>
  </si>
  <si>
    <t>UVA 500 ML FOS</t>
  </si>
  <si>
    <t>MANDARINA 500 ML FOS</t>
  </si>
  <si>
    <t>UVA 250 ML FOS</t>
  </si>
  <si>
    <t>MANDARINA 250  ML FOS</t>
  </si>
  <si>
    <t>ORALYTE SOBRES X 10 COCO</t>
  </si>
  <si>
    <t>ORALYTE SOBRES X 10 FRESA</t>
  </si>
  <si>
    <t>ORALYTE SOBRES X 10 MANZANA</t>
  </si>
  <si>
    <t>KALMAX</t>
  </si>
  <si>
    <t>KALMAX TAB x 10</t>
  </si>
  <si>
    <t>TERAGRIP</t>
  </si>
  <si>
    <t>SENOKOT</t>
  </si>
  <si>
    <t>SENOKOT TAB * 30</t>
  </si>
  <si>
    <t>SENOKOT Docusato</t>
  </si>
  <si>
    <t>STAMYL</t>
  </si>
  <si>
    <t>STAMYL FORTE TABL * 20</t>
  </si>
  <si>
    <t>VIT-AMINO</t>
  </si>
  <si>
    <t>VIT-AMINO JALEA TUBO 100 GRMS NARANJA</t>
  </si>
  <si>
    <t>VIT-AMINO PLUS X 30 CAP</t>
  </si>
  <si>
    <t>OTC</t>
  </si>
  <si>
    <t>PRODUCTO:</t>
  </si>
  <si>
    <t>COLYPAN TAB 200 x 30</t>
  </si>
  <si>
    <t>COLYPAN TAB 300 x 20</t>
  </si>
  <si>
    <t>COLYPAN INY 50x2</t>
  </si>
  <si>
    <t>DIOSMIN 450/50 CAJA X 30 TAB</t>
  </si>
  <si>
    <t>DIOSMIN 450/50 CAJA X 15 SOBRES</t>
  </si>
  <si>
    <t>FARMA D 1.000 UI CAPSULA x 50</t>
  </si>
  <si>
    <t>NIFELAN CAJA 30 mg x 30</t>
  </si>
  <si>
    <t>INSTILLAGEL CAJA X 1 JERINGA</t>
  </si>
  <si>
    <t>BONAMES Capsula 150 mg x 1</t>
  </si>
  <si>
    <t>NORMIX Cajas X 12</t>
  </si>
  <si>
    <t>ORALYTE MANZANA 500 ML FOS</t>
  </si>
  <si>
    <t>ORALYTE MANZANA 250 ML FOS</t>
  </si>
  <si>
    <t>ORALYTE CEREZA 500 ML FOS</t>
  </si>
  <si>
    <t>ORALYTE CEREZA 250 ML FOS</t>
  </si>
  <si>
    <t>ORALYTE COCO 500 ML FOS</t>
  </si>
  <si>
    <t>ORALYTE UVA 500 ML FOS</t>
  </si>
  <si>
    <t>ORALYTE MANDARINA 500 ML FOS</t>
  </si>
  <si>
    <t>ORALYTE UVA 250 ML FOS</t>
  </si>
  <si>
    <t>ORALYTE MANDARINA 250  ML FOS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</si>
  <si>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</si>
  <si>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</si>
  <si>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</si>
  <si>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</si>
  <si>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</si>
  <si>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</si>
  <si>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</si>
  <si>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</si>
  <si>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</si>
  <si>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</si>
  <si>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</si>
  <si>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</si>
  <si>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</si>
  <si>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PRECIO</t>
  </si>
  <si>
    <t>TOTAL</t>
  </si>
  <si>
    <t>UNIDADES VENTA</t>
  </si>
  <si>
    <t>NOTOLAC SUBL 30mg x 4</t>
  </si>
  <si>
    <t>TOTAL ETICO</t>
  </si>
  <si>
    <t>TOTAL OTC</t>
  </si>
  <si>
    <t>TOTAL FARMA</t>
  </si>
  <si>
    <t>UNIDADES DE VENTA IMS</t>
  </si>
  <si>
    <t>producto</t>
  </si>
  <si>
    <t>Codigo</t>
  </si>
  <si>
    <t>Factur</t>
  </si>
  <si>
    <t>Bonific</t>
  </si>
  <si>
    <t>Totales</t>
  </si>
  <si>
    <t>Vit AminoPlusCap30</t>
  </si>
  <si>
    <t>Vit AminoJal100gNar</t>
  </si>
  <si>
    <t>Urocit 10mEq tabx100</t>
  </si>
  <si>
    <t>Tapazol 5mg tab x100</t>
  </si>
  <si>
    <t>Stamyl grageas x20</t>
  </si>
  <si>
    <t>Stamyl forte tabs 20</t>
  </si>
  <si>
    <t>Senokot+DocuTabRec20</t>
  </si>
  <si>
    <t>Senokot tab x30</t>
  </si>
  <si>
    <t>Rosulip 20mg tab 20</t>
  </si>
  <si>
    <t>Rosulip 10mg tab 20</t>
  </si>
  <si>
    <t>Prilace 5mg tab x10</t>
  </si>
  <si>
    <t>Prilace 20mg tab x10</t>
  </si>
  <si>
    <t>Prilace 10mg tab x10</t>
  </si>
  <si>
    <t>Oralyte90polvo10Mz</t>
  </si>
  <si>
    <t>Oralyte90polvo10Fres</t>
  </si>
  <si>
    <t>Oralyte90polvo10Coco</t>
  </si>
  <si>
    <t>Oralyte75sol250Uva</t>
  </si>
  <si>
    <t>Oralyte75pls500Uva</t>
  </si>
  <si>
    <t>Oralyte75pls500Manda</t>
  </si>
  <si>
    <t>Oralyte75pls250Uva</t>
  </si>
  <si>
    <t>Oralyte75pls250Manda</t>
  </si>
  <si>
    <t>Oralyte45sol500mlNar</t>
  </si>
  <si>
    <t>Oralyte45sol500mlMz</t>
  </si>
  <si>
    <t>Oralyte45sol500mlCoc</t>
  </si>
  <si>
    <t>Oralyte45sol500mlCer</t>
  </si>
  <si>
    <t>Oralyte45sol250mlNar</t>
  </si>
  <si>
    <t>Oralyte45sol250mlMz</t>
  </si>
  <si>
    <t>Oralyte45sol250mlCoc</t>
  </si>
  <si>
    <t>Oralyte45sol250mlCer</t>
  </si>
  <si>
    <t>Oralyte45pls500Manza</t>
  </si>
  <si>
    <t>Oralyte45pls500Cerez</t>
  </si>
  <si>
    <t>Oralyte45pls250Manza</t>
  </si>
  <si>
    <t>Oralyte45pls250Cerez</t>
  </si>
  <si>
    <t>Oralyte 75 Uva 500mL</t>
  </si>
  <si>
    <t>Oralyte 45pls500Coco</t>
  </si>
  <si>
    <t>Notolac 30mgTabSubl4</t>
  </si>
  <si>
    <t>Notolac 30mgSol Iny1</t>
  </si>
  <si>
    <t>Notolac 20mg x10</t>
  </si>
  <si>
    <t>Normix200mgCompRec12</t>
  </si>
  <si>
    <t>NifelanCD60mgTabRe30</t>
  </si>
  <si>
    <t>NifelanCD30mgTabRe30</t>
  </si>
  <si>
    <t>Neolax polv solx250g</t>
  </si>
  <si>
    <t>Neolax polv solx10</t>
  </si>
  <si>
    <t>MilpaxSusp360mlMenta</t>
  </si>
  <si>
    <t>MilpaxSusp360mlCerez</t>
  </si>
  <si>
    <t>MilpaxSusp150mlChicl</t>
  </si>
  <si>
    <t>KidcalSusp180mlTutif</t>
  </si>
  <si>
    <t>KidcalSusp180mlFresa</t>
  </si>
  <si>
    <t>KidcalSusp180mlBanan</t>
  </si>
  <si>
    <t>Kalmax tabs mast x10</t>
  </si>
  <si>
    <t>Instillagel gelx11ml</t>
  </si>
  <si>
    <t>Fullderma crema x20g</t>
  </si>
  <si>
    <t>FemenForte400mgCap50</t>
  </si>
  <si>
    <t>FemenForte400mgCap10</t>
  </si>
  <si>
    <t>Femen 200mg caps x48</t>
  </si>
  <si>
    <t>Femen 200mg caps x12</t>
  </si>
  <si>
    <t>Farma D 1000UICaps50</t>
  </si>
  <si>
    <t>Duopres 5/20Caps24</t>
  </si>
  <si>
    <t>Duopres 5/10Caps24</t>
  </si>
  <si>
    <t>Diosmin 500mg comp30</t>
  </si>
  <si>
    <t>Diosmin 1000mg sob15</t>
  </si>
  <si>
    <t>CouplettCremx30g+6ap</t>
  </si>
  <si>
    <t>CorazemCD180mgCaps10</t>
  </si>
  <si>
    <t>CorazemCD120mgCaps10</t>
  </si>
  <si>
    <t>Colypan50mg/5ml Iny2</t>
  </si>
  <si>
    <t>Colypan plus tabs 30</t>
  </si>
  <si>
    <t>Colypan 300mg tabx20</t>
  </si>
  <si>
    <t>Colypan 200mg tabx30</t>
  </si>
  <si>
    <t>Climasoy 50mg caps45</t>
  </si>
  <si>
    <t>CalcibonNatTabRecx30</t>
  </si>
  <si>
    <t>CalcibonMinTabRecx30</t>
  </si>
  <si>
    <t>Calcibon FolicTabx30</t>
  </si>
  <si>
    <t>Calcibon D TabRecx60</t>
  </si>
  <si>
    <t>Calcibon D TabRecx30</t>
  </si>
  <si>
    <t>Calcibon D SoyaTab30</t>
  </si>
  <si>
    <t>Calcibon 200mgTabx30</t>
  </si>
  <si>
    <t>Breinox 800mg tabx30</t>
  </si>
  <si>
    <t>Breinox 400mg caps30</t>
  </si>
  <si>
    <t>Bonames 150mgTabRec1</t>
  </si>
  <si>
    <t>Bioflora 200mgCapsx6</t>
  </si>
  <si>
    <t>Bioflora 200mg sobre</t>
  </si>
  <si>
    <t>Bioflora 200mg sob10</t>
  </si>
  <si>
    <t>Bioflora 200mg cap12</t>
  </si>
  <si>
    <t>Bedoyecta Jer Pre x1</t>
  </si>
  <si>
    <t>Aranda2,5/50mg cap30</t>
  </si>
  <si>
    <t>Aranda 5/50mg caps30</t>
  </si>
  <si>
    <t>Aranda 5/100mg x30</t>
  </si>
  <si>
    <t>Amlor 5mg tab x10</t>
  </si>
  <si>
    <t>Amlor 10mg tab x10</t>
  </si>
  <si>
    <t>Agudol tabs rec x48</t>
  </si>
  <si>
    <t>Agudol tabs rec x12</t>
  </si>
  <si>
    <t>Total general</t>
  </si>
  <si>
    <t>% Crecimiento</t>
  </si>
  <si>
    <t>OLU0250</t>
  </si>
  <si>
    <t>UNIDADES DE VENTA DF</t>
  </si>
  <si>
    <t>UNIDADES DE VENTA FD</t>
  </si>
  <si>
    <t>Farma D 2000UIcaps60</t>
  </si>
  <si>
    <t>Elantan 20mg comp 20</t>
  </si>
  <si>
    <t>Calcibon D 800mg x60</t>
  </si>
  <si>
    <t>Calcibon D 800mg x30</t>
  </si>
  <si>
    <t>Farma D X 60 Caps. 2000 UI</t>
  </si>
  <si>
    <t>Calcibon x 30 tab. D 800 UI</t>
  </si>
  <si>
    <t>Calcibon x 60 tab. D 800 UI</t>
  </si>
  <si>
    <t>año</t>
  </si>
  <si>
    <t>mes</t>
  </si>
  <si>
    <t>hoy</t>
  </si>
  <si>
    <t>BDDF_fila</t>
  </si>
  <si>
    <t>BDFD_fila</t>
  </si>
  <si>
    <t>BDIMS_fila</t>
  </si>
  <si>
    <t>BDDF_row</t>
  </si>
  <si>
    <t>BDFD_row</t>
  </si>
  <si>
    <t>BDIMS_row</t>
  </si>
  <si>
    <t>Escoger para cálculo:</t>
  </si>
  <si>
    <t>DF</t>
  </si>
  <si>
    <t>FD</t>
  </si>
  <si>
    <t>IMS</t>
  </si>
  <si>
    <t>Actual:</t>
  </si>
  <si>
    <t>UNIDADES</t>
  </si>
  <si>
    <t>Neolax polv sobrex10</t>
  </si>
  <si>
    <t>Calcibon D SoyaFte30</t>
  </si>
  <si>
    <t xml:space="preserve">  BEDOYECTA JER.IM PRELL 2 ML x 1</t>
  </si>
  <si>
    <t xml:space="preserve">  CALCIBON TA.REC.CA+D 1500 MG x 30 (/200)</t>
  </si>
  <si>
    <t xml:space="preserve">  CALCIBON T.RE NAT FOR x 30</t>
  </si>
  <si>
    <t xml:space="preserve">  FEMEN FORTE CA.BLAN. 400 MG x 50</t>
  </si>
  <si>
    <t xml:space="preserve">  CLIMASOY CAPS 50 MG x 45</t>
  </si>
  <si>
    <t xml:space="preserve">  ARANDA CAPS 5 MG x 30 (/100)</t>
  </si>
  <si>
    <t xml:space="preserve">  KIDCAL SUSP FRESA 180 ML x 1</t>
  </si>
  <si>
    <t xml:space="preserve">  KIDCAL SUSP TUTIFRU 180 ML x 1</t>
  </si>
  <si>
    <t xml:space="preserve">  CALCIBON TAB.REC. S/M x 30</t>
  </si>
  <si>
    <t xml:space="preserve">  MILPAX SUSP CEREZA 360 ML x 1</t>
  </si>
  <si>
    <t xml:space="preserve">  COUPLETT CR.VAG+6APLI 8 % 30 G x 1 (/2)</t>
  </si>
  <si>
    <t xml:space="preserve">  CALCIBON TA.REC.CA+D 1500 MG x 60 (/200)</t>
  </si>
  <si>
    <t xml:space="preserve">  ARANDA CAPS 2.50 MG x 30 (/50)</t>
  </si>
  <si>
    <t xml:space="preserve">  FULLDERMA CREMA 20 G x 1</t>
  </si>
  <si>
    <t xml:space="preserve">  ORALYTE PO.SOB MANZA 29 G x 10</t>
  </si>
  <si>
    <t xml:space="preserve">  ORALYTE PO.SOB COCO 29 G x 10</t>
  </si>
  <si>
    <t xml:space="preserve">  UROCIT TABL 1080 MG x 100</t>
  </si>
  <si>
    <t xml:space="preserve">  ORALYTE PO.SOB FRESA 29 G x 10</t>
  </si>
  <si>
    <t xml:space="preserve">  NEOLAX POLVO P/DISO 250 G x 1</t>
  </si>
  <si>
    <t xml:space="preserve">  COLYPAN TABL REC.LP 300 MG x 20</t>
  </si>
  <si>
    <t xml:space="preserve">  NOTOLAC TABL SUBLING 30 MG x 4</t>
  </si>
  <si>
    <t xml:space="preserve">  STAMYL GRAG.ENTERI x 20</t>
  </si>
  <si>
    <t xml:space="preserve">  ORALYTE SOLN 45 CERE 500 ML x 1</t>
  </si>
  <si>
    <t xml:space="preserve">  BIOFLORA SOBRES 200 MG 1 G x 6</t>
  </si>
  <si>
    <t xml:space="preserve">  MILPAX SUSP MENTA 360 ML x 1</t>
  </si>
  <si>
    <t xml:space="preserve">  ORALYTE SOLN 45 MANZ 500 ML x 1</t>
  </si>
  <si>
    <t xml:space="preserve">  BONAMES TABL RECUBIE 150 MG x 1</t>
  </si>
  <si>
    <t xml:space="preserve">  ORALYTE SOLN 45 COCO 500 ML x 1</t>
  </si>
  <si>
    <t xml:space="preserve">  FEMEN FORTE CA.BLAN. 400 MG x 10</t>
  </si>
  <si>
    <t xml:space="preserve">  FARMA D CAP/BLA/GEL 1000 IU x 50</t>
  </si>
  <si>
    <t xml:space="preserve">  ORALYTE SOLN 75 UVA 500 ML x 1</t>
  </si>
  <si>
    <t xml:space="preserve">  FEMEN CAP.BLA DISP 200 MG x 48</t>
  </si>
  <si>
    <t xml:space="preserve">  VIT-AMINO JALEA NARANJ 100 G x 1</t>
  </si>
  <si>
    <t xml:space="preserve">  COLYPAN TABL 200 MG x 30</t>
  </si>
  <si>
    <t xml:space="preserve">  BIOFLORA CAPS 200 MG x 6</t>
  </si>
  <si>
    <t xml:space="preserve">  AMLOR TABL 10 MG x 10</t>
  </si>
  <si>
    <t xml:space="preserve">  TAPAZOL TABL 5 MG x 100</t>
  </si>
  <si>
    <t xml:space="preserve">  ORALYTE SOLN 45 NARA 500 ML x 1</t>
  </si>
  <si>
    <t xml:space="preserve">  MILPAX SUSP CHICLE 150 ML x 1</t>
  </si>
  <si>
    <t xml:space="preserve">  VIT-AMINO PLUS CAPS BLANDAS x 30</t>
  </si>
  <si>
    <t xml:space="preserve">  KALMAX TAB.MAS.MENT x 10</t>
  </si>
  <si>
    <t xml:space="preserve">  SENOKOT TABL C/DOCUS x 20</t>
  </si>
  <si>
    <t xml:space="preserve">  ORALYTE SOLN 45 CERE 250 ML x 1</t>
  </si>
  <si>
    <t xml:space="preserve">  FEMEN CAPS BLANDA 200 MG x 12</t>
  </si>
  <si>
    <t xml:space="preserve">  AMLOR TABL 5 MG x 10</t>
  </si>
  <si>
    <t xml:space="preserve">  ORALYTE SOLN 45 MANZ 250 ML x 1</t>
  </si>
  <si>
    <t xml:space="preserve">  PRILACE TABL 10 MG x 10</t>
  </si>
  <si>
    <t xml:space="preserve">  ORALYTE SOLN 45 COCO 250 ML x 1</t>
  </si>
  <si>
    <t xml:space="preserve">  COLYPAN A.IM/IV 50 MG 5 ML x 2</t>
  </si>
  <si>
    <t xml:space="preserve">  SENOKOT TABL 8.60 MG x 30</t>
  </si>
  <si>
    <t xml:space="preserve">  PRILACE TABL 20 MG x 10</t>
  </si>
  <si>
    <t xml:space="preserve">  NEOLAX POLVO P/DISO 17 G x 10</t>
  </si>
  <si>
    <t xml:space="preserve">  ARANDA CAPS 5 MG x 30 (/50)</t>
  </si>
  <si>
    <t xml:space="preserve">  ORALYTE SOLN 45 NARA 250 ML x 1</t>
  </si>
  <si>
    <t xml:space="preserve">  INSTILLAGEL JER.PREL.GEL 11 ML x 1</t>
  </si>
  <si>
    <t xml:space="preserve">  CALCIBON TABL 950 MG x 30</t>
  </si>
  <si>
    <t xml:space="preserve">  PRILACE TABL 5 MG x 10</t>
  </si>
  <si>
    <t xml:space="preserve">  CORAZEM CD CAPS 180 MG x 10</t>
  </si>
  <si>
    <t xml:space="preserve">  NOTOLAC AMP. 30 MG 1 ML x 1</t>
  </si>
  <si>
    <t xml:space="preserve">  DUOPRES CAPS 5 MG x 24 (/10)</t>
  </si>
  <si>
    <t xml:space="preserve">  BREINOX TABL 800 MG x 30</t>
  </si>
  <si>
    <t xml:space="preserve">  BREINOX CAPS 400 MG x 30</t>
  </si>
  <si>
    <t xml:space="preserve">  CALCIBON TABL REC. MI x 30</t>
  </si>
  <si>
    <t xml:space="preserve">  NOTOLAC TABL 20 MG x 10</t>
  </si>
  <si>
    <t xml:space="preserve">  AGUDOL TABL RECUB. x 48</t>
  </si>
  <si>
    <t xml:space="preserve">  KIDCAL SUSP FRESA 120 ML x 1</t>
  </si>
  <si>
    <t xml:space="preserve">  KIDCAL SUSP BANANA 180 ML x 1</t>
  </si>
  <si>
    <t xml:space="preserve">  DUOPRES CAPS 20 MG x 24 (/5)</t>
  </si>
  <si>
    <t xml:space="preserve">  DUOPRES CAPS 2.50 MG x 24 (/10)</t>
  </si>
  <si>
    <t xml:space="preserve">  AGUDOL TABL RECUB. x 12</t>
  </si>
  <si>
    <t xml:space="preserve">  ORALYTE SOLN 90 NATU 500 ML x 1</t>
  </si>
  <si>
    <t xml:space="preserve">  ORALYTE S/PLU 75 UVA 250 ML x 1</t>
  </si>
  <si>
    <t xml:space="preserve">  ORALYTE S/PLU 75 UVA 500 ML x 1</t>
  </si>
  <si>
    <t xml:space="preserve">  ORALYTE S/PLU 75 MAN 250 ML x 1</t>
  </si>
  <si>
    <t xml:space="preserve">  ORALYTE S/PLU 75 MAN 500 ML x 1</t>
  </si>
  <si>
    <t xml:space="preserve">  ORALYTE S/PLU 45 CER 250 ML x 1</t>
  </si>
  <si>
    <t xml:space="preserve">  ORALYTE S/PLU 45 CER 500 ML x 1</t>
  </si>
  <si>
    <t xml:space="preserve">  ORALYTE S/PLU 45 MNZ 250 ML x 1</t>
  </si>
  <si>
    <t xml:space="preserve">  ORALYTE S/PLU 45 MNZ 500 ML x 1</t>
  </si>
  <si>
    <t xml:space="preserve">  ORALYTE S/PLU 45 COC 500 ML x 1</t>
  </si>
  <si>
    <t xml:space="preserve">  BIOFLORA SOBRES 200 MG 1 G x 10</t>
  </si>
  <si>
    <t xml:space="preserve">  BIOFLORA CAPS 200 MG x 12</t>
  </si>
  <si>
    <t xml:space="preserve">  COLYPAN TAB REC.PLUS x 30</t>
  </si>
  <si>
    <t xml:space="preserve">  NIFELAN CD TAB.LIB.PROL 30 MG x 30</t>
  </si>
  <si>
    <t xml:space="preserve">  NIFELAN CD TAB.LIB.PROL 60 MG x 30</t>
  </si>
  <si>
    <t xml:space="preserve">  FARMA D CAP/BLA/GEL 2000 IU x 60</t>
  </si>
  <si>
    <t xml:space="preserve">  NORMIX TABL RECUBIE 200 MG x 12</t>
  </si>
  <si>
    <t xml:space="preserve">  DIOSMIN TABL RECUBIE x 30</t>
  </si>
  <si>
    <t xml:space="preserve">  DIOSMIN SOB.GRANULAD 5 G x 15</t>
  </si>
  <si>
    <t xml:space="preserve">  BEDOYECTA JER.IM PRELL 2 ML x 3</t>
  </si>
  <si>
    <t xml:space="preserve">  CALCIBON TAB REC. FOL x 30</t>
  </si>
  <si>
    <t xml:space="preserve">  CALCIBON TA.REC.CA+D 1500 MG x 30 (/800)</t>
  </si>
  <si>
    <t xml:space="preserve">  CALCIBON TA.REC.CA+D 1500 MG x 60 (/800)</t>
  </si>
  <si>
    <t xml:space="preserve">  CALCIBON T.RE+D.SO/FO x 30</t>
  </si>
  <si>
    <t xml:space="preserve">  CORAZEM CD CAPS 120 MG x 10</t>
  </si>
  <si>
    <t xml:space="preserve">  DOLOFAST TABL ENTERI. 100 MG x 10</t>
  </si>
  <si>
    <t xml:space="preserve">  ELANTAN TABL 20 MG x 20</t>
  </si>
  <si>
    <t xml:space="preserve">  FIXOPAN TABL 70 MG x 4</t>
  </si>
  <si>
    <t xml:space="preserve">  STAMYL TAB.REC.FORT x 20</t>
  </si>
  <si>
    <t xml:space="preserve">  TERATOS JBE  PED. 90 ML x 1</t>
  </si>
  <si>
    <t xml:space="preserve">  TERATOS JBE 90 ML x 1</t>
  </si>
  <si>
    <t>CON BONIFICACION</t>
  </si>
  <si>
    <t>SIN BONIFICACION</t>
  </si>
  <si>
    <t xml:space="preserve">Calcibon D Soya Forte Tal x 30 </t>
  </si>
  <si>
    <t>UNIDADES DE VENTA PPTO (ANUAL)</t>
  </si>
  <si>
    <t xml:space="preserve">UNIDADES DE VENTA PPTO </t>
  </si>
  <si>
    <t>PESOS</t>
  </si>
  <si>
    <t>Ingrese Crecimiento:</t>
  </si>
  <si>
    <t>ECUADOR</t>
  </si>
  <si>
    <t>FLASH DE VENTAS POR PRESENTACION</t>
  </si>
  <si>
    <t>C:F, L:L, Q:Q, V:V, AA:AA</t>
  </si>
  <si>
    <t>VTA!</t>
  </si>
  <si>
    <t>'OBJ'!</t>
  </si>
  <si>
    <t>VTA!I:I</t>
  </si>
  <si>
    <t>'OBJ'!I:I</t>
  </si>
  <si>
    <t>E:E</t>
  </si>
  <si>
    <t>B:B</t>
  </si>
  <si>
    <t>C:C</t>
  </si>
  <si>
    <t>VTA!DF:DF</t>
  </si>
  <si>
    <t>VTA!DI:DI</t>
  </si>
  <si>
    <t>'OBJ'!CR:CR</t>
  </si>
  <si>
    <t>VTA!DH:DH</t>
  </si>
  <si>
    <t>VTA!DK:DK</t>
  </si>
  <si>
    <t>'OBJ'!CS:CS</t>
  </si>
  <si>
    <t>JB</t>
  </si>
  <si>
    <t>SI</t>
  </si>
  <si>
    <t>YTD16_UN</t>
  </si>
  <si>
    <t>YTD17_UN</t>
  </si>
  <si>
    <t>YTD16_US</t>
  </si>
  <si>
    <t>YTD17_US</t>
  </si>
  <si>
    <t>NUM</t>
  </si>
  <si>
    <t>MERCADO</t>
  </si>
  <si>
    <t>PRODUCTO</t>
  </si>
  <si>
    <t>PRESENTACION</t>
  </si>
  <si>
    <t>FABRICACION</t>
  </si>
  <si>
    <t>COD</t>
  </si>
  <si>
    <t>ANT</t>
  </si>
  <si>
    <t>Und.</t>
  </si>
  <si>
    <t>Und. PPTO</t>
  </si>
  <si>
    <t>+/- vs. Und.</t>
  </si>
  <si>
    <t>+/- vs. AA</t>
  </si>
  <si>
    <t>Usd.</t>
  </si>
  <si>
    <t>Usd. PPTO</t>
  </si>
  <si>
    <t>+/- vs. Usd.</t>
  </si>
  <si>
    <t>NO</t>
  </si>
  <si>
    <t>AMLOR 10 MG x 10</t>
  </si>
  <si>
    <t>VENEZUELA</t>
  </si>
  <si>
    <t>N/D</t>
  </si>
  <si>
    <t/>
  </si>
  <si>
    <t>AMLOR 5 MG x 10</t>
  </si>
  <si>
    <t>Total AMLOR</t>
  </si>
  <si>
    <t>TERCERO</t>
  </si>
  <si>
    <t>ARANDA 5/100 x 30 CAP</t>
  </si>
  <si>
    <t>ARANDA 5/50 x 30 CAP</t>
  </si>
  <si>
    <t>Total ARANDA</t>
  </si>
  <si>
    <t>BEDOYECTA JER x 1</t>
  </si>
  <si>
    <t>Total BEDOYECTA</t>
  </si>
  <si>
    <t>BONAMES CAPSULA 150 MG x 1</t>
  </si>
  <si>
    <t>Total BONAMES</t>
  </si>
  <si>
    <t>BRASARTAN</t>
  </si>
  <si>
    <t>BRASARTAN CTDN 160/25</t>
  </si>
  <si>
    <t>COLOMBIA</t>
  </si>
  <si>
    <t>BRASARTAN CTDN 80/12,5</t>
  </si>
  <si>
    <t>BRASARTAN CTDN 80/25</t>
  </si>
  <si>
    <t>Total BRASARTAN</t>
  </si>
  <si>
    <t>BREINOX</t>
  </si>
  <si>
    <t>BREINOX 400 MG x 30</t>
  </si>
  <si>
    <t>BREINOX 800 MG x 30</t>
  </si>
  <si>
    <t>Total BREINOX</t>
  </si>
  <si>
    <t>COLYPAN INY 50 x 2</t>
  </si>
  <si>
    <t>Total COLYPAN</t>
  </si>
  <si>
    <t>Total CORAZEM CD</t>
  </si>
  <si>
    <t>Total DIOSMIN</t>
  </si>
  <si>
    <t>DUOPRES CAP 5/10 MG x 24</t>
  </si>
  <si>
    <t>DUOPRES CAP 5/20 MG x 24</t>
  </si>
  <si>
    <t>Total DUOPRES</t>
  </si>
  <si>
    <t>ELANTAN</t>
  </si>
  <si>
    <t>ELANTAN 20 MG COMP x 20</t>
  </si>
  <si>
    <t>Total ELANTAN</t>
  </si>
  <si>
    <t>Total FARMA D</t>
  </si>
  <si>
    <t>HIDROTEN TABLETAS 12,5 MG X 30</t>
  </si>
  <si>
    <t>Total HIDROTEN</t>
  </si>
  <si>
    <t>Total INSTILLAGEL</t>
  </si>
  <si>
    <t>MILPAX SACHETS CEREZA CAJA X 10</t>
  </si>
  <si>
    <t>MILPAX SUSP. NF 360 ML CEREZA</t>
  </si>
  <si>
    <t>Total MILPAX</t>
  </si>
  <si>
    <t>Total NEOLAX</t>
  </si>
  <si>
    <t>NIFELAN CAJA 30 MG x 30</t>
  </si>
  <si>
    <t>NIFELAN CAJA 60 MG x 30</t>
  </si>
  <si>
    <t>Total NIFELAN</t>
  </si>
  <si>
    <t>Total NORMIX</t>
  </si>
  <si>
    <t>NOTOLAC IM 30 MG</t>
  </si>
  <si>
    <t>NOTOLAC SUBL 30 MG x 4</t>
  </si>
  <si>
    <t>NOTOLAC TAB 20 MG</t>
  </si>
  <si>
    <t>Total NOTOLAC</t>
  </si>
  <si>
    <t>Total PRILACE</t>
  </si>
  <si>
    <t>ROSULIP</t>
  </si>
  <si>
    <t>ROSULIP 10 MG X 20</t>
  </si>
  <si>
    <t>ROSULIP 20 MG X 20</t>
  </si>
  <si>
    <t>Total ROSULIP</t>
  </si>
  <si>
    <t>TAPAZOL CAJA x 100</t>
  </si>
  <si>
    <t>Total TAPAZOL</t>
  </si>
  <si>
    <t>UROCIT FRASCO x 100</t>
  </si>
  <si>
    <t>Total UROCIT - K</t>
  </si>
  <si>
    <t>Total ETICO Importado</t>
  </si>
  <si>
    <t>BIOFLORA 200 MG x 6 CAP</t>
  </si>
  <si>
    <t>BIOFLORA 200 MG x 6 SOBRES</t>
  </si>
  <si>
    <t>Total BIOFLORA</t>
  </si>
  <si>
    <t>COUPLET TUBO x 30 GRMS</t>
  </si>
  <si>
    <t>Total COUPLETT</t>
  </si>
  <si>
    <t>FULLDERMA TUBO x 20 GRMS</t>
  </si>
  <si>
    <t>Total FULLDERMA</t>
  </si>
  <si>
    <t>Total ETICO Local</t>
  </si>
  <si>
    <t>AGUDOL</t>
  </si>
  <si>
    <t>AGUDOL TAB x 12</t>
  </si>
  <si>
    <t>Total AGUDOL</t>
  </si>
  <si>
    <t>CALCIBON D 800 ENVASE * 60</t>
  </si>
  <si>
    <t>CALCIBON D ENVASE x 30</t>
  </si>
  <si>
    <t>CALCIBON D ENVASE x 60</t>
  </si>
  <si>
    <t>CALCIBON D SOYA FORTE X 30 TAB. REC.</t>
  </si>
  <si>
    <t>CALCIBON ENVASE x 30</t>
  </si>
  <si>
    <t>CALCIBON FOLIC ENVASE x 30</t>
  </si>
  <si>
    <t>CALCIBON MIN ENVASE x 30</t>
  </si>
  <si>
    <t>CALCIBON SOYA ENVASE x 30</t>
  </si>
  <si>
    <t>Total CALCIBON</t>
  </si>
  <si>
    <t>CLIMASOY CAP x 45</t>
  </si>
  <si>
    <t>Total CLIMASOY</t>
  </si>
  <si>
    <t>FEMEN 400 MG CAJA x 10</t>
  </si>
  <si>
    <t>FEMEN 400 MG CAJA x 50</t>
  </si>
  <si>
    <t>FEMEN CAJA x 12</t>
  </si>
  <si>
    <t>FEMEN DISP 12 x 4</t>
  </si>
  <si>
    <t>FEMEN PLUS 200/10 X 12</t>
  </si>
  <si>
    <t>FEMEN PLUS 200/10 X 48</t>
  </si>
  <si>
    <t>FEMEN PLUS 400/20 X 10</t>
  </si>
  <si>
    <t>FEMEN PLUS 400/20 X 50</t>
  </si>
  <si>
    <t>Total FEMEN</t>
  </si>
  <si>
    <t>Total KALMAX</t>
  </si>
  <si>
    <t>KIDCAL FCO x 180 ML BANANA</t>
  </si>
  <si>
    <t>KIDCAL FCO x 180 ML FRESA</t>
  </si>
  <si>
    <t>KIDCAL FCO x 180 ML TUTIFRUTI</t>
  </si>
  <si>
    <t>Total KID CAL</t>
  </si>
  <si>
    <t>SENOKOT DOCUSATO</t>
  </si>
  <si>
    <t>SENOKOT TAB x 30</t>
  </si>
  <si>
    <t>Total SENOKOT</t>
  </si>
  <si>
    <t>STAMYL TABLETAS x 20</t>
  </si>
  <si>
    <t>Total STAMYL</t>
  </si>
  <si>
    <t>Total OTC Importado</t>
  </si>
  <si>
    <t>ORALYTE CEREZA 250 ML 45 mEq</t>
  </si>
  <si>
    <t>ORALYTE CEREZA 250 ML PLUS 45 mEq</t>
  </si>
  <si>
    <t>ORALYTE CEREZA 500 ML 45 mEq</t>
  </si>
  <si>
    <t>ORALYTE CEREZA 500 ML PLUS 45 mEq</t>
  </si>
  <si>
    <t>ORALYTE COCO 250 ML 45 mEq</t>
  </si>
  <si>
    <t>ORALYTE COCO 500 ML 45 mEq</t>
  </si>
  <si>
    <t>ORALYTE COCO 500 ML PLUS 45 mEq</t>
  </si>
  <si>
    <t>ORALYTE MANDARINA 250 ML PLUS 75 mEq</t>
  </si>
  <si>
    <t>ORALYTE MANDARINA 500 ML PLUS 75 mEq</t>
  </si>
  <si>
    <t>ORALYTE MANZANA 250 ML 45 mEq</t>
  </si>
  <si>
    <t>ORALYTE MANZANA 250 ML PLUS 45 mEq</t>
  </si>
  <si>
    <t>ORALYTE MANZANA 500 ML 45 mEq</t>
  </si>
  <si>
    <t>ORALYTE MANZANA 500 ML PLUS 45 mEq</t>
  </si>
  <si>
    <t>ORALYTE NARANJA 250 ML 45 mEq</t>
  </si>
  <si>
    <t>ORALYTE NARANJA 500 ML 45 mEq</t>
  </si>
  <si>
    <t>ORALYTE POLVO COCO 90 mEq</t>
  </si>
  <si>
    <t>ORALYTE POLVO FRESA 90 mEq</t>
  </si>
  <si>
    <t>ORALYTE POLVO MANZANA 90 mEq</t>
  </si>
  <si>
    <t>ORALYTE UVA 250 ML PLUS 75 mEq</t>
  </si>
  <si>
    <t>ORALYTE UVA 500 ML 75 mEq</t>
  </si>
  <si>
    <t>ORALYTE UVA 500 ML PLUS 75 mEq</t>
  </si>
  <si>
    <t>Total ORALYTE</t>
  </si>
  <si>
    <t>VIT-AMINO PLUS x 30 CAP</t>
  </si>
  <si>
    <t>Total VIT-AMINO</t>
  </si>
  <si>
    <t>Total OTC Local</t>
  </si>
  <si>
    <t>CALCULO DE UNIDADES</t>
  </si>
  <si>
    <t>LISTA DE PRECIOS</t>
  </si>
  <si>
    <t>FARMA D 2000 UI X 60 CAPS</t>
  </si>
  <si>
    <t>CALCIBON MIN ENVASE * 30</t>
  </si>
  <si>
    <t>CALCI MIN</t>
  </si>
  <si>
    <t>CALCIBON NATAL</t>
  </si>
  <si>
    <t>PVP</t>
  </si>
  <si>
    <t>KIDCAL</t>
  </si>
  <si>
    <t>CALCULO DEL PRECIO</t>
  </si>
  <si>
    <t>PRECIOS</t>
  </si>
  <si>
    <t>ACUMULADO</t>
  </si>
  <si>
    <t>VALOR</t>
  </si>
  <si>
    <t>LISTA</t>
  </si>
  <si>
    <t>Ingrese Aumento:</t>
  </si>
  <si>
    <t>Mes para aumento:</t>
  </si>
  <si>
    <t>% Aumento</t>
  </si>
  <si>
    <t>MODIFICAR PRECIO</t>
  </si>
  <si>
    <t>Femen 200mg capsx50</t>
  </si>
  <si>
    <t>Femen 200mg capsx10</t>
  </si>
  <si>
    <t>FEMEN 200 MG X 10</t>
  </si>
  <si>
    <t>FEMEN 200 MG X 50</t>
  </si>
  <si>
    <t>Femen 200 mg X 10</t>
  </si>
  <si>
    <t>Femen 200 mg X 50</t>
  </si>
  <si>
    <t>HIDROTEN 12.5 MG x 30</t>
  </si>
  <si>
    <t>HIDROTEN 25 MG x 30</t>
  </si>
  <si>
    <t>DIOSMIN 950/50 CAJA X 15 SOBRES</t>
  </si>
  <si>
    <t>RINOLAST 30/5 MG X 120</t>
  </si>
  <si>
    <t xml:space="preserve">RINOLAST D 15/30 ML </t>
  </si>
  <si>
    <t>RINOLAST 120 MG X 10 TAB</t>
  </si>
  <si>
    <t>RINOLAST D 60/25 MG X 10 TAB</t>
  </si>
  <si>
    <t>BRASARTAN CTND 80/12.5 MG X 30</t>
  </si>
  <si>
    <t>BRASARTAN CTND 80/25 MG X 30</t>
  </si>
  <si>
    <t>BRASARTAN CTND 160/25 MG X 30</t>
  </si>
  <si>
    <t>RINOLAST</t>
  </si>
  <si>
    <t>CLIMASOY 100 CAP X 30</t>
  </si>
  <si>
    <t>COUPLET OVULOS X 7</t>
  </si>
  <si>
    <t>BIOFLORA PLUS X 10 SOBRES</t>
  </si>
  <si>
    <t>BIOFLORA PLUS X 12 CAP</t>
  </si>
  <si>
    <t xml:space="preserve">TERAGRIP FORTE DIA SOBRES X 6 </t>
  </si>
  <si>
    <t>TERAGRIP FORTE NOCHE SOBRES X 6</t>
  </si>
  <si>
    <t>TERAGRIP FORTE DIA TAB X 10</t>
  </si>
  <si>
    <t>TERAGRIP FORTE NOCHE TAB X 10</t>
  </si>
  <si>
    <t>ytd-0%-ims</t>
  </si>
  <si>
    <t>FEMEN 250 MG X 10</t>
  </si>
  <si>
    <t>MAT; 0; FD</t>
  </si>
  <si>
    <t>MAT; 0; IMS</t>
  </si>
  <si>
    <t>MAT; 0,1; IMS</t>
  </si>
  <si>
    <t>MAT; 0,15; IMS</t>
  </si>
  <si>
    <t>MAT; 0,05; IMS</t>
  </si>
  <si>
    <t>ppto 2017</t>
  </si>
  <si>
    <t>ppto 2018</t>
  </si>
  <si>
    <t>MENU</t>
  </si>
  <si>
    <t>VTA!AY:AY</t>
  </si>
  <si>
    <t>'OBJ'!CP:CP</t>
  </si>
  <si>
    <t>'OBJ'!CQ:CQ</t>
  </si>
  <si>
    <t>7:10, 159:212</t>
  </si>
  <si>
    <t>JUN16_UN</t>
  </si>
  <si>
    <t>YTDA17_UN</t>
  </si>
  <si>
    <t>YTDA17_US</t>
  </si>
  <si>
    <t>ACUMULADO Junio-2017</t>
  </si>
  <si>
    <t>TOTAL PRESUPUESTO</t>
  </si>
  <si>
    <t>Ppto.Tot.Und.</t>
  </si>
  <si>
    <t>% Cum.Und.</t>
  </si>
  <si>
    <t>Ppto.Tot.Usd.</t>
  </si>
  <si>
    <t>% Cum.Usd.</t>
  </si>
  <si>
    <t>Total NO</t>
  </si>
  <si>
    <t>Total SI</t>
  </si>
  <si>
    <t>Total ETICO</t>
  </si>
  <si>
    <t>Total OTC</t>
  </si>
  <si>
    <t>VARIACION</t>
  </si>
  <si>
    <t>NUEVO PRECIO TECHO</t>
  </si>
  <si>
    <t>YTD; -0,017; FD</t>
  </si>
  <si>
    <t>YTD; -0,213; FD</t>
  </si>
  <si>
    <t>YTD; 0,032; FD</t>
  </si>
  <si>
    <t>YTD; 0; FD</t>
  </si>
  <si>
    <t>RX</t>
  </si>
  <si>
    <t>OTX</t>
  </si>
  <si>
    <t>13154    ORALYTE MANZANA 500 ML FOS</t>
  </si>
  <si>
    <t>MAT; 0,666; IMS</t>
  </si>
  <si>
    <t>MAT; 0,639; IMS</t>
  </si>
  <si>
    <t>MAT; 0,645; IMS</t>
  </si>
  <si>
    <t>MAT; 0,3515; IMS</t>
  </si>
  <si>
    <t>MAT; 1,18; IMS</t>
  </si>
  <si>
    <t>MAT; 1,52; IMS</t>
  </si>
  <si>
    <t>MAT; 0,74; IMS</t>
  </si>
  <si>
    <t>MAT; 0,51; IMS</t>
  </si>
  <si>
    <t>13089    ORALYTE SOBRES X 10 MANZANA</t>
  </si>
  <si>
    <t>total fact</t>
  </si>
  <si>
    <t>total bonif</t>
  </si>
  <si>
    <t>% bonif</t>
  </si>
  <si>
    <t>total factutad</t>
  </si>
  <si>
    <t>% bonific</t>
  </si>
  <si>
    <t>f-d</t>
  </si>
  <si>
    <t>d-f</t>
  </si>
  <si>
    <t>% bonif ene-jun 2017</t>
  </si>
  <si>
    <t>und bonf</t>
  </si>
  <si>
    <t>% REAL 2016</t>
  </si>
  <si>
    <t>PPTO 2017</t>
  </si>
  <si>
    <t>% PPTO 2017</t>
  </si>
  <si>
    <t>UNIDADES BONIFICACION</t>
  </si>
  <si>
    <t>UNIDADES VTA + UNIDADES BONIFICACION</t>
  </si>
  <si>
    <t>PVM 1</t>
  </si>
  <si>
    <t>PVM 2</t>
  </si>
  <si>
    <t>PVM 3</t>
  </si>
  <si>
    <t>costo std</t>
  </si>
  <si>
    <t>A PARTIR DE JULIO</t>
  </si>
  <si>
    <t>Total Bonificacion</t>
  </si>
  <si>
    <t>%bonificación</t>
  </si>
  <si>
    <t>CTDN 80/12,5</t>
  </si>
  <si>
    <t>13160 </t>
  </si>
  <si>
    <t>CTDN 80/25</t>
  </si>
  <si>
    <t>13161 </t>
  </si>
  <si>
    <t>CTDN 160/25</t>
  </si>
  <si>
    <t>200 X 60</t>
  </si>
  <si>
    <t>Tabletas 12,5 mg x 30</t>
  </si>
  <si>
    <t>CALIBON D SOYA ENVASE * 30</t>
  </si>
  <si>
    <t>ORALYTE PLUS CEREZA 250 ML</t>
  </si>
  <si>
    <t>ORALYTE PLUS CEREZA 500 ML</t>
  </si>
  <si>
    <t>ORALYTE PLUS UVA 250 ML</t>
  </si>
  <si>
    <t>ORALYTE PLUS UVA 500 ML</t>
  </si>
  <si>
    <t>ORALYTE PLUS COCO 500 ML</t>
  </si>
  <si>
    <t>ORALYTE PLUS MANZANA 250 ML</t>
  </si>
  <si>
    <t>ORALYTE PLUS MANZANA 500 ML</t>
  </si>
  <si>
    <t>ORALYTE PLUS MANDARINA 250 ML</t>
  </si>
  <si>
    <t>ORALYTE PLUS MANDARINA 500 ML</t>
  </si>
  <si>
    <t>ORALYTE SOBRES COCO</t>
  </si>
  <si>
    <t>ORALYTE SOBRE FRESA</t>
  </si>
  <si>
    <t>ORALYTE SOBRES MANZANA</t>
  </si>
  <si>
    <t xml:space="preserve">VIT-AMINO JALEA TUBO 100 GRMS </t>
  </si>
  <si>
    <t>BDPPTO_fi</t>
  </si>
  <si>
    <t>USD</t>
  </si>
  <si>
    <t>PPTO 2018</t>
  </si>
  <si>
    <t>REAL 2016</t>
  </si>
  <si>
    <t>PPTO 2018 VS REAL 2016</t>
  </si>
  <si>
    <t>PPTO 2018 VS PPTO 2017</t>
  </si>
  <si>
    <t xml:space="preserve">CALCIBON </t>
  </si>
  <si>
    <t>Total VONAU</t>
  </si>
  <si>
    <t>Total FARMAD</t>
  </si>
  <si>
    <t>Total Couplett</t>
  </si>
  <si>
    <t>Total UROCIT</t>
  </si>
  <si>
    <t>Total RINOLAST</t>
  </si>
  <si>
    <t>Total KIDCAL</t>
  </si>
  <si>
    <t>Total TERAGRIP</t>
  </si>
  <si>
    <t>Total VITAMINO</t>
  </si>
  <si>
    <t>USD VENTAS</t>
  </si>
  <si>
    <t>USD BONIFICACION</t>
  </si>
  <si>
    <t>Factur 2016</t>
  </si>
  <si>
    <t>Bonific 2016</t>
  </si>
  <si>
    <t>Totales 2016</t>
  </si>
  <si>
    <t>YTD</t>
  </si>
  <si>
    <t>YTD; 0,05; FD</t>
  </si>
  <si>
    <t>13120    ARANDA 5/50  X 30  CAP</t>
  </si>
  <si>
    <t>YTD; 0,32; FD</t>
  </si>
  <si>
    <t>Bioflora x 6 cap</t>
  </si>
  <si>
    <t>bioflora x 6 sobres</t>
  </si>
  <si>
    <t>calcibon folic</t>
  </si>
  <si>
    <t>calcibon soya forte</t>
  </si>
  <si>
    <t>femen 200 mg x 10</t>
  </si>
  <si>
    <t>femen 200 mg x 50</t>
  </si>
  <si>
    <t>YTD JULIO</t>
  </si>
  <si>
    <t>LBE 2017</t>
  </si>
  <si>
    <t>HP</t>
  </si>
  <si>
    <t>CALCIBON FOLIC X 30</t>
  </si>
  <si>
    <t>CALCIBON D SOYA FORTE X 30</t>
  </si>
  <si>
    <t>calcibon d x 30</t>
  </si>
  <si>
    <t>calcibon d x 60</t>
  </si>
  <si>
    <t>calcibon x 30, soya</t>
  </si>
  <si>
    <t>las presentaciones</t>
  </si>
  <si>
    <t xml:space="preserve">  antiguas</t>
  </si>
  <si>
    <t>PPTO 2018 VS LBE 2017</t>
  </si>
  <si>
    <t>PPTO 2018 RX</t>
  </si>
  <si>
    <t>LBE 2017 RX</t>
  </si>
  <si>
    <t>PPTO 2018 OTX</t>
  </si>
  <si>
    <t>LBE 2017 OTX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</si>
</sst>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0;[Red]0"/>
    <numFmt numFmtId="165" formatCode="_ * #,##0_ ;_ * \-#,##0_ ;_ * &quot;-&quot;??_ ;_ @_ 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5" tint="-0.499984740745262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0"/>
      <color theme="5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0"/>
      <name val="Calibri"/>
      <family val="2"/>
    </font>
    <font>
      <b/>
      <sz val="12"/>
      <name val="Arial"/>
      <family val="2"/>
    </font>
    <font>
      <sz val="6"/>
      <color theme="1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sz val="6"/>
      <color theme="1"/>
      <name val="Arial"/>
      <family val="2"/>
    </font>
    <font>
      <b/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5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3" tint="-0.499984740745262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Arial"/>
      <family val="2"/>
    </font>
    <font>
      <b/>
      <sz val="8"/>
      <color theme="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B6DDE8"/>
        <bgColor indexed="64"/>
      </patternFill>
    </fill>
    <fill>
      <patternFill patternType="solid">
        <fgColor rgb="FFFFE3C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249977111117893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0" tint="-0.499984740745262"/>
      </bottom>
      <diagonal/>
    </border>
    <border>
      <left style="thick">
        <color theme="0" tint="-0.499984740745262"/>
      </left>
      <right/>
      <top style="thick">
        <color theme="0" tint="-0.499984740745262"/>
      </top>
      <bottom/>
      <diagonal/>
    </border>
    <border>
      <left/>
      <right/>
      <top style="thick">
        <color theme="0" tint="-0.499984740745262"/>
      </top>
      <bottom/>
      <diagonal/>
    </border>
    <border>
      <left/>
      <right style="thick">
        <color theme="0" tint="-0.499984740745262"/>
      </right>
      <top style="thick">
        <color theme="0" tint="-0.499984740745262"/>
      </top>
      <bottom/>
      <diagonal/>
    </border>
    <border>
      <left style="thick">
        <color theme="0" tint="-0.499984740745262"/>
      </left>
      <right/>
      <top/>
      <bottom/>
      <diagonal/>
    </border>
    <border>
      <left/>
      <right style="thick">
        <color theme="0" tint="-0.499984740745262"/>
      </right>
      <top/>
      <bottom/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dash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/>
      <top/>
      <bottom/>
      <diagonal/>
    </border>
    <border>
      <left style="dashed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thin">
        <color theme="0"/>
      </left>
      <right style="dashed">
        <color indexed="64"/>
      </right>
      <top style="thin">
        <color indexed="64"/>
      </top>
      <bottom style="thin">
        <color auto="1"/>
      </bottom>
      <diagonal/>
    </border>
    <border>
      <left style="dashed">
        <color indexed="64"/>
      </left>
      <right style="thin">
        <color theme="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thick">
        <color theme="0" tint="-0.499984740745262"/>
      </left>
      <right/>
      <top/>
      <bottom style="thick">
        <color theme="0" tint="-0.499984740745262"/>
      </bottom>
      <diagonal/>
    </border>
    <border>
      <left/>
      <right style="thick">
        <color theme="0" tint="-0.499984740745262"/>
      </right>
      <top/>
      <bottom style="thick">
        <color theme="0" tint="-0.49998474074526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dashed">
        <color indexed="64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22" fillId="0" borderId="0" applyNumberFormat="0" applyFill="0" applyBorder="0" applyAlignment="0" applyProtection="0">
      <alignment vertical="top"/>
      <protection locked="0"/>
    </xf>
    <xf numFmtId="43" fontId="1" fillId="0" borderId="0" applyFont="0" applyFill="0" applyBorder="0" applyAlignment="0" applyProtection="0"/>
  </cellStyleXfs>
  <cellXfs count="528">
    <xf numFmtId="0" fontId="0" fillId="0" borderId="0" xfId="0"/>
    <xf numFmtId="0" fontId="6" fillId="0" borderId="0" xfId="0" applyFont="1"/>
    <xf numFmtId="0" fontId="3" fillId="4" borderId="8" xfId="0" applyFont="1" applyFill="1" applyBorder="1"/>
    <xf numFmtId="0" fontId="6" fillId="2" borderId="0" xfId="3" applyFont="1" applyFill="1"/>
    <xf numFmtId="0" fontId="8" fillId="2" borderId="1" xfId="3" applyFont="1" applyFill="1" applyBorder="1" applyAlignment="1"/>
    <xf numFmtId="3" fontId="6" fillId="0" borderId="8" xfId="0" applyNumberFormat="1" applyFont="1" applyBorder="1"/>
    <xf numFmtId="0" fontId="8" fillId="2" borderId="3" xfId="3" applyFont="1" applyFill="1" applyBorder="1" applyAlignment="1"/>
    <xf numFmtId="3" fontId="6" fillId="0" borderId="8" xfId="0" applyNumberFormat="1" applyFont="1" applyFill="1" applyBorder="1"/>
    <xf numFmtId="0" fontId="8" fillId="2" borderId="4" xfId="3" applyFont="1" applyFill="1" applyBorder="1" applyAlignment="1"/>
    <xf numFmtId="0" fontId="8" fillId="2" borderId="1" xfId="3" applyFont="1" applyFill="1" applyBorder="1" applyAlignment="1">
      <alignment horizontal="left"/>
    </xf>
    <xf numFmtId="0" fontId="8" fillId="2" borderId="3" xfId="3" applyFont="1" applyFill="1" applyBorder="1" applyAlignment="1">
      <alignment horizontal="left"/>
    </xf>
    <xf numFmtId="0" fontId="9" fillId="2" borderId="4" xfId="3" applyFont="1" applyFill="1" applyBorder="1" applyAlignment="1">
      <alignment horizontal="center"/>
    </xf>
    <xf numFmtId="0" fontId="8" fillId="0" borderId="1" xfId="3" applyFont="1" applyFill="1" applyBorder="1" applyAlignment="1">
      <alignment horizontal="left"/>
    </xf>
    <xf numFmtId="0" fontId="8" fillId="0" borderId="3" xfId="3" applyFont="1" applyFill="1" applyBorder="1" applyAlignment="1">
      <alignment horizontal="left"/>
    </xf>
    <xf numFmtId="0" fontId="8" fillId="0" borderId="1" xfId="3" applyFont="1" applyFill="1" applyBorder="1" applyAlignment="1"/>
    <xf numFmtId="0" fontId="8" fillId="0" borderId="4" xfId="3" applyFont="1" applyFill="1" applyBorder="1" applyAlignment="1"/>
    <xf numFmtId="0" fontId="8" fillId="2" borderId="6" xfId="3" applyFont="1" applyFill="1" applyBorder="1" applyAlignment="1"/>
    <xf numFmtId="0" fontId="8" fillId="2" borderId="7" xfId="3" applyFont="1" applyFill="1" applyBorder="1" applyAlignment="1"/>
    <xf numFmtId="0" fontId="8" fillId="0" borderId="4" xfId="3" applyFont="1" applyFill="1" applyBorder="1" applyAlignment="1">
      <alignment horizontal="left"/>
    </xf>
    <xf numFmtId="0" fontId="8" fillId="2" borderId="8" xfId="3" applyFont="1" applyFill="1" applyBorder="1" applyAlignment="1"/>
    <xf numFmtId="0" fontId="8" fillId="2" borderId="6" xfId="3" applyFont="1" applyFill="1" applyBorder="1" applyAlignment="1">
      <alignment horizontal="left"/>
    </xf>
    <xf numFmtId="0" fontId="8" fillId="2" borderId="7" xfId="3" applyFont="1" applyFill="1" applyBorder="1" applyAlignment="1">
      <alignment horizontal="left"/>
    </xf>
    <xf numFmtId="0" fontId="8" fillId="2" borderId="4" xfId="3" applyFont="1" applyFill="1" applyBorder="1" applyAlignment="1">
      <alignment horizontal="left"/>
    </xf>
    <xf numFmtId="0" fontId="8" fillId="0" borderId="8" xfId="3" applyFont="1" applyFill="1" applyBorder="1" applyAlignment="1"/>
    <xf numFmtId="0" fontId="8" fillId="0" borderId="6" xfId="3" applyFont="1" applyFill="1" applyBorder="1" applyAlignment="1"/>
    <xf numFmtId="0" fontId="8" fillId="2" borderId="2" xfId="3" applyFont="1" applyFill="1" applyBorder="1" applyAlignment="1"/>
    <xf numFmtId="0" fontId="8" fillId="2" borderId="9" xfId="3" applyFont="1" applyFill="1" applyBorder="1" applyAlignment="1"/>
    <xf numFmtId="0" fontId="10" fillId="11" borderId="26" xfId="3" applyFont="1" applyFill="1" applyBorder="1" applyAlignment="1"/>
    <xf numFmtId="0" fontId="10" fillId="11" borderId="29" xfId="3" quotePrefix="1" applyFont="1" applyFill="1" applyBorder="1" applyAlignment="1">
      <alignment horizontal="left"/>
    </xf>
    <xf numFmtId="0" fontId="10" fillId="11" borderId="30" xfId="3" applyFont="1" applyFill="1" applyBorder="1" applyAlignment="1"/>
    <xf numFmtId="0" fontId="8" fillId="2" borderId="9" xfId="3" applyFont="1" applyFill="1" applyBorder="1" applyAlignment="1">
      <alignment horizontal="left"/>
    </xf>
    <xf numFmtId="0" fontId="6" fillId="2" borderId="8" xfId="3" applyFont="1" applyFill="1" applyBorder="1"/>
    <xf numFmtId="0" fontId="6" fillId="0" borderId="8" xfId="3" applyFont="1" applyFill="1" applyBorder="1"/>
    <xf numFmtId="0" fontId="6" fillId="5" borderId="0" xfId="0" applyFont="1" applyFill="1"/>
    <xf numFmtId="0" fontId="3" fillId="5" borderId="0" xfId="0" applyFont="1" applyFill="1"/>
    <xf numFmtId="0" fontId="6" fillId="5" borderId="0" xfId="3" applyFont="1" applyFill="1"/>
    <xf numFmtId="0" fontId="9" fillId="5" borderId="0" xfId="3" applyFont="1" applyFill="1" applyAlignment="1"/>
    <xf numFmtId="3" fontId="6" fillId="5" borderId="0" xfId="0" applyNumberFormat="1" applyFont="1" applyFill="1"/>
    <xf numFmtId="0" fontId="9" fillId="5" borderId="0" xfId="3" applyFont="1" applyFill="1" applyBorder="1" applyAlignment="1">
      <alignment horizontal="center"/>
    </xf>
    <xf numFmtId="0" fontId="3" fillId="5" borderId="8" xfId="0" applyFont="1" applyFill="1" applyBorder="1"/>
    <xf numFmtId="0" fontId="5" fillId="5" borderId="0" xfId="0" applyFont="1" applyFill="1" applyAlignment="1">
      <alignment horizontal="left"/>
    </xf>
    <xf numFmtId="0" fontId="11" fillId="8" borderId="2" xfId="3" applyFont="1" applyFill="1" applyBorder="1" applyAlignment="1">
      <alignment horizontal="left"/>
    </xf>
    <xf numFmtId="0" fontId="11" fillId="8" borderId="5" xfId="3" applyFont="1" applyFill="1" applyBorder="1" applyAlignment="1">
      <alignment horizontal="left"/>
    </xf>
    <xf numFmtId="0" fontId="11" fillId="8" borderId="6" xfId="0" applyFont="1" applyFill="1" applyBorder="1" applyAlignment="1">
      <alignment horizontal="left"/>
    </xf>
    <xf numFmtId="0" fontId="11" fillId="8" borderId="9" xfId="3" applyFont="1" applyFill="1" applyBorder="1" applyAlignment="1">
      <alignment horizontal="left"/>
    </xf>
    <xf numFmtId="0" fontId="11" fillId="5" borderId="0" xfId="3" applyFont="1" applyFill="1" applyAlignment="1">
      <alignment horizontal="left"/>
    </xf>
    <xf numFmtId="0" fontId="11" fillId="5" borderId="0" xfId="3" applyFont="1" applyFill="1" applyBorder="1" applyAlignment="1">
      <alignment horizontal="left"/>
    </xf>
    <xf numFmtId="0" fontId="11" fillId="7" borderId="9" xfId="3" applyFont="1" applyFill="1" applyBorder="1" applyAlignment="1">
      <alignment horizontal="left"/>
    </xf>
    <xf numFmtId="0" fontId="11" fillId="7" borderId="2" xfId="3" applyFont="1" applyFill="1" applyBorder="1" applyAlignment="1">
      <alignment horizontal="left"/>
    </xf>
    <xf numFmtId="0" fontId="11" fillId="7" borderId="5" xfId="3" applyFont="1" applyFill="1" applyBorder="1" applyAlignment="1">
      <alignment horizontal="left"/>
    </xf>
    <xf numFmtId="0" fontId="11" fillId="7" borderId="2" xfId="0" applyFont="1" applyFill="1" applyBorder="1" applyAlignment="1">
      <alignment horizontal="left"/>
    </xf>
    <xf numFmtId="0" fontId="11" fillId="7" borderId="10" xfId="3" applyFont="1" applyFill="1" applyBorder="1" applyAlignment="1">
      <alignment horizontal="left"/>
    </xf>
    <xf numFmtId="0" fontId="5" fillId="0" borderId="0" xfId="0" applyFont="1"/>
    <xf numFmtId="0" fontId="6" fillId="0" borderId="0" xfId="0" applyFont="1" applyFill="1"/>
    <xf numFmtId="0" fontId="5" fillId="0" borderId="0" xfId="0" applyFont="1" applyFill="1"/>
    <xf numFmtId="0" fontId="12" fillId="11" borderId="33" xfId="3" applyFont="1" applyFill="1" applyBorder="1" applyAlignment="1">
      <alignment horizontal="left"/>
    </xf>
    <xf numFmtId="0" fontId="12" fillId="11" borderId="0" xfId="3" applyFont="1" applyFill="1" applyBorder="1" applyAlignment="1">
      <alignment horizontal="left"/>
    </xf>
    <xf numFmtId="0" fontId="12" fillId="11" borderId="34" xfId="3" applyFont="1" applyFill="1" applyBorder="1" applyAlignment="1">
      <alignment horizontal="left"/>
    </xf>
    <xf numFmtId="3" fontId="10" fillId="11" borderId="8" xfId="3" applyNumberFormat="1" applyFont="1" applyFill="1" applyBorder="1" applyAlignment="1"/>
    <xf numFmtId="44" fontId="7" fillId="5" borderId="13" xfId="0" applyNumberFormat="1" applyFont="1" applyFill="1" applyBorder="1" applyProtection="1"/>
    <xf numFmtId="0" fontId="0" fillId="5" borderId="0" xfId="0" applyFill="1" applyProtection="1"/>
    <xf numFmtId="0" fontId="0" fillId="0" borderId="0" xfId="0" applyProtection="1"/>
    <xf numFmtId="0" fontId="2" fillId="5" borderId="0" xfId="0" applyFont="1" applyFill="1" applyAlignment="1" applyProtection="1">
      <alignment vertical="center"/>
    </xf>
    <xf numFmtId="0" fontId="13" fillId="5" borderId="0" xfId="0" applyFont="1" applyFill="1" applyProtection="1"/>
    <xf numFmtId="0" fontId="2" fillId="5" borderId="0" xfId="0" applyFont="1" applyFill="1" applyAlignment="1" applyProtection="1">
      <alignment horizontal="center" vertical="center"/>
    </xf>
    <xf numFmtId="10" fontId="5" fillId="5" borderId="22" xfId="2" applyNumberFormat="1" applyFont="1" applyFill="1" applyBorder="1" applyProtection="1"/>
    <xf numFmtId="1" fontId="5" fillId="5" borderId="15" xfId="2" applyNumberFormat="1" applyFont="1" applyFill="1" applyBorder="1" applyProtection="1"/>
    <xf numFmtId="44" fontId="5" fillId="5" borderId="24" xfId="0" applyNumberFormat="1" applyFont="1" applyFill="1" applyBorder="1" applyProtection="1"/>
    <xf numFmtId="44" fontId="5" fillId="5" borderId="15" xfId="0" applyNumberFormat="1" applyFont="1" applyFill="1" applyBorder="1" applyProtection="1"/>
    <xf numFmtId="164" fontId="5" fillId="5" borderId="15" xfId="0" applyNumberFormat="1" applyFont="1" applyFill="1" applyBorder="1" applyProtection="1"/>
    <xf numFmtId="0" fontId="4" fillId="5" borderId="17" xfId="0" applyFont="1" applyFill="1" applyBorder="1" applyAlignment="1" applyProtection="1">
      <alignment horizontal="left" vertical="center"/>
    </xf>
    <xf numFmtId="1" fontId="5" fillId="5" borderId="8" xfId="0" applyNumberFormat="1" applyFont="1" applyFill="1" applyBorder="1" applyProtection="1"/>
    <xf numFmtId="44" fontId="5" fillId="5" borderId="8" xfId="1" applyFont="1" applyFill="1" applyBorder="1" applyProtection="1"/>
    <xf numFmtId="10" fontId="5" fillId="5" borderId="2" xfId="2" applyNumberFormat="1" applyFont="1" applyFill="1" applyBorder="1" applyProtection="1"/>
    <xf numFmtId="1" fontId="5" fillId="5" borderId="8" xfId="2" applyNumberFormat="1" applyFont="1" applyFill="1" applyBorder="1" applyProtection="1"/>
    <xf numFmtId="44" fontId="5" fillId="5" borderId="11" xfId="0" applyNumberFormat="1" applyFont="1" applyFill="1" applyBorder="1" applyProtection="1"/>
    <xf numFmtId="44" fontId="5" fillId="5" borderId="8" xfId="0" applyNumberFormat="1" applyFont="1" applyFill="1" applyBorder="1" applyProtection="1"/>
    <xf numFmtId="164" fontId="5" fillId="5" borderId="8" xfId="0" applyNumberFormat="1" applyFont="1" applyFill="1" applyBorder="1" applyProtection="1"/>
    <xf numFmtId="0" fontId="2" fillId="5" borderId="0" xfId="0" applyFont="1" applyFill="1" applyBorder="1" applyAlignment="1" applyProtection="1">
      <alignment horizontal="left" vertical="center"/>
    </xf>
    <xf numFmtId="1" fontId="0" fillId="5" borderId="0" xfId="0" applyNumberFormat="1" applyFill="1" applyBorder="1" applyProtection="1"/>
    <xf numFmtId="44" fontId="0" fillId="5" borderId="0" xfId="1" applyFont="1" applyFill="1" applyBorder="1" applyProtection="1"/>
    <xf numFmtId="10" fontId="0" fillId="5" borderId="0" xfId="2" applyNumberFormat="1" applyFont="1" applyFill="1" applyBorder="1" applyProtection="1"/>
    <xf numFmtId="2" fontId="0" fillId="5" borderId="0" xfId="2" applyNumberFormat="1" applyFont="1" applyFill="1" applyBorder="1" applyProtection="1"/>
    <xf numFmtId="44" fontId="0" fillId="5" borderId="0" xfId="0" applyNumberFormat="1" applyFill="1" applyProtection="1"/>
    <xf numFmtId="1" fontId="7" fillId="5" borderId="12" xfId="0" applyNumberFormat="1" applyFont="1" applyFill="1" applyBorder="1" applyProtection="1"/>
    <xf numFmtId="1" fontId="7" fillId="5" borderId="0" xfId="0" applyNumberFormat="1" applyFont="1" applyFill="1" applyBorder="1" applyProtection="1"/>
    <xf numFmtId="0" fontId="11" fillId="0" borderId="0" xfId="0" applyFont="1"/>
    <xf numFmtId="0" fontId="4" fillId="0" borderId="0" xfId="0" applyFont="1"/>
    <xf numFmtId="0" fontId="7" fillId="5" borderId="0" xfId="0" applyFont="1" applyFill="1" applyBorder="1" applyAlignment="1" applyProtection="1">
      <alignment horizontal="left" wrapText="1"/>
    </xf>
    <xf numFmtId="1" fontId="18" fillId="5" borderId="14" xfId="0" applyNumberFormat="1" applyFont="1" applyFill="1" applyBorder="1" applyAlignment="1" applyProtection="1">
      <alignment horizontal="center" vertical="center"/>
    </xf>
    <xf numFmtId="0" fontId="19" fillId="5" borderId="0" xfId="0" applyFont="1" applyFill="1" applyProtection="1"/>
    <xf numFmtId="0" fontId="4" fillId="5" borderId="0" xfId="0" applyFont="1" applyFill="1" applyBorder="1" applyAlignment="1" applyProtection="1">
      <alignment horizontal="center" vertical="center" wrapText="1"/>
    </xf>
    <xf numFmtId="10" fontId="4" fillId="5" borderId="0" xfId="2" applyNumberFormat="1" applyFont="1" applyFill="1" applyBorder="1" applyAlignment="1" applyProtection="1">
      <alignment vertical="center"/>
    </xf>
    <xf numFmtId="0" fontId="15" fillId="5" borderId="0" xfId="0" applyFont="1" applyFill="1" applyBorder="1" applyAlignment="1" applyProtection="1">
      <alignment horizontal="center" vertical="center"/>
    </xf>
    <xf numFmtId="1" fontId="5" fillId="5" borderId="4" xfId="0" applyNumberFormat="1" applyFont="1" applyFill="1" applyBorder="1" applyProtection="1"/>
    <xf numFmtId="1" fontId="2" fillId="5" borderId="13" xfId="0" applyNumberFormat="1" applyFont="1" applyFill="1" applyBorder="1" applyAlignment="1" applyProtection="1">
      <alignment horizontal="center" vertical="center"/>
    </xf>
    <xf numFmtId="0" fontId="19" fillId="0" borderId="0" xfId="0" applyFont="1" applyProtection="1"/>
    <xf numFmtId="44" fontId="11" fillId="5" borderId="16" xfId="0" applyNumberFormat="1" applyFont="1" applyFill="1" applyBorder="1" applyProtection="1"/>
    <xf numFmtId="44" fontId="11" fillId="5" borderId="18" xfId="0" applyNumberFormat="1" applyFont="1" applyFill="1" applyBorder="1" applyProtection="1"/>
    <xf numFmtId="0" fontId="4" fillId="5" borderId="37" xfId="0" applyFont="1" applyFill="1" applyBorder="1" applyAlignment="1" applyProtection="1">
      <alignment horizontal="center" vertical="center" wrapText="1"/>
    </xf>
    <xf numFmtId="0" fontId="20" fillId="5" borderId="0" xfId="0" applyFont="1" applyFill="1" applyProtection="1"/>
    <xf numFmtId="1" fontId="20" fillId="5" borderId="0" xfId="0" applyNumberFormat="1" applyFont="1" applyFill="1" applyProtection="1"/>
    <xf numFmtId="14" fontId="20" fillId="5" borderId="0" xfId="0" applyNumberFormat="1" applyFont="1" applyFill="1" applyProtection="1"/>
    <xf numFmtId="1" fontId="2" fillId="5" borderId="38" xfId="0" applyNumberFormat="1" applyFont="1" applyFill="1" applyBorder="1" applyAlignment="1" applyProtection="1">
      <alignment horizontal="center" vertical="center"/>
    </xf>
    <xf numFmtId="3" fontId="6" fillId="0" borderId="0" xfId="0" applyNumberFormat="1" applyFont="1"/>
    <xf numFmtId="2" fontId="20" fillId="5" borderId="0" xfId="0" applyNumberFormat="1" applyFont="1" applyFill="1" applyProtection="1"/>
    <xf numFmtId="0" fontId="20" fillId="5" borderId="0" xfId="0" applyFont="1" applyFill="1" applyBorder="1" applyProtection="1"/>
    <xf numFmtId="2" fontId="13" fillId="5" borderId="0" xfId="0" applyNumberFormat="1" applyFont="1" applyFill="1" applyProtection="1"/>
    <xf numFmtId="0" fontId="0" fillId="13" borderId="0" xfId="0" applyFill="1" applyProtection="1"/>
    <xf numFmtId="0" fontId="19" fillId="13" borderId="0" xfId="0" applyFont="1" applyFill="1" applyProtection="1"/>
    <xf numFmtId="10" fontId="4" fillId="13" borderId="0" xfId="2" applyNumberFormat="1" applyFont="1" applyFill="1" applyBorder="1" applyAlignment="1" applyProtection="1">
      <alignment vertical="center"/>
    </xf>
    <xf numFmtId="0" fontId="4" fillId="13" borderId="0" xfId="0" applyFont="1" applyFill="1" applyBorder="1" applyAlignment="1" applyProtection="1">
      <alignment vertical="center" wrapText="1"/>
    </xf>
    <xf numFmtId="0" fontId="4" fillId="5" borderId="13" xfId="0" applyFont="1" applyFill="1" applyBorder="1" applyAlignment="1" applyProtection="1">
      <alignment horizontal="center" vertical="center" wrapText="1"/>
    </xf>
    <xf numFmtId="0" fontId="14" fillId="5" borderId="14" xfId="0" applyFont="1" applyFill="1" applyBorder="1" applyAlignment="1" applyProtection="1">
      <alignment horizontal="center" vertical="center" wrapText="1"/>
    </xf>
    <xf numFmtId="0" fontId="4" fillId="5" borderId="19" xfId="0" applyFont="1" applyFill="1" applyBorder="1" applyAlignment="1" applyProtection="1">
      <alignment horizontal="left" vertical="center"/>
    </xf>
    <xf numFmtId="1" fontId="5" fillId="5" borderId="20" xfId="0" applyNumberFormat="1" applyFont="1" applyFill="1" applyBorder="1" applyProtection="1"/>
    <xf numFmtId="44" fontId="5" fillId="5" borderId="20" xfId="1" applyFont="1" applyFill="1" applyBorder="1" applyProtection="1"/>
    <xf numFmtId="10" fontId="5" fillId="5" borderId="23" xfId="2" applyNumberFormat="1" applyFont="1" applyFill="1" applyBorder="1" applyProtection="1"/>
    <xf numFmtId="1" fontId="5" fillId="5" borderId="20" xfId="2" applyNumberFormat="1" applyFont="1" applyFill="1" applyBorder="1" applyProtection="1"/>
    <xf numFmtId="44" fontId="5" fillId="5" borderId="25" xfId="0" applyNumberFormat="1" applyFont="1" applyFill="1" applyBorder="1" applyProtection="1"/>
    <xf numFmtId="44" fontId="5" fillId="5" borderId="20" xfId="0" applyNumberFormat="1" applyFont="1" applyFill="1" applyBorder="1" applyProtection="1"/>
    <xf numFmtId="164" fontId="5" fillId="5" borderId="20" xfId="0" applyNumberFormat="1" applyFont="1" applyFill="1" applyBorder="1" applyProtection="1"/>
    <xf numFmtId="44" fontId="11" fillId="5" borderId="21" xfId="0" applyNumberFormat="1" applyFont="1" applyFill="1" applyBorder="1" applyProtection="1"/>
    <xf numFmtId="0" fontId="18" fillId="5" borderId="12" xfId="0" applyFont="1" applyFill="1" applyBorder="1" applyAlignment="1" applyProtection="1">
      <alignment horizontal="center" vertical="center"/>
    </xf>
    <xf numFmtId="0" fontId="17" fillId="5" borderId="0" xfId="0" applyFont="1" applyFill="1" applyBorder="1" applyAlignment="1" applyProtection="1">
      <alignment horizontal="center" vertical="center"/>
    </xf>
    <xf numFmtId="1" fontId="7" fillId="5" borderId="13" xfId="0" applyNumberFormat="1" applyFont="1" applyFill="1" applyBorder="1" applyProtection="1"/>
    <xf numFmtId="44" fontId="7" fillId="5" borderId="14" xfId="0" applyNumberFormat="1" applyFont="1" applyFill="1" applyBorder="1" applyProtection="1"/>
    <xf numFmtId="0" fontId="16" fillId="5" borderId="8" xfId="0" applyFont="1" applyFill="1" applyBorder="1" applyAlignment="1" applyProtection="1">
      <alignment horizontal="center" vertical="center"/>
    </xf>
    <xf numFmtId="0" fontId="4" fillId="12" borderId="36" xfId="0" applyFont="1" applyFill="1" applyBorder="1" applyAlignment="1" applyProtection="1">
      <alignment horizontal="center" vertical="center"/>
    </xf>
    <xf numFmtId="0" fontId="4" fillId="12" borderId="35" xfId="0" applyFont="1" applyFill="1" applyBorder="1" applyAlignment="1" applyProtection="1">
      <alignment horizontal="center" vertical="center" wrapText="1"/>
    </xf>
    <xf numFmtId="0" fontId="4" fillId="12" borderId="8" xfId="0" applyFont="1" applyFill="1" applyBorder="1" applyAlignment="1" applyProtection="1">
      <alignment horizontal="center" vertical="center" wrapText="1"/>
    </xf>
    <xf numFmtId="0" fontId="4" fillId="12" borderId="40" xfId="0" applyFont="1" applyFill="1" applyBorder="1" applyAlignment="1" applyProtection="1">
      <alignment horizontal="center" vertical="center" wrapText="1"/>
    </xf>
    <xf numFmtId="0" fontId="4" fillId="5" borderId="39" xfId="0" applyFont="1" applyFill="1" applyBorder="1" applyAlignment="1" applyProtection="1">
      <alignment horizontal="center" vertical="center"/>
    </xf>
    <xf numFmtId="44" fontId="5" fillId="5" borderId="24" xfId="1" applyFont="1" applyFill="1" applyBorder="1" applyProtection="1"/>
    <xf numFmtId="44" fontId="5" fillId="5" borderId="4" xfId="1" applyFont="1" applyFill="1" applyBorder="1" applyProtection="1"/>
    <xf numFmtId="0" fontId="4" fillId="12" borderId="41" xfId="0" applyFont="1" applyFill="1" applyBorder="1" applyAlignment="1" applyProtection="1">
      <alignment horizontal="center" vertical="center" wrapText="1"/>
    </xf>
    <xf numFmtId="1" fontId="2" fillId="5" borderId="37" xfId="0" applyNumberFormat="1" applyFont="1" applyFill="1" applyBorder="1" applyAlignment="1" applyProtection="1">
      <alignment horizontal="center" vertical="center"/>
    </xf>
    <xf numFmtId="1" fontId="2" fillId="5" borderId="42" xfId="0" applyNumberFormat="1" applyFont="1" applyFill="1" applyBorder="1" applyAlignment="1" applyProtection="1">
      <alignment horizontal="center" vertical="center"/>
    </xf>
    <xf numFmtId="1" fontId="2" fillId="5" borderId="32" xfId="0" applyNumberFormat="1" applyFont="1" applyFill="1" applyBorder="1" applyAlignment="1" applyProtection="1">
      <alignment horizontal="center" vertical="center"/>
    </xf>
    <xf numFmtId="10" fontId="9" fillId="0" borderId="8" xfId="0" applyNumberFormat="1" applyFont="1" applyFill="1" applyBorder="1"/>
    <xf numFmtId="0" fontId="15" fillId="5" borderId="8" xfId="0" applyFont="1" applyFill="1" applyBorder="1" applyAlignment="1" applyProtection="1">
      <alignment horizontal="center" vertical="center"/>
    </xf>
    <xf numFmtId="0" fontId="21" fillId="0" borderId="0" xfId="0" applyFont="1" applyAlignment="1" applyProtection="1">
      <alignment vertical="center"/>
      <protection hidden="1"/>
    </xf>
    <xf numFmtId="0" fontId="23" fillId="0" borderId="43" xfId="4" applyFont="1" applyFill="1" applyBorder="1" applyAlignment="1" applyProtection="1">
      <alignment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3" fontId="21" fillId="0" borderId="0" xfId="0" applyNumberFormat="1" applyFont="1" applyFill="1" applyAlignment="1" applyProtection="1">
      <alignment vertical="center"/>
      <protection hidden="1"/>
    </xf>
    <xf numFmtId="3" fontId="21" fillId="0" borderId="0" xfId="0" applyNumberFormat="1" applyFont="1" applyAlignment="1" applyProtection="1">
      <alignment vertical="center"/>
      <protection hidden="1"/>
    </xf>
    <xf numFmtId="3" fontId="21" fillId="6" borderId="0" xfId="0" applyNumberFormat="1" applyFont="1" applyFill="1" applyAlignment="1" applyProtection="1">
      <alignment vertical="center"/>
      <protection hidden="1"/>
    </xf>
    <xf numFmtId="0" fontId="21" fillId="0" borderId="44" xfId="0" applyFont="1" applyBorder="1" applyAlignment="1" applyProtection="1">
      <alignment vertical="center"/>
      <protection hidden="1"/>
    </xf>
    <xf numFmtId="0" fontId="24" fillId="0" borderId="45" xfId="0" applyFont="1" applyFill="1" applyBorder="1" applyAlignment="1" applyProtection="1">
      <alignment horizontal="center" vertical="center"/>
      <protection hidden="1"/>
    </xf>
    <xf numFmtId="0" fontId="21" fillId="0" borderId="45" xfId="0" applyFont="1" applyBorder="1" applyAlignment="1" applyProtection="1">
      <alignment vertical="center"/>
      <protection hidden="1"/>
    </xf>
    <xf numFmtId="0" fontId="21" fillId="0" borderId="45" xfId="0" applyFont="1" applyBorder="1" applyAlignment="1" applyProtection="1">
      <alignment horizontal="center" vertical="center"/>
      <protection hidden="1"/>
    </xf>
    <xf numFmtId="3" fontId="21" fillId="0" borderId="45" xfId="0" applyNumberFormat="1" applyFont="1" applyFill="1" applyBorder="1" applyAlignment="1" applyProtection="1">
      <alignment vertical="center"/>
      <protection hidden="1"/>
    </xf>
    <xf numFmtId="3" fontId="21" fillId="0" borderId="45" xfId="0" applyNumberFormat="1" applyFont="1" applyBorder="1" applyAlignment="1" applyProtection="1">
      <alignment vertical="center"/>
      <protection hidden="1"/>
    </xf>
    <xf numFmtId="3" fontId="21" fillId="6" borderId="45" xfId="0" applyNumberFormat="1" applyFont="1" applyFill="1" applyBorder="1" applyAlignment="1" applyProtection="1">
      <alignment vertical="center"/>
      <protection hidden="1"/>
    </xf>
    <xf numFmtId="0" fontId="21" fillId="0" borderId="46" xfId="0" applyFont="1" applyBorder="1" applyAlignment="1" applyProtection="1">
      <alignment vertical="center"/>
      <protection hidden="1"/>
    </xf>
    <xf numFmtId="0" fontId="21" fillId="0" borderId="47" xfId="0" applyFont="1" applyBorder="1" applyAlignment="1" applyProtection="1">
      <alignment vertical="center"/>
      <protection hidden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5" fillId="0" borderId="0" xfId="0" applyFont="1" applyBorder="1" applyAlignment="1" applyProtection="1">
      <alignment vertical="center"/>
      <protection hidden="1"/>
    </xf>
    <xf numFmtId="0" fontId="21" fillId="0" borderId="0" xfId="0" applyFont="1" applyBorder="1" applyAlignment="1" applyProtection="1">
      <alignment vertical="center"/>
      <protection hidden="1"/>
    </xf>
    <xf numFmtId="0" fontId="21" fillId="0" borderId="0" xfId="0" applyFont="1" applyBorder="1" applyAlignment="1" applyProtection="1">
      <alignment horizontal="center" vertical="center"/>
      <protection hidden="1"/>
    </xf>
    <xf numFmtId="3" fontId="21" fillId="0" borderId="0" xfId="0" applyNumberFormat="1" applyFont="1" applyFill="1" applyBorder="1" applyAlignment="1" applyProtection="1">
      <alignment vertical="center"/>
      <protection hidden="1"/>
    </xf>
    <xf numFmtId="3" fontId="21" fillId="0" borderId="0" xfId="0" applyNumberFormat="1" applyFont="1" applyBorder="1" applyAlignment="1" applyProtection="1">
      <alignment vertical="center"/>
      <protection hidden="1"/>
    </xf>
    <xf numFmtId="3" fontId="21" fillId="6" borderId="0" xfId="0" applyNumberFormat="1" applyFont="1" applyFill="1" applyBorder="1" applyAlignment="1" applyProtection="1">
      <alignment vertical="center"/>
      <protection hidden="1"/>
    </xf>
    <xf numFmtId="0" fontId="21" fillId="0" borderId="48" xfId="0" applyFont="1" applyBorder="1" applyAlignment="1" applyProtection="1">
      <alignment vertical="center"/>
      <protection hidden="1"/>
    </xf>
    <xf numFmtId="0" fontId="26" fillId="0" borderId="0" xfId="0" applyFont="1" applyBorder="1" applyAlignment="1" applyProtection="1">
      <alignment vertical="center"/>
      <protection hidden="1"/>
    </xf>
    <xf numFmtId="0" fontId="26" fillId="0" borderId="0" xfId="0" applyFont="1" applyBorder="1" applyAlignment="1" applyProtection="1">
      <alignment horizontal="center" vertical="center"/>
      <protection hidden="1"/>
    </xf>
    <xf numFmtId="3" fontId="26" fillId="0" borderId="0" xfId="0" applyNumberFormat="1" applyFont="1" applyFill="1" applyBorder="1" applyAlignment="1" applyProtection="1">
      <alignment vertical="center"/>
      <protection hidden="1"/>
    </xf>
    <xf numFmtId="3" fontId="26" fillId="6" borderId="0" xfId="0" applyNumberFormat="1" applyFont="1" applyFill="1" applyBorder="1" applyAlignment="1" applyProtection="1">
      <alignment vertical="center"/>
      <protection hidden="1"/>
    </xf>
    <xf numFmtId="0" fontId="24" fillId="0" borderId="47" xfId="0" applyFont="1" applyFill="1" applyBorder="1" applyAlignment="1" applyProtection="1">
      <alignment vertical="center"/>
      <protection hidden="1"/>
    </xf>
    <xf numFmtId="0" fontId="24" fillId="0" borderId="0" xfId="0" applyFont="1" applyFill="1" applyBorder="1" applyAlignment="1" applyProtection="1">
      <alignment horizontal="left" vertical="center"/>
      <protection hidden="1"/>
    </xf>
    <xf numFmtId="3" fontId="24" fillId="0" borderId="0" xfId="0" applyNumberFormat="1" applyFont="1" applyFill="1" applyBorder="1" applyAlignment="1" applyProtection="1">
      <alignment horizontal="center" vertical="center"/>
      <protection hidden="1"/>
    </xf>
    <xf numFmtId="3" fontId="24" fillId="0" borderId="0" xfId="0" quotePrefix="1" applyNumberFormat="1" applyFont="1" applyFill="1" applyBorder="1" applyAlignment="1" applyProtection="1">
      <alignment horizontal="center" vertical="center"/>
      <protection hidden="1"/>
    </xf>
    <xf numFmtId="0" fontId="24" fillId="0" borderId="0" xfId="0" applyFont="1" applyFill="1" applyAlignment="1" applyProtection="1">
      <alignment vertical="center"/>
      <protection hidden="1"/>
    </xf>
    <xf numFmtId="0" fontId="24" fillId="0" borderId="0" xfId="0" applyFont="1" applyFill="1" applyAlignment="1" applyProtection="1">
      <alignment horizontal="center" vertical="center"/>
      <protection hidden="1"/>
    </xf>
    <xf numFmtId="0" fontId="24" fillId="0" borderId="48" xfId="0" applyFont="1" applyFill="1" applyBorder="1" applyAlignment="1" applyProtection="1">
      <alignment vertical="center"/>
      <protection hidden="1"/>
    </xf>
    <xf numFmtId="0" fontId="24" fillId="0" borderId="0" xfId="0" applyFont="1" applyFill="1" applyBorder="1" applyAlignment="1" applyProtection="1">
      <alignment horizontal="center" vertical="center"/>
      <protection locked="0" hidden="1"/>
    </xf>
    <xf numFmtId="0" fontId="24" fillId="0" borderId="0" xfId="0" applyFont="1" applyFill="1" applyBorder="1" applyAlignment="1" applyProtection="1">
      <alignment vertical="center"/>
      <protection hidden="1"/>
    </xf>
    <xf numFmtId="0" fontId="24" fillId="0" borderId="47" xfId="0" applyFont="1" applyBorder="1" applyAlignment="1" applyProtection="1">
      <alignment vertical="center"/>
      <protection hidden="1"/>
    </xf>
    <xf numFmtId="0" fontId="24" fillId="0" borderId="0" xfId="0" applyFont="1" applyBorder="1" applyAlignment="1" applyProtection="1">
      <alignment vertical="center"/>
      <protection hidden="1"/>
    </xf>
    <xf numFmtId="0" fontId="24" fillId="0" borderId="0" xfId="0" applyFont="1" applyBorder="1" applyAlignment="1" applyProtection="1">
      <alignment horizontal="center" vertical="center"/>
      <protection hidden="1"/>
    </xf>
    <xf numFmtId="3" fontId="24" fillId="6" borderId="0" xfId="0" applyNumberFormat="1" applyFont="1" applyFill="1" applyBorder="1" applyAlignment="1" applyProtection="1">
      <alignment horizontal="center" vertical="center"/>
      <protection hidden="1"/>
    </xf>
    <xf numFmtId="0" fontId="24" fillId="0" borderId="48" xfId="0" applyFont="1" applyBorder="1" applyAlignment="1" applyProtection="1">
      <alignment vertical="center"/>
      <protection hidden="1"/>
    </xf>
    <xf numFmtId="0" fontId="24" fillId="0" borderId="0" xfId="0" applyFont="1" applyAlignment="1" applyProtection="1">
      <alignment vertical="center"/>
      <protection hidden="1"/>
    </xf>
    <xf numFmtId="0" fontId="21" fillId="0" borderId="47" xfId="0" applyFont="1" applyBorder="1" applyAlignment="1" applyProtection="1">
      <alignment horizontal="center" vertical="center"/>
      <protection hidden="1"/>
    </xf>
    <xf numFmtId="0" fontId="28" fillId="0" borderId="8" xfId="0" applyFont="1" applyFill="1" applyBorder="1" applyAlignment="1" applyProtection="1">
      <alignment horizontal="center" vertical="center"/>
      <protection hidden="1"/>
    </xf>
    <xf numFmtId="0" fontId="28" fillId="0" borderId="2" xfId="0" applyFont="1" applyFill="1" applyBorder="1" applyAlignment="1" applyProtection="1">
      <alignment horizontal="center" vertical="center"/>
      <protection hidden="1"/>
    </xf>
    <xf numFmtId="0" fontId="26" fillId="14" borderId="49" xfId="0" applyFont="1" applyFill="1" applyBorder="1" applyAlignment="1" applyProtection="1">
      <alignment horizontal="center" vertical="center"/>
      <protection hidden="1"/>
    </xf>
    <xf numFmtId="0" fontId="26" fillId="14" borderId="50" xfId="0" applyFont="1" applyFill="1" applyBorder="1" applyAlignment="1" applyProtection="1">
      <alignment horizontal="center" vertical="center"/>
      <protection hidden="1"/>
    </xf>
    <xf numFmtId="0" fontId="26" fillId="14" borderId="51" xfId="0" applyFont="1" applyFill="1" applyBorder="1" applyAlignment="1" applyProtection="1">
      <alignment horizontal="center" vertical="center"/>
      <protection hidden="1"/>
    </xf>
    <xf numFmtId="0" fontId="26" fillId="14" borderId="52" xfId="0" applyFont="1" applyFill="1" applyBorder="1" applyAlignment="1" applyProtection="1">
      <alignment horizontal="center" vertical="center"/>
      <protection hidden="1"/>
    </xf>
    <xf numFmtId="3" fontId="26" fillId="0" borderId="11" xfId="0" applyNumberFormat="1" applyFont="1" applyFill="1" applyBorder="1" applyAlignment="1" applyProtection="1">
      <alignment horizontal="center" vertical="center"/>
      <protection hidden="1"/>
    </xf>
    <xf numFmtId="3" fontId="26" fillId="6" borderId="8" xfId="0" applyNumberFormat="1" applyFont="1" applyFill="1" applyBorder="1" applyAlignment="1" applyProtection="1">
      <alignment horizontal="center" vertical="center"/>
      <protection hidden="1"/>
    </xf>
    <xf numFmtId="3" fontId="26" fillId="15" borderId="49" xfId="0" applyNumberFormat="1" applyFont="1" applyFill="1" applyBorder="1" applyAlignment="1" applyProtection="1">
      <alignment horizontal="center" vertical="center"/>
      <protection hidden="1"/>
    </xf>
    <xf numFmtId="3" fontId="26" fillId="15" borderId="50" xfId="0" applyNumberFormat="1" applyFont="1" applyFill="1" applyBorder="1" applyAlignment="1" applyProtection="1">
      <alignment horizontal="center" vertical="center"/>
      <protection hidden="1"/>
    </xf>
    <xf numFmtId="0" fontId="26" fillId="15" borderId="50" xfId="0" quotePrefix="1" applyFont="1" applyFill="1" applyBorder="1" applyAlignment="1" applyProtection="1">
      <alignment horizontal="center" vertical="center"/>
      <protection hidden="1"/>
    </xf>
    <xf numFmtId="0" fontId="26" fillId="15" borderId="52" xfId="0" quotePrefix="1" applyFont="1" applyFill="1" applyBorder="1" applyAlignment="1" applyProtection="1">
      <alignment horizontal="center" vertical="center"/>
      <protection hidden="1"/>
    </xf>
    <xf numFmtId="0" fontId="21" fillId="0" borderId="48" xfId="0" applyFont="1" applyBorder="1" applyAlignment="1" applyProtection="1">
      <alignment horizontal="center" vertical="center"/>
      <protection hidden="1"/>
    </xf>
    <xf numFmtId="0" fontId="24" fillId="0" borderId="3" xfId="0" applyFont="1" applyFill="1" applyBorder="1" applyAlignment="1" applyProtection="1">
      <alignment horizontal="center" vertical="center"/>
      <protection hidden="1"/>
    </xf>
    <xf numFmtId="0" fontId="24" fillId="0" borderId="1" xfId="0" applyFont="1" applyFill="1" applyBorder="1" applyAlignment="1" applyProtection="1">
      <alignment horizontal="left" vertical="center"/>
      <protection hidden="1"/>
    </xf>
    <xf numFmtId="0" fontId="24" fillId="0" borderId="6" xfId="0" applyFont="1" applyFill="1" applyBorder="1" applyAlignment="1" applyProtection="1">
      <alignment horizontal="left" vertical="center"/>
      <protection hidden="1"/>
    </xf>
    <xf numFmtId="0" fontId="21" fillId="0" borderId="56" xfId="0" applyFont="1" applyBorder="1" applyAlignment="1" applyProtection="1">
      <alignment vertical="center"/>
      <protection hidden="1"/>
    </xf>
    <xf numFmtId="0" fontId="21" fillId="0" borderId="57" xfId="0" applyFont="1" applyBorder="1" applyAlignment="1" applyProtection="1">
      <alignment vertical="center"/>
      <protection hidden="1"/>
    </xf>
    <xf numFmtId="0" fontId="21" fillId="0" borderId="58" xfId="0" applyFont="1" applyBorder="1" applyAlignment="1" applyProtection="1">
      <alignment vertical="center"/>
      <protection hidden="1"/>
    </xf>
    <xf numFmtId="0" fontId="21" fillId="0" borderId="59" xfId="0" applyFont="1" applyBorder="1" applyAlignment="1" applyProtection="1">
      <alignment horizontal="left" vertical="center"/>
      <protection hidden="1"/>
    </xf>
    <xf numFmtId="0" fontId="21" fillId="0" borderId="59" xfId="0" applyFont="1" applyBorder="1" applyAlignment="1" applyProtection="1">
      <alignment horizontal="center" vertical="center"/>
      <protection hidden="1"/>
    </xf>
    <xf numFmtId="3" fontId="21" fillId="0" borderId="60" xfId="0" quotePrefix="1" applyNumberFormat="1" applyFont="1" applyFill="1" applyBorder="1" applyAlignment="1" applyProtection="1">
      <alignment vertical="center"/>
      <protection hidden="1"/>
    </xf>
    <xf numFmtId="3" fontId="21" fillId="0" borderId="57" xfId="0" quotePrefix="1" applyNumberFormat="1" applyFont="1" applyBorder="1" applyAlignment="1" applyProtection="1">
      <alignment horizontal="right" vertical="center"/>
      <protection hidden="1"/>
    </xf>
    <xf numFmtId="9" fontId="21" fillId="0" borderId="57" xfId="2" applyFont="1" applyBorder="1" applyAlignment="1" applyProtection="1">
      <alignment horizontal="center" vertical="center"/>
      <protection hidden="1"/>
    </xf>
    <xf numFmtId="9" fontId="21" fillId="0" borderId="59" xfId="2" applyFont="1" applyBorder="1" applyAlignment="1" applyProtection="1">
      <alignment horizontal="center" vertical="center"/>
      <protection hidden="1"/>
    </xf>
    <xf numFmtId="3" fontId="21" fillId="6" borderId="3" xfId="0" quotePrefix="1" applyNumberFormat="1" applyFont="1" applyFill="1" applyBorder="1" applyAlignment="1" applyProtection="1">
      <alignment vertical="center"/>
      <protection hidden="1"/>
    </xf>
    <xf numFmtId="3" fontId="21" fillId="0" borderId="61" xfId="0" quotePrefix="1" applyNumberFormat="1" applyFont="1" applyBorder="1" applyAlignment="1" applyProtection="1">
      <alignment horizontal="right" vertical="center"/>
      <protection hidden="1"/>
    </xf>
    <xf numFmtId="0" fontId="24" fillId="0" borderId="3" xfId="0" applyFont="1" applyFill="1" applyBorder="1" applyAlignment="1" applyProtection="1">
      <alignment horizontal="left" vertical="center"/>
      <protection hidden="1"/>
    </xf>
    <xf numFmtId="3" fontId="21" fillId="0" borderId="57" xfId="0" quotePrefix="1" applyNumberFormat="1" applyFont="1" applyBorder="1" applyAlignment="1" applyProtection="1">
      <alignment vertical="center"/>
      <protection hidden="1"/>
    </xf>
    <xf numFmtId="3" fontId="21" fillId="0" borderId="61" xfId="0" quotePrefix="1" applyNumberFormat="1" applyFont="1" applyBorder="1" applyAlignment="1" applyProtection="1">
      <alignment vertical="center"/>
      <protection hidden="1"/>
    </xf>
    <xf numFmtId="0" fontId="24" fillId="0" borderId="4" xfId="0" applyFont="1" applyFill="1" applyBorder="1" applyAlignment="1" applyProtection="1">
      <alignment horizontal="left" vertical="center"/>
      <protection hidden="1"/>
    </xf>
    <xf numFmtId="0" fontId="26" fillId="0" borderId="47" xfId="0" applyFont="1" applyBorder="1" applyAlignment="1" applyProtection="1">
      <alignment horizontal="right" vertical="center"/>
      <protection hidden="1"/>
    </xf>
    <xf numFmtId="0" fontId="27" fillId="11" borderId="52" xfId="0" applyFont="1" applyFill="1" applyBorder="1" applyAlignment="1" applyProtection="1">
      <alignment horizontal="center" vertical="center"/>
      <protection hidden="1"/>
    </xf>
    <xf numFmtId="3" fontId="27" fillId="0" borderId="5" xfId="0" applyNumberFormat="1" applyFont="1" applyFill="1" applyBorder="1" applyAlignment="1" applyProtection="1">
      <alignment horizontal="right" vertical="center"/>
      <protection hidden="1"/>
    </xf>
    <xf numFmtId="9" fontId="27" fillId="11" borderId="50" xfId="2" quotePrefix="1" applyFont="1" applyFill="1" applyBorder="1" applyAlignment="1" applyProtection="1">
      <alignment horizontal="center" vertical="center"/>
      <protection hidden="1"/>
    </xf>
    <xf numFmtId="9" fontId="27" fillId="11" borderId="63" xfId="2" quotePrefix="1" applyFont="1" applyFill="1" applyBorder="1" applyAlignment="1" applyProtection="1">
      <alignment horizontal="center" vertical="center"/>
      <protection hidden="1"/>
    </xf>
    <xf numFmtId="3" fontId="27" fillId="6" borderId="5" xfId="0" applyNumberFormat="1" applyFont="1" applyFill="1" applyBorder="1" applyAlignment="1" applyProtection="1">
      <alignment horizontal="right" vertical="center"/>
      <protection hidden="1"/>
    </xf>
    <xf numFmtId="3" fontId="27" fillId="11" borderId="62" xfId="0" applyNumberFormat="1" applyFont="1" applyFill="1" applyBorder="1" applyAlignment="1" applyProtection="1">
      <alignment horizontal="right" vertical="center"/>
      <protection hidden="1"/>
    </xf>
    <xf numFmtId="3" fontId="27" fillId="11" borderId="50" xfId="0" applyNumberFormat="1" applyFont="1" applyFill="1" applyBorder="1" applyAlignment="1" applyProtection="1">
      <alignment horizontal="right" vertical="center"/>
      <protection hidden="1"/>
    </xf>
    <xf numFmtId="0" fontId="26" fillId="0" borderId="48" xfId="0" applyFont="1" applyBorder="1" applyAlignment="1" applyProtection="1">
      <alignment horizontal="right" vertical="center"/>
      <protection hidden="1"/>
    </xf>
    <xf numFmtId="0" fontId="26" fillId="0" borderId="0" xfId="0" applyFont="1" applyAlignment="1" applyProtection="1">
      <alignment horizontal="right" vertical="center"/>
      <protection hidden="1"/>
    </xf>
    <xf numFmtId="0" fontId="24" fillId="0" borderId="4" xfId="0" applyFont="1" applyFill="1" applyBorder="1" applyAlignment="1" applyProtection="1">
      <alignment horizontal="center" vertical="center"/>
      <protection hidden="1"/>
    </xf>
    <xf numFmtId="0" fontId="24" fillId="0" borderId="7" xfId="0" applyFont="1" applyFill="1" applyBorder="1" applyAlignment="1" applyProtection="1">
      <alignment horizontal="center" vertical="center"/>
      <protection hidden="1"/>
    </xf>
    <xf numFmtId="0" fontId="21" fillId="0" borderId="64" xfId="0" applyFont="1" applyBorder="1" applyAlignment="1" applyProtection="1">
      <alignment vertical="center"/>
      <protection hidden="1"/>
    </xf>
    <xf numFmtId="0" fontId="21" fillId="0" borderId="53" xfId="0" applyFont="1" applyBorder="1" applyAlignment="1" applyProtection="1">
      <alignment vertical="center"/>
      <protection hidden="1"/>
    </xf>
    <xf numFmtId="0" fontId="21" fillId="0" borderId="54" xfId="0" applyFont="1" applyBorder="1" applyAlignment="1" applyProtection="1">
      <alignment vertical="center"/>
      <protection hidden="1"/>
    </xf>
    <xf numFmtId="0" fontId="21" fillId="0" borderId="65" xfId="0" applyFont="1" applyBorder="1" applyAlignment="1" applyProtection="1">
      <alignment vertical="center"/>
      <protection hidden="1"/>
    </xf>
    <xf numFmtId="0" fontId="21" fillId="0" borderId="65" xfId="0" applyFont="1" applyBorder="1" applyAlignment="1" applyProtection="1">
      <alignment horizontal="center" vertical="center"/>
      <protection hidden="1"/>
    </xf>
    <xf numFmtId="3" fontId="21" fillId="0" borderId="4" xfId="0" applyNumberFormat="1" applyFont="1" applyFill="1" applyBorder="1" applyAlignment="1" applyProtection="1">
      <alignment vertical="center"/>
      <protection hidden="1"/>
    </xf>
    <xf numFmtId="3" fontId="21" fillId="0" borderId="53" xfId="0" applyNumberFormat="1" applyFont="1" applyBorder="1" applyAlignment="1" applyProtection="1">
      <alignment vertical="center"/>
      <protection hidden="1"/>
    </xf>
    <xf numFmtId="0" fontId="21" fillId="0" borderId="53" xfId="0" applyFont="1" applyBorder="1" applyAlignment="1" applyProtection="1">
      <alignment horizontal="center" vertical="center"/>
      <protection hidden="1"/>
    </xf>
    <xf numFmtId="0" fontId="21" fillId="0" borderId="55" xfId="0" applyFont="1" applyBorder="1" applyAlignment="1" applyProtection="1">
      <alignment horizontal="center" vertical="center"/>
      <protection hidden="1"/>
    </xf>
    <xf numFmtId="3" fontId="21" fillId="6" borderId="4" xfId="0" applyNumberFormat="1" applyFont="1" applyFill="1" applyBorder="1" applyAlignment="1" applyProtection="1">
      <alignment vertical="center"/>
      <protection hidden="1"/>
    </xf>
    <xf numFmtId="3" fontId="21" fillId="0" borderId="66" xfId="0" applyNumberFormat="1" applyFont="1" applyBorder="1" applyAlignment="1" applyProtection="1">
      <alignment vertical="center"/>
      <protection hidden="1"/>
    </xf>
    <xf numFmtId="0" fontId="21" fillId="0" borderId="67" xfId="0" applyFont="1" applyBorder="1" applyAlignment="1" applyProtection="1">
      <alignment vertical="center"/>
      <protection hidden="1"/>
    </xf>
    <xf numFmtId="0" fontId="24" fillId="0" borderId="43" xfId="0" applyFont="1" applyFill="1" applyBorder="1" applyAlignment="1" applyProtection="1">
      <alignment horizontal="center" vertical="center"/>
      <protection hidden="1"/>
    </xf>
    <xf numFmtId="0" fontId="21" fillId="0" borderId="43" xfId="0" applyFont="1" applyBorder="1" applyAlignment="1" applyProtection="1">
      <alignment vertical="center"/>
      <protection hidden="1"/>
    </xf>
    <xf numFmtId="0" fontId="21" fillId="0" borderId="43" xfId="0" applyFont="1" applyBorder="1" applyAlignment="1" applyProtection="1">
      <alignment horizontal="center" vertical="center"/>
      <protection hidden="1"/>
    </xf>
    <xf numFmtId="3" fontId="21" fillId="0" borderId="43" xfId="0" applyNumberFormat="1" applyFont="1" applyFill="1" applyBorder="1" applyAlignment="1" applyProtection="1">
      <alignment vertical="center"/>
      <protection hidden="1"/>
    </xf>
    <xf numFmtId="3" fontId="21" fillId="0" borderId="43" xfId="0" applyNumberFormat="1" applyFont="1" applyBorder="1" applyAlignment="1" applyProtection="1">
      <alignment vertical="center"/>
      <protection hidden="1"/>
    </xf>
    <xf numFmtId="3" fontId="21" fillId="6" borderId="43" xfId="0" applyNumberFormat="1" applyFont="1" applyFill="1" applyBorder="1" applyAlignment="1" applyProtection="1">
      <alignment vertical="center"/>
      <protection hidden="1"/>
    </xf>
    <xf numFmtId="0" fontId="21" fillId="0" borderId="68" xfId="0" applyFont="1" applyBorder="1" applyAlignment="1" applyProtection="1">
      <alignment vertical="center"/>
      <protection hidden="1"/>
    </xf>
    <xf numFmtId="0" fontId="19" fillId="0" borderId="0" xfId="0" applyFont="1" applyFill="1" applyBorder="1" applyAlignment="1" applyProtection="1">
      <alignment vertical="center"/>
    </xf>
    <xf numFmtId="0" fontId="29" fillId="5" borderId="0" xfId="0" applyFont="1" applyFill="1" applyProtection="1"/>
    <xf numFmtId="0" fontId="34" fillId="5" borderId="0" xfId="0" applyFont="1" applyFill="1" applyBorder="1" applyAlignment="1" applyProtection="1">
      <alignment horizontal="left" wrapText="1"/>
    </xf>
    <xf numFmtId="10" fontId="33" fillId="8" borderId="8" xfId="2" applyNumberFormat="1" applyFont="1" applyFill="1" applyBorder="1" applyAlignment="1" applyProtection="1">
      <alignment horizontal="center" vertical="center"/>
    </xf>
    <xf numFmtId="4" fontId="9" fillId="0" borderId="8" xfId="0" applyNumberFormat="1" applyFont="1" applyFill="1" applyBorder="1"/>
    <xf numFmtId="4" fontId="6" fillId="0" borderId="8" xfId="0" applyNumberFormat="1" applyFont="1" applyFill="1" applyBorder="1"/>
    <xf numFmtId="0" fontId="8" fillId="5" borderId="1" xfId="3" applyFont="1" applyFill="1" applyBorder="1" applyAlignment="1">
      <alignment horizontal="left"/>
    </xf>
    <xf numFmtId="0" fontId="8" fillId="5" borderId="3" xfId="3" applyFont="1" applyFill="1" applyBorder="1" applyAlignment="1">
      <alignment horizontal="left"/>
    </xf>
    <xf numFmtId="0" fontId="8" fillId="5" borderId="3" xfId="3" applyFont="1" applyFill="1" applyBorder="1" applyAlignment="1"/>
    <xf numFmtId="0" fontId="11" fillId="8" borderId="8" xfId="0" applyFont="1" applyFill="1" applyBorder="1" applyAlignment="1">
      <alignment horizontal="left"/>
    </xf>
    <xf numFmtId="4" fontId="6" fillId="0" borderId="8" xfId="0" applyNumberFormat="1" applyFont="1" applyBorder="1"/>
    <xf numFmtId="0" fontId="8" fillId="2" borderId="8" xfId="3" applyFont="1" applyFill="1" applyBorder="1" applyAlignment="1">
      <alignment horizontal="left"/>
    </xf>
    <xf numFmtId="0" fontId="8" fillId="5" borderId="4" xfId="3" applyFont="1" applyFill="1" applyBorder="1" applyAlignment="1">
      <alignment horizontal="left"/>
    </xf>
    <xf numFmtId="0" fontId="8" fillId="5" borderId="1" xfId="3" applyFont="1" applyFill="1" applyBorder="1" applyAlignment="1"/>
    <xf numFmtId="0" fontId="6" fillId="2" borderId="2" xfId="3" applyFont="1" applyFill="1" applyBorder="1"/>
    <xf numFmtId="0" fontId="6" fillId="0" borderId="2" xfId="3" applyFont="1" applyFill="1" applyBorder="1"/>
    <xf numFmtId="0" fontId="8" fillId="0" borderId="8" xfId="3" applyFont="1" applyFill="1" applyBorder="1" applyAlignment="1">
      <alignment horizontal="left"/>
    </xf>
    <xf numFmtId="0" fontId="11" fillId="7" borderId="8" xfId="3" applyFont="1" applyFill="1" applyBorder="1" applyAlignment="1">
      <alignment horizontal="left"/>
    </xf>
    <xf numFmtId="2" fontId="29" fillId="5" borderId="0" xfId="0" applyNumberFormat="1" applyFont="1" applyFill="1" applyProtection="1"/>
    <xf numFmtId="0" fontId="29" fillId="5" borderId="0" xfId="0" applyFont="1" applyFill="1" applyBorder="1" applyProtection="1"/>
    <xf numFmtId="2" fontId="19" fillId="5" borderId="0" xfId="0" applyNumberFormat="1" applyFont="1" applyFill="1" applyProtection="1"/>
    <xf numFmtId="2" fontId="35" fillId="5" borderId="32" xfId="0" applyNumberFormat="1" applyFont="1" applyFill="1" applyBorder="1" applyAlignment="1" applyProtection="1">
      <alignment horizontal="center" vertical="center"/>
    </xf>
    <xf numFmtId="1" fontId="35" fillId="5" borderId="32" xfId="0" applyNumberFormat="1" applyFont="1" applyFill="1" applyBorder="1" applyAlignment="1" applyProtection="1">
      <alignment horizontal="center" vertical="center"/>
    </xf>
    <xf numFmtId="2" fontId="0" fillId="5" borderId="42" xfId="0" applyNumberFormat="1" applyFont="1" applyFill="1" applyBorder="1" applyAlignment="1" applyProtection="1">
      <alignment horizontal="center" vertical="center"/>
    </xf>
    <xf numFmtId="0" fontId="36" fillId="5" borderId="8" xfId="0" applyFont="1" applyFill="1" applyBorder="1" applyAlignment="1" applyProtection="1">
      <alignment horizontal="center" vertical="center"/>
    </xf>
    <xf numFmtId="0" fontId="13" fillId="0" borderId="0" xfId="0" applyFont="1" applyProtection="1"/>
    <xf numFmtId="0" fontId="37" fillId="5" borderId="0" xfId="0" applyFont="1" applyFill="1" applyBorder="1" applyAlignment="1" applyProtection="1">
      <alignment horizontal="left" wrapText="1"/>
    </xf>
    <xf numFmtId="3" fontId="10" fillId="0" borderId="0" xfId="3" applyNumberFormat="1" applyFont="1" applyFill="1" applyBorder="1" applyAlignment="1"/>
    <xf numFmtId="0" fontId="6" fillId="0" borderId="0" xfId="0" applyFont="1" applyFill="1" applyBorder="1"/>
    <xf numFmtId="0" fontId="10" fillId="0" borderId="0" xfId="3" applyFont="1" applyFill="1" applyBorder="1" applyAlignment="1"/>
    <xf numFmtId="0" fontId="12" fillId="0" borderId="0" xfId="3" applyFont="1" applyFill="1" applyBorder="1" applyAlignment="1">
      <alignment horizontal="left"/>
    </xf>
    <xf numFmtId="0" fontId="5" fillId="0" borderId="0" xfId="0" applyFont="1" applyFill="1" applyBorder="1"/>
    <xf numFmtId="3" fontId="10" fillId="11" borderId="11" xfId="3" applyNumberFormat="1" applyFont="1" applyFill="1" applyBorder="1" applyAlignment="1"/>
    <xf numFmtId="0" fontId="10" fillId="11" borderId="9" xfId="3" applyFont="1" applyFill="1" applyBorder="1" applyAlignment="1"/>
    <xf numFmtId="0" fontId="12" fillId="11" borderId="70" xfId="3" applyFont="1" applyFill="1" applyBorder="1" applyAlignment="1">
      <alignment horizontal="left"/>
    </xf>
    <xf numFmtId="0" fontId="10" fillId="11" borderId="6" xfId="3" applyFont="1" applyFill="1" applyBorder="1" applyAlignment="1"/>
    <xf numFmtId="0" fontId="12" fillId="11" borderId="60" xfId="3" applyFont="1" applyFill="1" applyBorder="1" applyAlignment="1">
      <alignment horizontal="left"/>
    </xf>
    <xf numFmtId="0" fontId="10" fillId="11" borderId="7" xfId="3" applyFont="1" applyFill="1" applyBorder="1" applyAlignment="1"/>
    <xf numFmtId="0" fontId="12" fillId="11" borderId="71" xfId="3" applyFont="1" applyFill="1" applyBorder="1" applyAlignment="1">
      <alignment horizontal="left"/>
    </xf>
    <xf numFmtId="0" fontId="12" fillId="11" borderId="3" xfId="3" applyFont="1" applyFill="1" applyBorder="1" applyAlignment="1">
      <alignment horizontal="left"/>
    </xf>
    <xf numFmtId="0" fontId="3" fillId="4" borderId="8" xfId="0" applyFont="1" applyFill="1" applyBorder="1" applyAlignment="1">
      <alignment horizontal="center"/>
    </xf>
    <xf numFmtId="4" fontId="10" fillId="11" borderId="8" xfId="3" applyNumberFormat="1" applyFont="1" applyFill="1" applyBorder="1" applyAlignment="1"/>
    <xf numFmtId="0" fontId="36" fillId="5" borderId="0" xfId="0" applyFont="1" applyFill="1" applyBorder="1" applyAlignment="1" applyProtection="1">
      <alignment horizontal="center" vertical="center"/>
    </xf>
    <xf numFmtId="44" fontId="14" fillId="5" borderId="14" xfId="0" applyNumberFormat="1" applyFont="1" applyFill="1" applyBorder="1" applyProtection="1"/>
    <xf numFmtId="0" fontId="0" fillId="3" borderId="0" xfId="0" applyFill="1"/>
    <xf numFmtId="0" fontId="0" fillId="0" borderId="0" xfId="0" applyFill="1"/>
    <xf numFmtId="0" fontId="11" fillId="8" borderId="8" xfId="3" applyFont="1" applyFill="1" applyBorder="1" applyAlignment="1">
      <alignment horizontal="left"/>
    </xf>
    <xf numFmtId="0" fontId="11" fillId="8" borderId="11" xfId="3" applyFont="1" applyFill="1" applyBorder="1" applyAlignment="1">
      <alignment horizontal="left"/>
    </xf>
    <xf numFmtId="0" fontId="11" fillId="7" borderId="1" xfId="3" applyFont="1" applyFill="1" applyBorder="1" applyAlignment="1">
      <alignment horizontal="left"/>
    </xf>
    <xf numFmtId="0" fontId="27" fillId="11" borderId="5" xfId="0" applyFont="1" applyFill="1" applyBorder="1" applyAlignment="1" applyProtection="1">
      <alignment horizontal="left" vertical="center"/>
      <protection hidden="1"/>
    </xf>
    <xf numFmtId="3" fontId="27" fillId="11" borderId="53" xfId="0" applyNumberFormat="1" applyFont="1" applyFill="1" applyBorder="1" applyAlignment="1" applyProtection="1">
      <alignment horizontal="center" vertical="center"/>
      <protection hidden="1"/>
    </xf>
    <xf numFmtId="0" fontId="27" fillId="11" borderId="54" xfId="0" applyFont="1" applyFill="1" applyBorder="1" applyAlignment="1" applyProtection="1">
      <alignment horizontal="center" vertical="center"/>
      <protection hidden="1"/>
    </xf>
    <xf numFmtId="3" fontId="27" fillId="11" borderId="76" xfId="0" applyNumberFormat="1" applyFont="1" applyFill="1" applyBorder="1" applyAlignment="1" applyProtection="1">
      <alignment horizontal="center" vertical="center"/>
      <protection hidden="1"/>
    </xf>
    <xf numFmtId="0" fontId="27" fillId="11" borderId="55" xfId="0" applyFont="1" applyFill="1" applyBorder="1" applyAlignment="1" applyProtection="1">
      <alignment horizontal="center" vertical="center"/>
      <protection hidden="1"/>
    </xf>
    <xf numFmtId="3" fontId="21" fillId="0" borderId="56" xfId="0" quotePrefix="1" applyNumberFormat="1" applyFont="1" applyBorder="1" applyAlignment="1" applyProtection="1">
      <alignment horizontal="right" vertical="center"/>
      <protection hidden="1"/>
    </xf>
    <xf numFmtId="9" fontId="21" fillId="0" borderId="58" xfId="2" applyFont="1" applyBorder="1" applyAlignment="1" applyProtection="1">
      <alignment horizontal="center" vertical="center"/>
      <protection hidden="1"/>
    </xf>
    <xf numFmtId="3" fontId="21" fillId="0" borderId="56" xfId="0" quotePrefix="1" applyNumberFormat="1" applyFont="1" applyBorder="1" applyAlignment="1" applyProtection="1">
      <alignment vertical="center"/>
      <protection hidden="1"/>
    </xf>
    <xf numFmtId="3" fontId="27" fillId="11" borderId="72" xfId="0" quotePrefix="1" applyNumberFormat="1" applyFont="1" applyFill="1" applyBorder="1" applyAlignment="1" applyProtection="1">
      <alignment horizontal="right" vertical="center"/>
      <protection hidden="1"/>
    </xf>
    <xf numFmtId="3" fontId="27" fillId="11" borderId="72" xfId="0" applyNumberFormat="1" applyFont="1" applyFill="1" applyBorder="1" applyAlignment="1" applyProtection="1">
      <alignment horizontal="right" vertical="center"/>
      <protection hidden="1"/>
    </xf>
    <xf numFmtId="9" fontId="27" fillId="11" borderId="52" xfId="2" quotePrefix="1" applyFont="1" applyFill="1" applyBorder="1" applyAlignment="1" applyProtection="1">
      <alignment horizontal="center" vertical="center"/>
      <protection hidden="1"/>
    </xf>
    <xf numFmtId="3" fontId="21" fillId="0" borderId="64" xfId="0" applyNumberFormat="1" applyFont="1" applyBorder="1" applyAlignment="1" applyProtection="1">
      <alignment vertical="center"/>
      <protection hidden="1"/>
    </xf>
    <xf numFmtId="0" fontId="21" fillId="0" borderId="54" xfId="0" applyFont="1" applyBorder="1" applyAlignment="1" applyProtection="1">
      <alignment horizontal="center" vertical="center"/>
      <protection hidden="1"/>
    </xf>
    <xf numFmtId="3" fontId="6" fillId="0" borderId="0" xfId="0" applyNumberFormat="1" applyFont="1" applyFill="1"/>
    <xf numFmtId="0" fontId="6" fillId="7" borderId="0" xfId="0" applyFont="1" applyFill="1"/>
    <xf numFmtId="9" fontId="6" fillId="0" borderId="0" xfId="2" applyFont="1" applyFill="1"/>
    <xf numFmtId="0" fontId="6" fillId="10" borderId="0" xfId="0" applyFont="1" applyFill="1"/>
    <xf numFmtId="165" fontId="6" fillId="0" borderId="0" xfId="5" applyNumberFormat="1" applyFont="1"/>
    <xf numFmtId="9" fontId="6" fillId="0" borderId="0" xfId="2" applyFont="1"/>
    <xf numFmtId="9" fontId="5" fillId="0" borderId="0" xfId="2" applyFont="1"/>
    <xf numFmtId="0" fontId="3" fillId="10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3" fillId="17" borderId="0" xfId="0" applyFont="1" applyFill="1" applyAlignment="1">
      <alignment horizontal="center"/>
    </xf>
    <xf numFmtId="165" fontId="10" fillId="11" borderId="8" xfId="5" applyNumberFormat="1" applyFont="1" applyFill="1" applyBorder="1" applyAlignment="1"/>
    <xf numFmtId="165" fontId="6" fillId="5" borderId="0" xfId="5" applyNumberFormat="1" applyFont="1" applyFill="1"/>
    <xf numFmtId="9" fontId="10" fillId="11" borderId="8" xfId="2" applyFont="1" applyFill="1" applyBorder="1" applyAlignment="1"/>
    <xf numFmtId="0" fontId="4" fillId="12" borderId="32" xfId="0" applyFont="1" applyFill="1" applyBorder="1" applyAlignment="1" applyProtection="1">
      <alignment horizontal="center" vertical="center" wrapText="1"/>
    </xf>
    <xf numFmtId="0" fontId="19" fillId="5" borderId="0" xfId="0" applyFont="1" applyFill="1" applyBorder="1" applyAlignment="1" applyProtection="1">
      <alignment vertical="center"/>
    </xf>
    <xf numFmtId="0" fontId="2" fillId="5" borderId="32" xfId="0" applyFont="1" applyFill="1" applyBorder="1" applyAlignment="1" applyProtection="1">
      <alignment horizontal="center" vertical="center"/>
    </xf>
    <xf numFmtId="10" fontId="2" fillId="5" borderId="42" xfId="2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10" fontId="0" fillId="0" borderId="0" xfId="0" applyNumberFormat="1"/>
    <xf numFmtId="9" fontId="0" fillId="0" borderId="0" xfId="2" applyFont="1"/>
    <xf numFmtId="0" fontId="13" fillId="0" borderId="0" xfId="0" applyFont="1" applyAlignment="1">
      <alignment horizontal="center"/>
    </xf>
    <xf numFmtId="0" fontId="13" fillId="0" borderId="0" xfId="0" applyFont="1"/>
    <xf numFmtId="0" fontId="2" fillId="0" borderId="0" xfId="0" applyFont="1"/>
    <xf numFmtId="0" fontId="2" fillId="18" borderId="0" xfId="0" applyFont="1" applyFill="1"/>
    <xf numFmtId="0" fontId="0" fillId="18" borderId="0" xfId="0" applyFill="1"/>
    <xf numFmtId="0" fontId="2" fillId="4" borderId="8" xfId="0" applyFont="1" applyFill="1" applyBorder="1"/>
    <xf numFmtId="0" fontId="2" fillId="0" borderId="0" xfId="0" applyFont="1" applyAlignment="1">
      <alignment horizont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Fill="1"/>
    <xf numFmtId="0" fontId="19" fillId="2" borderId="0" xfId="3" applyFont="1" applyFill="1" applyAlignment="1">
      <alignment horizontal="center"/>
    </xf>
    <xf numFmtId="0" fontId="39" fillId="2" borderId="1" xfId="3" applyFont="1" applyFill="1" applyBorder="1" applyAlignment="1"/>
    <xf numFmtId="0" fontId="19" fillId="8" borderId="2" xfId="3" applyFont="1" applyFill="1" applyBorder="1" applyAlignment="1">
      <alignment horizontal="left"/>
    </xf>
    <xf numFmtId="3" fontId="19" fillId="0" borderId="8" xfId="0" applyNumberFormat="1" applyFont="1" applyFill="1" applyBorder="1"/>
    <xf numFmtId="3" fontId="2" fillId="0" borderId="8" xfId="0" applyNumberFormat="1" applyFont="1" applyBorder="1"/>
    <xf numFmtId="4" fontId="0" fillId="0" borderId="0" xfId="0" applyNumberFormat="1"/>
    <xf numFmtId="4" fontId="38" fillId="0" borderId="0" xfId="0" applyNumberFormat="1" applyFont="1"/>
    <xf numFmtId="3" fontId="0" fillId="0" borderId="0" xfId="0" applyNumberFormat="1"/>
    <xf numFmtId="9" fontId="0" fillId="0" borderId="0" xfId="2" applyFont="1" applyAlignment="1">
      <alignment horizontal="center"/>
    </xf>
    <xf numFmtId="3" fontId="38" fillId="0" borderId="8" xfId="0" applyNumberFormat="1" applyFont="1" applyFill="1" applyBorder="1"/>
    <xf numFmtId="0" fontId="29" fillId="2" borderId="3" xfId="3" applyFont="1" applyFill="1" applyBorder="1" applyAlignment="1"/>
    <xf numFmtId="0" fontId="19" fillId="0" borderId="0" xfId="3" applyFont="1" applyFill="1" applyAlignment="1">
      <alignment horizontal="center"/>
    </xf>
    <xf numFmtId="0" fontId="39" fillId="2" borderId="1" xfId="3" applyFont="1" applyFill="1" applyBorder="1" applyAlignment="1">
      <alignment horizontal="left"/>
    </xf>
    <xf numFmtId="0" fontId="29" fillId="2" borderId="3" xfId="3" applyFont="1" applyFill="1" applyBorder="1" applyAlignment="1">
      <alignment horizontal="left"/>
    </xf>
    <xf numFmtId="0" fontId="19" fillId="2" borderId="4" xfId="3" applyFont="1" applyFill="1" applyBorder="1" applyAlignment="1">
      <alignment horizontal="center"/>
    </xf>
    <xf numFmtId="0" fontId="39" fillId="0" borderId="1" xfId="3" applyFont="1" applyFill="1" applyBorder="1" applyAlignment="1"/>
    <xf numFmtId="0" fontId="19" fillId="8" borderId="5" xfId="3" applyFont="1" applyFill="1" applyBorder="1" applyAlignment="1">
      <alignment horizontal="left"/>
    </xf>
    <xf numFmtId="0" fontId="29" fillId="0" borderId="3" xfId="3" applyFont="1" applyFill="1" applyBorder="1" applyAlignment="1"/>
    <xf numFmtId="1" fontId="19" fillId="2" borderId="0" xfId="3" applyNumberFormat="1" applyFont="1" applyFill="1" applyAlignment="1">
      <alignment horizontal="center"/>
    </xf>
    <xf numFmtId="0" fontId="39" fillId="0" borderId="8" xfId="3" applyFont="1" applyFill="1" applyBorder="1" applyAlignment="1"/>
    <xf numFmtId="0" fontId="39" fillId="2" borderId="3" xfId="3" applyFont="1" applyFill="1" applyBorder="1" applyAlignment="1"/>
    <xf numFmtId="0" fontId="29" fillId="2" borderId="4" xfId="3" applyFont="1" applyFill="1" applyBorder="1" applyAlignment="1"/>
    <xf numFmtId="0" fontId="39" fillId="2" borderId="6" xfId="3" applyFont="1" applyFill="1" applyBorder="1" applyAlignment="1"/>
    <xf numFmtId="0" fontId="39" fillId="2" borderId="8" xfId="3" applyFont="1" applyFill="1" applyBorder="1" applyAlignment="1"/>
    <xf numFmtId="0" fontId="29" fillId="2" borderId="6" xfId="3" applyFont="1" applyFill="1" applyBorder="1" applyAlignment="1"/>
    <xf numFmtId="4" fontId="0" fillId="0" borderId="0" xfId="0" applyNumberFormat="1" applyFill="1"/>
    <xf numFmtId="0" fontId="19" fillId="8" borderId="8" xfId="3" applyFont="1" applyFill="1" applyBorder="1" applyAlignment="1">
      <alignment horizontal="left"/>
    </xf>
    <xf numFmtId="0" fontId="39" fillId="0" borderId="1" xfId="3" applyFont="1" applyFill="1" applyBorder="1" applyAlignment="1">
      <alignment horizontal="left"/>
    </xf>
    <xf numFmtId="0" fontId="29" fillId="0" borderId="3" xfId="3" applyFont="1" applyFill="1" applyBorder="1" applyAlignment="1">
      <alignment horizontal="left"/>
    </xf>
    <xf numFmtId="0" fontId="29" fillId="2" borderId="4" xfId="3" applyFont="1" applyFill="1" applyBorder="1" applyAlignment="1">
      <alignment horizontal="left"/>
    </xf>
    <xf numFmtId="0" fontId="39" fillId="2" borderId="6" xfId="3" applyFont="1" applyFill="1" applyBorder="1" applyAlignment="1">
      <alignment horizontal="left"/>
    </xf>
    <xf numFmtId="0" fontId="29" fillId="2" borderId="6" xfId="3" applyFont="1" applyFill="1" applyBorder="1" applyAlignment="1">
      <alignment horizontal="left"/>
    </xf>
    <xf numFmtId="0" fontId="29" fillId="2" borderId="7" xfId="3" applyFont="1" applyFill="1" applyBorder="1" applyAlignment="1">
      <alignment horizontal="left"/>
    </xf>
    <xf numFmtId="0" fontId="39" fillId="0" borderId="6" xfId="3" applyFont="1" applyFill="1" applyBorder="1" applyAlignment="1"/>
    <xf numFmtId="0" fontId="39" fillId="2" borderId="2" xfId="3" applyFont="1" applyFill="1" applyBorder="1" applyAlignment="1"/>
    <xf numFmtId="0" fontId="39" fillId="2" borderId="9" xfId="3" applyFont="1" applyFill="1" applyBorder="1" applyAlignment="1"/>
    <xf numFmtId="0" fontId="19" fillId="8" borderId="9" xfId="3" applyFont="1" applyFill="1" applyBorder="1" applyAlignment="1">
      <alignment horizontal="left"/>
    </xf>
    <xf numFmtId="0" fontId="20" fillId="11" borderId="26" xfId="3" applyFont="1" applyFill="1" applyBorder="1" applyAlignment="1"/>
    <xf numFmtId="0" fontId="20" fillId="11" borderId="27" xfId="3" applyFont="1" applyFill="1" applyBorder="1" applyAlignment="1">
      <alignment horizontal="left"/>
    </xf>
    <xf numFmtId="3" fontId="29" fillId="11" borderId="77" xfId="3" applyNumberFormat="1" applyFont="1" applyFill="1" applyBorder="1" applyAlignment="1"/>
    <xf numFmtId="3" fontId="20" fillId="11" borderId="78" xfId="3" applyNumberFormat="1" applyFont="1" applyFill="1" applyBorder="1" applyAlignment="1"/>
    <xf numFmtId="3" fontId="20" fillId="11" borderId="28" xfId="3" applyNumberFormat="1" applyFont="1" applyFill="1" applyBorder="1" applyAlignment="1"/>
    <xf numFmtId="3" fontId="20" fillId="11" borderId="77" xfId="3" applyNumberFormat="1" applyFont="1" applyFill="1" applyBorder="1" applyAlignment="1"/>
    <xf numFmtId="0" fontId="20" fillId="11" borderId="29" xfId="3" quotePrefix="1" applyFont="1" applyFill="1" applyBorder="1" applyAlignment="1">
      <alignment horizontal="left"/>
    </xf>
    <xf numFmtId="0" fontId="20" fillId="11" borderId="28" xfId="3" applyFont="1" applyFill="1" applyBorder="1" applyAlignment="1">
      <alignment horizontal="left"/>
    </xf>
    <xf numFmtId="0" fontId="20" fillId="11" borderId="30" xfId="3" applyFont="1" applyFill="1" applyBorder="1" applyAlignment="1"/>
    <xf numFmtId="0" fontId="20" fillId="11" borderId="31" xfId="3" applyFont="1" applyFill="1" applyBorder="1" applyAlignment="1">
      <alignment horizontal="left"/>
    </xf>
    <xf numFmtId="3" fontId="29" fillId="11" borderId="31" xfId="3" applyNumberFormat="1" applyFont="1" applyFill="1" applyBorder="1" applyAlignment="1"/>
    <xf numFmtId="3" fontId="20" fillId="11" borderId="31" xfId="3" applyNumberFormat="1" applyFont="1" applyFill="1" applyBorder="1" applyAlignment="1"/>
    <xf numFmtId="9" fontId="0" fillId="0" borderId="0" xfId="2" applyFont="1" applyFill="1"/>
    <xf numFmtId="0" fontId="19" fillId="0" borderId="0" xfId="3" applyFont="1" applyFill="1" applyAlignment="1"/>
    <xf numFmtId="0" fontId="19" fillId="0" borderId="0" xfId="3" applyFont="1" applyFill="1" applyAlignment="1">
      <alignment horizontal="left"/>
    </xf>
    <xf numFmtId="3" fontId="19" fillId="0" borderId="0" xfId="0" applyNumberFormat="1" applyFont="1"/>
    <xf numFmtId="3" fontId="0" fillId="0" borderId="0" xfId="0" applyNumberFormat="1" applyFont="1"/>
    <xf numFmtId="0" fontId="29" fillId="0" borderId="0" xfId="0" applyFont="1"/>
    <xf numFmtId="0" fontId="0" fillId="0" borderId="0" xfId="0" applyFont="1"/>
    <xf numFmtId="0" fontId="19" fillId="0" borderId="0" xfId="3" applyFont="1" applyFill="1" applyBorder="1" applyAlignment="1">
      <alignment horizontal="center"/>
    </xf>
    <xf numFmtId="0" fontId="19" fillId="0" borderId="0" xfId="3" applyFont="1" applyFill="1" applyBorder="1" applyAlignment="1">
      <alignment horizontal="left"/>
    </xf>
    <xf numFmtId="0" fontId="29" fillId="4" borderId="8" xfId="0" applyFont="1" applyFill="1" applyBorder="1"/>
    <xf numFmtId="0" fontId="39" fillId="2" borderId="9" xfId="3" applyFont="1" applyFill="1" applyBorder="1" applyAlignment="1">
      <alignment horizontal="left"/>
    </xf>
    <xf numFmtId="0" fontId="19" fillId="7" borderId="9" xfId="3" applyFont="1" applyFill="1" applyBorder="1" applyAlignment="1">
      <alignment horizontal="left"/>
    </xf>
    <xf numFmtId="4" fontId="19" fillId="0" borderId="0" xfId="0" applyNumberFormat="1" applyFont="1"/>
    <xf numFmtId="0" fontId="19" fillId="7" borderId="2" xfId="3" applyFont="1" applyFill="1" applyBorder="1" applyAlignment="1">
      <alignment horizontal="left"/>
    </xf>
    <xf numFmtId="0" fontId="29" fillId="0" borderId="7" xfId="3" applyFont="1" applyFill="1" applyBorder="1" applyAlignment="1"/>
    <xf numFmtId="4" fontId="40" fillId="0" borderId="6" xfId="3" applyNumberFormat="1" applyFont="1" applyFill="1" applyBorder="1" applyAlignment="1"/>
    <xf numFmtId="4" fontId="40" fillId="0" borderId="0" xfId="3" applyNumberFormat="1" applyFont="1" applyFill="1" applyBorder="1" applyAlignment="1"/>
    <xf numFmtId="0" fontId="39" fillId="2" borderId="4" xfId="3" applyFont="1" applyFill="1" applyBorder="1" applyAlignment="1">
      <alignment horizontal="left"/>
    </xf>
    <xf numFmtId="0" fontId="19" fillId="7" borderId="8" xfId="3" applyFont="1" applyFill="1" applyBorder="1" applyAlignment="1">
      <alignment horizontal="left"/>
    </xf>
    <xf numFmtId="0" fontId="19" fillId="7" borderId="1" xfId="3" applyFont="1" applyFill="1" applyBorder="1" applyAlignment="1">
      <alignment horizontal="left"/>
    </xf>
    <xf numFmtId="0" fontId="19" fillId="7" borderId="7" xfId="3" applyFont="1" applyFill="1" applyBorder="1" applyAlignment="1">
      <alignment horizontal="left"/>
    </xf>
    <xf numFmtId="0" fontId="19" fillId="7" borderId="5" xfId="3" applyFont="1" applyFill="1" applyBorder="1" applyAlignment="1">
      <alignment horizontal="left"/>
    </xf>
    <xf numFmtId="0" fontId="19" fillId="7" borderId="10" xfId="3" applyFont="1" applyFill="1" applyBorder="1" applyAlignment="1">
      <alignment horizontal="left"/>
    </xf>
    <xf numFmtId="0" fontId="19" fillId="2" borderId="0" xfId="3" applyFont="1" applyFill="1" applyAlignment="1"/>
    <xf numFmtId="0" fontId="19" fillId="2" borderId="0" xfId="3" applyFont="1" applyFill="1" applyAlignment="1">
      <alignment horizontal="left"/>
    </xf>
    <xf numFmtId="3" fontId="20" fillId="11" borderId="41" xfId="3" applyNumberFormat="1" applyFont="1" applyFill="1" applyBorder="1" applyAlignment="1"/>
    <xf numFmtId="3" fontId="20" fillId="11" borderId="27" xfId="3" applyNumberFormat="1" applyFont="1" applyFill="1" applyBorder="1" applyAlignment="1"/>
    <xf numFmtId="0" fontId="20" fillId="11" borderId="29" xfId="3" applyFont="1" applyFill="1" applyBorder="1" applyAlignment="1"/>
    <xf numFmtId="1" fontId="0" fillId="0" borderId="0" xfId="0" applyNumberFormat="1" applyFont="1"/>
    <xf numFmtId="0" fontId="10" fillId="11" borderId="29" xfId="3" applyFont="1" applyFill="1" applyBorder="1" applyAlignment="1"/>
    <xf numFmtId="3" fontId="10" fillId="11" borderId="4" xfId="3" applyNumberFormat="1" applyFont="1" applyFill="1" applyBorder="1" applyAlignment="1"/>
    <xf numFmtId="0" fontId="6" fillId="2" borderId="1" xfId="3" applyFont="1" applyFill="1" applyBorder="1"/>
    <xf numFmtId="0" fontId="3" fillId="19" borderId="8" xfId="0" applyFont="1" applyFill="1" applyBorder="1" applyAlignment="1">
      <alignment horizontal="center"/>
    </xf>
    <xf numFmtId="0" fontId="6" fillId="19" borderId="0" xfId="0" applyFont="1" applyFill="1"/>
    <xf numFmtId="4" fontId="9" fillId="19" borderId="8" xfId="0" applyNumberFormat="1" applyFont="1" applyFill="1" applyBorder="1"/>
    <xf numFmtId="4" fontId="6" fillId="19" borderId="8" xfId="0" applyNumberFormat="1" applyFont="1" applyFill="1" applyBorder="1"/>
    <xf numFmtId="0" fontId="11" fillId="5" borderId="2" xfId="3" applyFont="1" applyFill="1" applyBorder="1" applyAlignment="1">
      <alignment horizontal="left"/>
    </xf>
    <xf numFmtId="0" fontId="11" fillId="5" borderId="5" xfId="3" applyFont="1" applyFill="1" applyBorder="1" applyAlignment="1">
      <alignment horizontal="left"/>
    </xf>
    <xf numFmtId="0" fontId="11" fillId="8" borderId="11" xfId="0" applyFont="1" applyFill="1" applyBorder="1" applyAlignment="1">
      <alignment horizontal="left"/>
    </xf>
    <xf numFmtId="0" fontId="11" fillId="5" borderId="11" xfId="0" applyFont="1" applyFill="1" applyBorder="1" applyAlignment="1">
      <alignment horizontal="left"/>
    </xf>
    <xf numFmtId="0" fontId="11" fillId="5" borderId="5" xfId="0" applyFont="1" applyFill="1" applyBorder="1" applyAlignment="1">
      <alignment horizontal="left"/>
    </xf>
    <xf numFmtId="0" fontId="11" fillId="5" borderId="9" xfId="3" applyFont="1" applyFill="1" applyBorder="1" applyAlignment="1">
      <alignment horizontal="left"/>
    </xf>
    <xf numFmtId="0" fontId="11" fillId="5" borderId="10" xfId="3" applyFont="1" applyFill="1" applyBorder="1" applyAlignment="1">
      <alignment horizontal="left"/>
    </xf>
    <xf numFmtId="0" fontId="11" fillId="8" borderId="10" xfId="3" applyFont="1" applyFill="1" applyBorder="1" applyAlignment="1">
      <alignment horizontal="left"/>
    </xf>
    <xf numFmtId="0" fontId="11" fillId="5" borderId="11" xfId="3" applyFont="1" applyFill="1" applyBorder="1" applyAlignment="1">
      <alignment horizontal="left"/>
    </xf>
    <xf numFmtId="0" fontId="11" fillId="7" borderId="5" xfId="0" applyFont="1" applyFill="1" applyBorder="1" applyAlignment="1">
      <alignment horizontal="left"/>
    </xf>
    <xf numFmtId="0" fontId="11" fillId="7" borderId="11" xfId="3" applyFont="1" applyFill="1" applyBorder="1" applyAlignment="1">
      <alignment horizontal="left"/>
    </xf>
    <xf numFmtId="0" fontId="11" fillId="5" borderId="8" xfId="3" applyFont="1" applyFill="1" applyBorder="1" applyAlignment="1">
      <alignment horizontal="left"/>
    </xf>
    <xf numFmtId="0" fontId="6" fillId="2" borderId="4" xfId="3" applyFont="1" applyFill="1" applyBorder="1"/>
    <xf numFmtId="0" fontId="11" fillId="8" borderId="7" xfId="3" applyFont="1" applyFill="1" applyBorder="1" applyAlignment="1">
      <alignment horizontal="left"/>
    </xf>
    <xf numFmtId="0" fontId="8" fillId="5" borderId="8" xfId="3" applyFont="1" applyFill="1" applyBorder="1" applyAlignment="1">
      <alignment horizontal="left"/>
    </xf>
    <xf numFmtId="0" fontId="8" fillId="5" borderId="8" xfId="3" applyFont="1" applyFill="1" applyBorder="1" applyAlignment="1"/>
    <xf numFmtId="0" fontId="9" fillId="2" borderId="1" xfId="3" applyFont="1" applyFill="1" applyBorder="1" applyAlignment="1"/>
    <xf numFmtId="0" fontId="9" fillId="2" borderId="1" xfId="3" applyFont="1" applyFill="1" applyBorder="1" applyAlignment="1">
      <alignment horizontal="left"/>
    </xf>
    <xf numFmtId="0" fontId="9" fillId="2" borderId="8" xfId="3" applyFont="1" applyFill="1" applyBorder="1" applyAlignment="1"/>
    <xf numFmtId="0" fontId="9" fillId="5" borderId="1" xfId="3" applyFont="1" applyFill="1" applyBorder="1" applyAlignment="1">
      <alignment horizontal="left"/>
    </xf>
    <xf numFmtId="0" fontId="9" fillId="5" borderId="3" xfId="3" applyFont="1" applyFill="1" applyBorder="1" applyAlignment="1"/>
    <xf numFmtId="0" fontId="9" fillId="2" borderId="6" xfId="3" applyFont="1" applyFill="1" applyBorder="1" applyAlignment="1"/>
    <xf numFmtId="0" fontId="9" fillId="2" borderId="3" xfId="3" applyFont="1" applyFill="1" applyBorder="1" applyAlignment="1"/>
    <xf numFmtId="0" fontId="9" fillId="2" borderId="3" xfId="3" applyFont="1" applyFill="1" applyBorder="1" applyAlignment="1">
      <alignment horizontal="left"/>
    </xf>
    <xf numFmtId="0" fontId="9" fillId="5" borderId="1" xfId="3" applyFont="1" applyFill="1" applyBorder="1" applyAlignment="1"/>
    <xf numFmtId="0" fontId="9" fillId="5" borderId="6" xfId="3" applyFont="1" applyFill="1" applyBorder="1" applyAlignment="1"/>
    <xf numFmtId="0" fontId="9" fillId="0" borderId="1" xfId="3" applyFont="1" applyFill="1" applyBorder="1" applyAlignment="1"/>
    <xf numFmtId="0" fontId="9" fillId="2" borderId="6" xfId="3" applyFont="1" applyFill="1" applyBorder="1" applyAlignment="1">
      <alignment horizontal="left"/>
    </xf>
    <xf numFmtId="10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3" fillId="0" borderId="0" xfId="0" applyFont="1" applyAlignment="1">
      <alignment horizontal="right"/>
    </xf>
    <xf numFmtId="0" fontId="29" fillId="20" borderId="0" xfId="0" applyFont="1" applyFill="1"/>
    <xf numFmtId="0" fontId="19" fillId="20" borderId="0" xfId="0" applyFont="1" applyFill="1"/>
    <xf numFmtId="10" fontId="0" fillId="0" borderId="0" xfId="2" applyNumberFormat="1" applyFont="1"/>
    <xf numFmtId="3" fontId="41" fillId="0" borderId="0" xfId="3" applyNumberFormat="1" applyFont="1" applyFill="1" applyBorder="1" applyAlignment="1"/>
    <xf numFmtId="1" fontId="0" fillId="0" borderId="0" xfId="0" applyNumberFormat="1"/>
    <xf numFmtId="4" fontId="8" fillId="0" borderId="8" xfId="0" applyNumberFormat="1" applyFont="1" applyFill="1" applyBorder="1"/>
    <xf numFmtId="9" fontId="9" fillId="19" borderId="8" xfId="2" applyFont="1" applyFill="1" applyBorder="1"/>
    <xf numFmtId="9" fontId="9" fillId="5" borderId="8" xfId="2" applyFont="1" applyFill="1" applyBorder="1"/>
    <xf numFmtId="3" fontId="9" fillId="0" borderId="8" xfId="0" applyNumberFormat="1" applyFont="1" applyFill="1" applyBorder="1"/>
    <xf numFmtId="3" fontId="8" fillId="0" borderId="8" xfId="0" applyNumberFormat="1" applyFont="1" applyFill="1" applyBorder="1"/>
    <xf numFmtId="3" fontId="9" fillId="19" borderId="8" xfId="0" applyNumberFormat="1" applyFont="1" applyFill="1" applyBorder="1"/>
    <xf numFmtId="9" fontId="8" fillId="5" borderId="8" xfId="2" applyFont="1" applyFill="1" applyBorder="1"/>
    <xf numFmtId="3" fontId="8" fillId="5" borderId="8" xfId="0" applyNumberFormat="1" applyFont="1" applyFill="1" applyBorder="1"/>
    <xf numFmtId="4" fontId="8" fillId="5" borderId="8" xfId="0" applyNumberFormat="1" applyFont="1" applyFill="1" applyBorder="1"/>
    <xf numFmtId="4" fontId="3" fillId="5" borderId="8" xfId="0" applyNumberFormat="1" applyFont="1" applyFill="1" applyBorder="1"/>
    <xf numFmtId="0" fontId="11" fillId="0" borderId="0" xfId="0" applyFont="1" applyFill="1"/>
    <xf numFmtId="3" fontId="5" fillId="0" borderId="0" xfId="0" applyNumberFormat="1" applyFont="1"/>
    <xf numFmtId="1" fontId="5" fillId="0" borderId="0" xfId="0" applyNumberFormat="1" applyFont="1"/>
    <xf numFmtId="0" fontId="0" fillId="12" borderId="8" xfId="0" applyFill="1" applyBorder="1" applyAlignment="1" applyProtection="1">
      <alignment horizontal="center" vertical="center"/>
    </xf>
    <xf numFmtId="0" fontId="31" fillId="5" borderId="65" xfId="0" applyFont="1" applyFill="1" applyBorder="1" applyAlignment="1" applyProtection="1">
      <alignment horizontal="center" vertical="top"/>
    </xf>
    <xf numFmtId="44" fontId="30" fillId="5" borderId="38" xfId="1" applyFont="1" applyFill="1" applyBorder="1" applyAlignment="1" applyProtection="1">
      <alignment horizontal="center" vertical="center"/>
    </xf>
    <xf numFmtId="44" fontId="30" fillId="5" borderId="69" xfId="1" applyFont="1" applyFill="1" applyBorder="1" applyAlignment="1" applyProtection="1">
      <alignment horizontal="center" vertical="center"/>
    </xf>
    <xf numFmtId="44" fontId="30" fillId="5" borderId="42" xfId="1" applyFont="1" applyFill="1" applyBorder="1" applyAlignment="1" applyProtection="1">
      <alignment horizontal="center" vertical="center"/>
    </xf>
    <xf numFmtId="0" fontId="32" fillId="5" borderId="37" xfId="0" applyFont="1" applyFill="1" applyBorder="1" applyAlignment="1" applyProtection="1">
      <alignment horizontal="center" vertical="center" wrapText="1"/>
    </xf>
    <xf numFmtId="0" fontId="32" fillId="5" borderId="39" xfId="0" applyFont="1" applyFill="1" applyBorder="1" applyAlignment="1" applyProtection="1">
      <alignment horizontal="center" vertical="center" wrapText="1"/>
    </xf>
    <xf numFmtId="0" fontId="32" fillId="12" borderId="37" xfId="0" applyFont="1" applyFill="1" applyBorder="1" applyAlignment="1" applyProtection="1">
      <alignment horizontal="center" vertical="center"/>
    </xf>
    <xf numFmtId="0" fontId="32" fillId="12" borderId="39" xfId="0" applyFont="1" applyFill="1" applyBorder="1" applyAlignment="1" applyProtection="1">
      <alignment horizontal="center" vertical="center"/>
    </xf>
    <xf numFmtId="0" fontId="32" fillId="12" borderId="38" xfId="0" applyFont="1" applyFill="1" applyBorder="1" applyAlignment="1" applyProtection="1">
      <alignment horizontal="center" vertical="center" wrapText="1"/>
    </xf>
    <xf numFmtId="0" fontId="32" fillId="12" borderId="69" xfId="0" applyFont="1" applyFill="1" applyBorder="1" applyAlignment="1" applyProtection="1">
      <alignment horizontal="center" vertical="center" wrapText="1"/>
    </xf>
    <xf numFmtId="0" fontId="32" fillId="12" borderId="42" xfId="0" applyFont="1" applyFill="1" applyBorder="1" applyAlignment="1" applyProtection="1">
      <alignment horizontal="center" vertical="center" wrapText="1"/>
    </xf>
    <xf numFmtId="0" fontId="2" fillId="5" borderId="37" xfId="0" applyFont="1" applyFill="1" applyBorder="1" applyAlignment="1" applyProtection="1">
      <alignment horizontal="center" vertical="center" wrapText="1"/>
    </xf>
    <xf numFmtId="0" fontId="2" fillId="5" borderId="39" xfId="0" applyFont="1" applyFill="1" applyBorder="1" applyAlignment="1" applyProtection="1">
      <alignment horizontal="center" vertical="center" wrapText="1"/>
    </xf>
    <xf numFmtId="44" fontId="2" fillId="5" borderId="38" xfId="1" applyFont="1" applyFill="1" applyBorder="1" applyAlignment="1" applyProtection="1">
      <alignment horizontal="center" vertical="center"/>
    </xf>
    <xf numFmtId="44" fontId="2" fillId="5" borderId="69" xfId="1" applyFont="1" applyFill="1" applyBorder="1" applyAlignment="1" applyProtection="1">
      <alignment horizontal="center" vertical="center"/>
    </xf>
    <xf numFmtId="44" fontId="2" fillId="5" borderId="42" xfId="1" applyFont="1" applyFill="1" applyBorder="1" applyAlignment="1" applyProtection="1">
      <alignment horizontal="center" vertical="center"/>
    </xf>
    <xf numFmtId="0" fontId="10" fillId="11" borderId="29" xfId="3" applyFont="1" applyFill="1" applyBorder="1" applyAlignment="1">
      <alignment horizontal="center"/>
    </xf>
    <xf numFmtId="0" fontId="10" fillId="11" borderId="0" xfId="3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23" fillId="0" borderId="43" xfId="4" applyFont="1" applyBorder="1" applyAlignment="1" applyProtection="1">
      <alignment horizontal="center" vertical="center"/>
      <protection hidden="1"/>
    </xf>
    <xf numFmtId="3" fontId="26" fillId="15" borderId="2" xfId="0" applyNumberFormat="1" applyFont="1" applyFill="1" applyBorder="1" applyAlignment="1" applyProtection="1">
      <alignment horizontal="center" vertical="center"/>
      <protection hidden="1"/>
    </xf>
    <xf numFmtId="3" fontId="26" fillId="15" borderId="5" xfId="0" applyNumberFormat="1" applyFont="1" applyFill="1" applyBorder="1" applyAlignment="1" applyProtection="1">
      <alignment horizontal="center" vertical="center"/>
      <protection hidden="1"/>
    </xf>
    <xf numFmtId="3" fontId="26" fillId="15" borderId="11" xfId="0" applyNumberFormat="1" applyFont="1" applyFill="1" applyBorder="1" applyAlignment="1" applyProtection="1">
      <alignment horizontal="center" vertical="center"/>
      <protection hidden="1"/>
    </xf>
    <xf numFmtId="3" fontId="27" fillId="11" borderId="73" xfId="0" applyNumberFormat="1" applyFont="1" applyFill="1" applyBorder="1" applyAlignment="1" applyProtection="1">
      <alignment horizontal="center" vertical="center"/>
      <protection hidden="1"/>
    </xf>
    <xf numFmtId="3" fontId="27" fillId="11" borderId="74" xfId="0" applyNumberFormat="1" applyFont="1" applyFill="1" applyBorder="1" applyAlignment="1" applyProtection="1">
      <alignment horizontal="center" vertical="center"/>
      <protection hidden="1"/>
    </xf>
    <xf numFmtId="3" fontId="27" fillId="11" borderId="75" xfId="0" applyNumberFormat="1" applyFont="1" applyFill="1" applyBorder="1" applyAlignment="1" applyProtection="1">
      <alignment horizontal="center" vertical="center"/>
      <protection hidden="1"/>
    </xf>
    <xf numFmtId="0" fontId="27" fillId="11" borderId="2" xfId="0" applyFont="1" applyFill="1" applyBorder="1" applyAlignment="1" applyProtection="1">
      <alignment horizontal="left" vertical="center"/>
      <protection hidden="1"/>
    </xf>
    <xf numFmtId="0" fontId="27" fillId="11" borderId="5" xfId="0" applyFont="1" applyFill="1" applyBorder="1" applyAlignment="1" applyProtection="1">
      <alignment horizontal="left" vertical="center"/>
      <protection hidden="1"/>
    </xf>
    <xf numFmtId="0" fontId="39" fillId="2" borderId="1" xfId="3" applyFont="1" applyFill="1" applyBorder="1" applyAlignment="1">
      <alignment horizontal="left" vertical="top"/>
    </xf>
    <xf numFmtId="0" fontId="39" fillId="2" borderId="4" xfId="3" applyFont="1" applyFill="1" applyBorder="1" applyAlignment="1">
      <alignment horizontal="left" vertical="top"/>
    </xf>
    <xf numFmtId="0" fontId="39" fillId="0" borderId="1" xfId="3" applyFont="1" applyFill="1" applyBorder="1" applyAlignment="1">
      <alignment horizontal="left" vertical="top"/>
    </xf>
    <xf numFmtId="0" fontId="39" fillId="0" borderId="4" xfId="3" applyFont="1" applyFill="1" applyBorder="1" applyAlignment="1">
      <alignment horizontal="left" vertical="top"/>
    </xf>
    <xf numFmtId="0" fontId="39" fillId="2" borderId="9" xfId="3" applyFont="1" applyFill="1" applyBorder="1" applyAlignment="1">
      <alignment horizontal="left" vertical="top"/>
    </xf>
    <xf numFmtId="0" fontId="39" fillId="2" borderId="6" xfId="3" applyFont="1" applyFill="1" applyBorder="1" applyAlignment="1">
      <alignment horizontal="left" vertical="top"/>
    </xf>
    <xf numFmtId="0" fontId="39" fillId="2" borderId="7" xfId="3" applyFont="1" applyFill="1" applyBorder="1" applyAlignment="1">
      <alignment horizontal="left" vertical="top"/>
    </xf>
    <xf numFmtId="0" fontId="6" fillId="5" borderId="8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19" borderId="8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2" fillId="4" borderId="0" xfId="0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3" fontId="19" fillId="0" borderId="8" xfId="0" applyNumberFormat="1" applyFont="1" applyFill="1" applyBorder="1" applyAlignment="1">
      <alignment horizontal="center"/>
    </xf>
    <xf numFmtId="2" fontId="38" fillId="0" borderId="0" xfId="0" applyNumberFormat="1" applyFont="1" applyAlignment="1">
      <alignment horizontal="center"/>
    </xf>
    <xf numFmtId="0" fontId="29" fillId="0" borderId="6" xfId="3" applyFont="1" applyFill="1" applyBorder="1" applyAlignment="1"/>
    <xf numFmtId="0" fontId="29" fillId="0" borderId="4" xfId="3" applyFont="1" applyFill="1" applyBorder="1" applyAlignment="1"/>
    <xf numFmtId="0" fontId="39" fillId="2" borderId="8" xfId="3" applyFont="1" applyFill="1" applyBorder="1" applyAlignment="1">
      <alignment horizontal="left"/>
    </xf>
    <xf numFmtId="165" fontId="0" fillId="0" borderId="0" xfId="5" applyNumberFormat="1" applyFont="1"/>
    <xf numFmtId="165" fontId="0" fillId="0" borderId="0" xfId="0" applyNumberFormat="1"/>
    <xf numFmtId="4" fontId="6" fillId="0" borderId="0" xfId="0" applyNumberFormat="1" applyFont="1" applyFill="1"/>
    <xf numFmtId="4" fontId="6" fillId="0" borderId="0" xfId="0" applyNumberFormat="1" applyFont="1"/>
    <xf numFmtId="9" fontId="6" fillId="0" borderId="0" xfId="0" applyNumberFormat="1" applyFont="1"/>
    <xf numFmtId="10" fontId="6" fillId="3" borderId="0" xfId="0" applyNumberFormat="1" applyFont="1" applyFill="1"/>
    <xf numFmtId="0" fontId="6" fillId="21" borderId="0" xfId="0" applyFont="1" applyFill="1"/>
  </cellXfs>
  <cellStyles count="6">
    <cellStyle name="Hipervínculo" xfId="4" builtinId="8"/>
    <cellStyle name="Millares" xfId="5" builtinId="3"/>
    <cellStyle name="Moneda" xfId="1" builtinId="4"/>
    <cellStyle name="Normal" xfId="0" builtinId="0"/>
    <cellStyle name="Normal 2" xfId="3"/>
    <cellStyle name="Porcentaje" xfId="2" builtinId="5"/>
  </cellStyles>
  <dxfs count="7">
    <dxf>
      <font>
        <color rgb="FFFF0000"/>
      </font>
    </dxf>
    <dxf>
      <numFmt numFmtId="166" formatCode="#,##0_);[Red]\(#,##0\)"/>
    </dxf>
    <dxf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</dxf>
    <dxf>
      <font>
        <b/>
        <i val="0"/>
        <color theme="0"/>
      </font>
      <fill>
        <patternFill>
          <bgColor rgb="FF31849B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476250</xdr:colOff>
          <xdr:row>20</xdr:row>
          <xdr:rowOff>19050</xdr:rowOff>
        </xdr:from>
        <xdr:to>
          <xdr:col>6</xdr:col>
          <xdr:colOff>723900</xdr:colOff>
          <xdr:row>21</xdr:row>
          <xdr:rowOff>9525</xdr:rowOff>
        </xdr:to>
        <xdr:sp macro="" textlink="">
          <xdr:nvSpPr>
            <xdr:cNvPr id="4118" name="cmdbtncargar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20</xdr:row>
          <xdr:rowOff>9525</xdr:rowOff>
        </xdr:from>
        <xdr:to>
          <xdr:col>2</xdr:col>
          <xdr:colOff>209550</xdr:colOff>
          <xdr:row>21</xdr:row>
          <xdr:rowOff>19050</xdr:rowOff>
        </xdr:to>
        <xdr:sp macro="" textlink="">
          <xdr:nvSpPr>
            <xdr:cNvPr id="4127" name="cndbtntrim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19</xdr:row>
          <xdr:rowOff>180975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4128" name="cmdbtnytd" hidden="1">
              <a:extLst>
                <a:ext uri="{63B3BB69-23CF-44E3-9099-C40C66FF867C}">
                  <a14:compatExt spid="_x0000_s4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20</xdr:row>
          <xdr:rowOff>0</xdr:rowOff>
        </xdr:from>
        <xdr:to>
          <xdr:col>5</xdr:col>
          <xdr:colOff>266700</xdr:colOff>
          <xdr:row>21</xdr:row>
          <xdr:rowOff>38100</xdr:rowOff>
        </xdr:to>
        <xdr:sp macro="" textlink="">
          <xdr:nvSpPr>
            <xdr:cNvPr id="4129" name="cmdbtnmat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23</xdr:row>
          <xdr:rowOff>285750</xdr:rowOff>
        </xdr:from>
        <xdr:to>
          <xdr:col>5</xdr:col>
          <xdr:colOff>133350</xdr:colOff>
          <xdr:row>24</xdr:row>
          <xdr:rowOff>285750</xdr:rowOff>
        </xdr:to>
        <xdr:sp macro="" textlink="">
          <xdr:nvSpPr>
            <xdr:cNvPr id="4131" name="cmdbtncalcular" hidden="1">
              <a:extLst>
                <a:ext uri="{63B3BB69-23CF-44E3-9099-C40C66FF867C}">
                  <a14:compatExt spid="_x0000_s4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23</xdr:row>
          <xdr:rowOff>285750</xdr:rowOff>
        </xdr:from>
        <xdr:to>
          <xdr:col>6</xdr:col>
          <xdr:colOff>361950</xdr:colOff>
          <xdr:row>24</xdr:row>
          <xdr:rowOff>276225</xdr:rowOff>
        </xdr:to>
        <xdr:sp macro="" textlink="">
          <xdr:nvSpPr>
            <xdr:cNvPr id="4142" name="btnlimpiar" hidden="1">
              <a:extLst>
                <a:ext uri="{63B3BB69-23CF-44E3-9099-C40C66FF867C}">
                  <a14:compatExt spid="_x0000_s4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20</xdr:row>
          <xdr:rowOff>19050</xdr:rowOff>
        </xdr:from>
        <xdr:to>
          <xdr:col>15</xdr:col>
          <xdr:colOff>447675</xdr:colOff>
          <xdr:row>21</xdr:row>
          <xdr:rowOff>9525</xdr:rowOff>
        </xdr:to>
        <xdr:sp macro="" textlink="">
          <xdr:nvSpPr>
            <xdr:cNvPr id="65537" name="cmdbtncargar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20</xdr:row>
          <xdr:rowOff>19050</xdr:rowOff>
        </xdr:from>
        <xdr:to>
          <xdr:col>15</xdr:col>
          <xdr:colOff>447675</xdr:colOff>
          <xdr:row>21</xdr:row>
          <xdr:rowOff>9525</xdr:rowOff>
        </xdr:to>
        <xdr:sp macro="" textlink="">
          <xdr:nvSpPr>
            <xdr:cNvPr id="75777" name="cmdbtncargar" hidden="1">
              <a:extLst>
                <a:ext uri="{63B3BB69-23CF-44E3-9099-C40C66FF867C}">
                  <a14:compatExt spid="_x0000_s75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108"/>
  <sheetViews>
    <sheetView workbookViewId="0">
      <selection activeCell="C18" sqref="C18"/>
    </sheetView>
  </sheetViews>
  <sheetFormatPr baseColWidth="10" defaultRowHeight="15" x14ac:dyDescent="0.25"/>
  <cols>
    <col min="3" max="3" width="12.5703125" bestFit="1" customWidth="1"/>
    <col min="4" max="4" width="40.85546875" bestFit="1" customWidth="1"/>
    <col min="5" max="5" width="46.42578125" bestFit="1" customWidth="1"/>
  </cols>
  <sheetData>
    <row r="1" spans="1:5" x14ac:dyDescent="0.25">
      <c r="A1">
        <v>13017</v>
      </c>
      <c r="D1" t="s">
        <v>6</v>
      </c>
      <c r="E1" t="str">
        <f t="shared" ref="E1:E36" si="0">CONCATENATE(A1, "    ",D1)</f>
        <v>13017    AMLOR 5 MG X 10</v>
      </c>
    </row>
    <row r="2" spans="1:5" x14ac:dyDescent="0.25">
      <c r="A2">
        <v>13016</v>
      </c>
      <c r="D2" t="s">
        <v>7</v>
      </c>
      <c r="E2" t="str">
        <f t="shared" si="0"/>
        <v>13016    AMLOR 10 MG X 10</v>
      </c>
    </row>
    <row r="3" spans="1:5" x14ac:dyDescent="0.25">
      <c r="A3">
        <v>13078</v>
      </c>
      <c r="D3" t="s">
        <v>9</v>
      </c>
      <c r="E3" t="str">
        <f t="shared" si="0"/>
        <v>13078    ARANDA 2,5/50 x 30 CAP</v>
      </c>
    </row>
    <row r="4" spans="1:5" x14ac:dyDescent="0.25">
      <c r="A4">
        <v>13120</v>
      </c>
      <c r="D4" t="s">
        <v>10</v>
      </c>
      <c r="E4" t="str">
        <f t="shared" si="0"/>
        <v>13120    ARANDA 5/50  X 30  CAP</v>
      </c>
    </row>
    <row r="5" spans="1:5" x14ac:dyDescent="0.25">
      <c r="A5">
        <v>13053</v>
      </c>
      <c r="D5" t="s">
        <v>11</v>
      </c>
      <c r="E5" t="str">
        <f t="shared" si="0"/>
        <v>13053    ARANDA 5/100 X 30 CAP</v>
      </c>
    </row>
    <row r="6" spans="1:5" x14ac:dyDescent="0.25">
      <c r="A6">
        <v>13022</v>
      </c>
      <c r="D6" t="s">
        <v>13</v>
      </c>
      <c r="E6" t="str">
        <f t="shared" si="0"/>
        <v>13022    BEDOYECTA JER X 1</v>
      </c>
    </row>
    <row r="7" spans="1:5" x14ac:dyDescent="0.25">
      <c r="A7" s="291">
        <v>13163</v>
      </c>
      <c r="D7" t="s">
        <v>573</v>
      </c>
      <c r="E7" t="str">
        <f t="shared" si="0"/>
        <v>13163    HIDROTEN 12.5 MG x 30</v>
      </c>
    </row>
    <row r="8" spans="1:5" x14ac:dyDescent="0.25">
      <c r="A8" s="291">
        <v>13164</v>
      </c>
      <c r="D8" t="s">
        <v>574</v>
      </c>
      <c r="E8" t="str">
        <f t="shared" si="0"/>
        <v>13164    HIDROTEN 25 MG x 30</v>
      </c>
    </row>
    <row r="9" spans="1:5" x14ac:dyDescent="0.25">
      <c r="A9">
        <v>13133</v>
      </c>
      <c r="D9" t="s">
        <v>16</v>
      </c>
      <c r="E9" t="str">
        <f t="shared" si="0"/>
        <v>13133    NEOLAX FRASCO X 250 ML</v>
      </c>
    </row>
    <row r="10" spans="1:5" x14ac:dyDescent="0.25">
      <c r="A10">
        <v>13134</v>
      </c>
      <c r="D10" t="s">
        <v>17</v>
      </c>
      <c r="E10" t="str">
        <f t="shared" si="0"/>
        <v>13134    NEOLAX SOBRES X 10</v>
      </c>
    </row>
    <row r="11" spans="1:5" x14ac:dyDescent="0.25">
      <c r="A11">
        <v>13142</v>
      </c>
      <c r="D11" t="s">
        <v>19</v>
      </c>
      <c r="E11" t="str">
        <f t="shared" si="0"/>
        <v>13142    BIOFLORA 200 MG X 12 CAP</v>
      </c>
    </row>
    <row r="12" spans="1:5" x14ac:dyDescent="0.25">
      <c r="A12" s="290">
        <v>33333</v>
      </c>
      <c r="D12" t="s">
        <v>587</v>
      </c>
      <c r="E12" t="str">
        <f t="shared" si="0"/>
        <v>33333    BIOFLORA PLUS X 12 CAP</v>
      </c>
    </row>
    <row r="13" spans="1:5" x14ac:dyDescent="0.25">
      <c r="A13">
        <v>13141</v>
      </c>
      <c r="D13" t="s">
        <v>20</v>
      </c>
      <c r="E13" t="str">
        <f t="shared" si="0"/>
        <v>13141    BIOFLORA 200 MG X 10 SOBRES</v>
      </c>
    </row>
    <row r="14" spans="1:5" x14ac:dyDescent="0.25">
      <c r="A14" s="290">
        <v>22222</v>
      </c>
      <c r="D14" t="s">
        <v>586</v>
      </c>
      <c r="E14" t="str">
        <f t="shared" si="0"/>
        <v>22222    BIOFLORA PLUS X 10 SOBRES</v>
      </c>
    </row>
    <row r="15" spans="1:5" x14ac:dyDescent="0.25">
      <c r="A15">
        <v>13068</v>
      </c>
      <c r="D15" t="s">
        <v>113</v>
      </c>
      <c r="E15" t="str">
        <f t="shared" si="0"/>
        <v>13068    COLYPAN TAB 200 x 30</v>
      </c>
    </row>
    <row r="16" spans="1:5" x14ac:dyDescent="0.25">
      <c r="A16">
        <v>13067</v>
      </c>
      <c r="D16" t="s">
        <v>114</v>
      </c>
      <c r="E16" t="str">
        <f t="shared" si="0"/>
        <v>13067    COLYPAN TAB 300 x 20</v>
      </c>
    </row>
    <row r="17" spans="1:5" x14ac:dyDescent="0.25">
      <c r="A17">
        <v>13146</v>
      </c>
      <c r="D17" t="s">
        <v>24</v>
      </c>
      <c r="E17" t="str">
        <f t="shared" si="0"/>
        <v>13146    COLYPAN PLUS 200 MG X 30</v>
      </c>
    </row>
    <row r="18" spans="1:5" x14ac:dyDescent="0.25">
      <c r="A18">
        <v>13054</v>
      </c>
      <c r="D18" t="s">
        <v>115</v>
      </c>
      <c r="E18" t="str">
        <f t="shared" si="0"/>
        <v>13054    COLYPAN INY 50x2</v>
      </c>
    </row>
    <row r="19" spans="1:5" x14ac:dyDescent="0.25">
      <c r="A19">
        <v>13137</v>
      </c>
      <c r="D19" t="s">
        <v>116</v>
      </c>
      <c r="E19" t="str">
        <f t="shared" si="0"/>
        <v>13137    DIOSMIN 450/50 CAJA X 30 TAB</v>
      </c>
    </row>
    <row r="20" spans="1:5" x14ac:dyDescent="0.25">
      <c r="A20">
        <v>13138</v>
      </c>
      <c r="D20" t="s">
        <v>575</v>
      </c>
      <c r="E20" t="str">
        <f t="shared" si="0"/>
        <v>13138    DIOSMIN 950/50 CAJA X 15 SOBRES</v>
      </c>
    </row>
    <row r="21" spans="1:5" x14ac:dyDescent="0.25">
      <c r="A21">
        <v>15514</v>
      </c>
      <c r="D21" t="s">
        <v>34</v>
      </c>
      <c r="E21" t="str">
        <f t="shared" si="0"/>
        <v>15514    VONAU 4 MG X 10 COMPRIMIDOS</v>
      </c>
    </row>
    <row r="22" spans="1:5" x14ac:dyDescent="0.25">
      <c r="A22">
        <v>15524</v>
      </c>
      <c r="D22" t="s">
        <v>35</v>
      </c>
      <c r="E22" t="str">
        <f t="shared" si="0"/>
        <v>15524    VONAU 8 MG X 10 COMPRIMIDOS</v>
      </c>
    </row>
    <row r="23" spans="1:5" x14ac:dyDescent="0.25">
      <c r="A23">
        <v>13122</v>
      </c>
      <c r="D23" t="s">
        <v>118</v>
      </c>
      <c r="E23" t="str">
        <f t="shared" si="0"/>
        <v>13122    FARMA D 1.000 UI CAPSULA x 50</v>
      </c>
    </row>
    <row r="24" spans="1:5" x14ac:dyDescent="0.25">
      <c r="A24">
        <v>13158</v>
      </c>
      <c r="D24" t="s">
        <v>552</v>
      </c>
      <c r="E24" t="str">
        <f t="shared" si="0"/>
        <v>13158    FARMA D 2000 UI X 60 CAPS</v>
      </c>
    </row>
    <row r="25" spans="1:5" x14ac:dyDescent="0.25">
      <c r="A25">
        <v>13110</v>
      </c>
      <c r="D25" t="s">
        <v>39</v>
      </c>
      <c r="E25" t="str">
        <f t="shared" si="0"/>
        <v>13110    FULLDERMA TUBO X 20 GRMS</v>
      </c>
    </row>
    <row r="26" spans="1:5" x14ac:dyDescent="0.25">
      <c r="A26">
        <v>13074</v>
      </c>
      <c r="D26" t="s">
        <v>41</v>
      </c>
      <c r="E26" t="str">
        <f t="shared" si="0"/>
        <v>13074    MILPAX SUSP. 360 ML CEREZA</v>
      </c>
    </row>
    <row r="27" spans="1:5" x14ac:dyDescent="0.25">
      <c r="A27">
        <v>13072</v>
      </c>
      <c r="D27" t="s">
        <v>42</v>
      </c>
      <c r="E27" t="str">
        <f t="shared" si="0"/>
        <v>13072    MILPAX SUSP. 360 ML MENTA</v>
      </c>
    </row>
    <row r="28" spans="1:5" x14ac:dyDescent="0.25">
      <c r="A28">
        <v>13071</v>
      </c>
      <c r="D28" t="s">
        <v>43</v>
      </c>
      <c r="E28" t="str">
        <f t="shared" si="0"/>
        <v>13071    MILPAX SUSP. 150 ML CHICLE</v>
      </c>
    </row>
    <row r="29" spans="1:5" x14ac:dyDescent="0.25">
      <c r="A29">
        <v>13082</v>
      </c>
      <c r="D29" t="s">
        <v>119</v>
      </c>
      <c r="E29" t="str">
        <f t="shared" si="0"/>
        <v>13082    NIFELAN CAJA 30 mg x 30</v>
      </c>
    </row>
    <row r="30" spans="1:5" x14ac:dyDescent="0.25">
      <c r="A30">
        <v>13040</v>
      </c>
      <c r="D30" t="s">
        <v>48</v>
      </c>
      <c r="E30" t="str">
        <f t="shared" si="0"/>
        <v>13040    NOTOLAC TAB 20mg</v>
      </c>
    </row>
    <row r="31" spans="1:5" x14ac:dyDescent="0.25">
      <c r="A31">
        <v>13066</v>
      </c>
      <c r="D31" t="s">
        <v>148</v>
      </c>
      <c r="E31" t="str">
        <f t="shared" si="0"/>
        <v>13066    NOTOLAC SUBL 30mg x 4</v>
      </c>
    </row>
    <row r="32" spans="1:5" x14ac:dyDescent="0.25">
      <c r="A32">
        <v>13140</v>
      </c>
      <c r="D32" t="s">
        <v>120</v>
      </c>
      <c r="E32" t="str">
        <f t="shared" si="0"/>
        <v>13140    INSTILLAGEL CAJA X 1 JERINGA</v>
      </c>
    </row>
    <row r="33" spans="1:5" x14ac:dyDescent="0.25">
      <c r="A33">
        <v>13112</v>
      </c>
      <c r="D33" t="s">
        <v>57</v>
      </c>
      <c r="E33" t="str">
        <f t="shared" si="0"/>
        <v>13112    COUPLET TUBO X 30 GRMS</v>
      </c>
    </row>
    <row r="34" spans="1:5" x14ac:dyDescent="0.25">
      <c r="A34" s="290">
        <v>44444</v>
      </c>
      <c r="D34" t="s">
        <v>585</v>
      </c>
      <c r="E34" t="str">
        <f t="shared" si="0"/>
        <v>44444    COUPLET OVULOS X 7</v>
      </c>
    </row>
    <row r="35" spans="1:5" x14ac:dyDescent="0.25">
      <c r="A35">
        <v>13081</v>
      </c>
      <c r="D35" t="s">
        <v>121</v>
      </c>
      <c r="E35" t="str">
        <f t="shared" si="0"/>
        <v>13081    BONAMES Capsula 150 mg x 1</v>
      </c>
    </row>
    <row r="36" spans="1:5" x14ac:dyDescent="0.25">
      <c r="A36">
        <v>13139</v>
      </c>
      <c r="D36" t="s">
        <v>122</v>
      </c>
      <c r="E36" t="str">
        <f t="shared" si="0"/>
        <v>13139    NORMIX Cajas X 12</v>
      </c>
    </row>
    <row r="37" spans="1:5" x14ac:dyDescent="0.25">
      <c r="A37">
        <v>13051</v>
      </c>
      <c r="D37" t="s">
        <v>63</v>
      </c>
      <c r="E37" t="str">
        <f t="shared" ref="E37:E71" si="1">CONCATENATE(A37, "    ",D37)</f>
        <v>13051    TAPAZOL CAJA X 100</v>
      </c>
    </row>
    <row r="38" spans="1:5" x14ac:dyDescent="0.25">
      <c r="A38">
        <v>13069</v>
      </c>
      <c r="D38" t="s">
        <v>65</v>
      </c>
      <c r="E38" t="str">
        <f t="shared" si="1"/>
        <v>13069    UROCIT FRASCO X 100</v>
      </c>
    </row>
    <row r="39" spans="1:5" x14ac:dyDescent="0.25">
      <c r="A39">
        <v>13035</v>
      </c>
      <c r="D39" t="s">
        <v>68</v>
      </c>
      <c r="E39" t="str">
        <f t="shared" si="1"/>
        <v>13035    AGUDOL Tab X 12</v>
      </c>
    </row>
    <row r="40" spans="1:5" x14ac:dyDescent="0.25">
      <c r="A40">
        <v>13060</v>
      </c>
      <c r="D40" t="s">
        <v>70</v>
      </c>
      <c r="E40" t="str">
        <f t="shared" si="1"/>
        <v>13060    FEMEN Disp 12 * 4</v>
      </c>
    </row>
    <row r="41" spans="1:5" x14ac:dyDescent="0.25">
      <c r="A41">
        <v>13061</v>
      </c>
      <c r="D41" t="s">
        <v>71</v>
      </c>
      <c r="E41" t="str">
        <f t="shared" si="1"/>
        <v>13061    FEMEN Caja * 12</v>
      </c>
    </row>
    <row r="42" spans="1:5" x14ac:dyDescent="0.25">
      <c r="A42">
        <v>13062</v>
      </c>
      <c r="D42" t="s">
        <v>72</v>
      </c>
      <c r="E42" t="str">
        <f t="shared" si="1"/>
        <v>13062    FEMEN 400 MG CAJA X 10</v>
      </c>
    </row>
    <row r="43" spans="1:5" x14ac:dyDescent="0.25">
      <c r="A43">
        <v>13063</v>
      </c>
      <c r="D43" t="s">
        <v>73</v>
      </c>
      <c r="E43" t="str">
        <f t="shared" si="1"/>
        <v>13063    FEMEN 400 MG CAJA X 50</v>
      </c>
    </row>
    <row r="44" spans="1:5" x14ac:dyDescent="0.25">
      <c r="A44">
        <v>13165</v>
      </c>
      <c r="D44" t="s">
        <v>570</v>
      </c>
      <c r="E44" t="str">
        <f t="shared" si="1"/>
        <v>13165    FEMEN 200 MG X 50</v>
      </c>
    </row>
    <row r="45" spans="1:5" x14ac:dyDescent="0.25">
      <c r="A45">
        <v>13166</v>
      </c>
      <c r="D45" t="s">
        <v>569</v>
      </c>
      <c r="E45" t="str">
        <f t="shared" si="1"/>
        <v>13166    FEMEN 200 MG X 10</v>
      </c>
    </row>
    <row r="46" spans="1:5" x14ac:dyDescent="0.25">
      <c r="A46">
        <v>13159</v>
      </c>
      <c r="D46" t="s">
        <v>497</v>
      </c>
      <c r="E46" t="str">
        <f t="shared" si="1"/>
        <v>13159    CALCIBON D SOYA FORTE X 30 TAB. REC.</v>
      </c>
    </row>
    <row r="47" spans="1:5" x14ac:dyDescent="0.25">
      <c r="A47">
        <v>13121</v>
      </c>
      <c r="D47" t="s">
        <v>76</v>
      </c>
      <c r="E47" t="str">
        <f t="shared" si="1"/>
        <v>13121    CALCIBON NATAL FORTE X 30</v>
      </c>
    </row>
    <row r="48" spans="1:5" x14ac:dyDescent="0.25">
      <c r="A48">
        <v>13143</v>
      </c>
      <c r="D48" t="s">
        <v>78</v>
      </c>
      <c r="E48" t="str">
        <f t="shared" si="1"/>
        <v>13143    CALCIBON D 800 ENVASE * 30</v>
      </c>
    </row>
    <row r="49" spans="1:5" x14ac:dyDescent="0.25">
      <c r="A49">
        <v>13144</v>
      </c>
      <c r="D49" t="s">
        <v>79</v>
      </c>
      <c r="E49" t="str">
        <f t="shared" si="1"/>
        <v>13144    CALCIBON D  800 ENVASE * 60</v>
      </c>
    </row>
    <row r="50" spans="1:5" x14ac:dyDescent="0.25">
      <c r="A50">
        <v>13079</v>
      </c>
      <c r="D50" t="s">
        <v>553</v>
      </c>
      <c r="E50" t="str">
        <f t="shared" si="1"/>
        <v>13079    CALCIBON MIN ENVASE * 30</v>
      </c>
    </row>
    <row r="51" spans="1:5" x14ac:dyDescent="0.25">
      <c r="A51">
        <v>13038</v>
      </c>
      <c r="D51" t="s">
        <v>83</v>
      </c>
      <c r="E51" t="str">
        <f t="shared" si="1"/>
        <v>13038    CLIMASOY CAP X 45</v>
      </c>
    </row>
    <row r="52" spans="1:5" x14ac:dyDescent="0.25">
      <c r="A52" s="290">
        <v>55555</v>
      </c>
      <c r="D52" t="s">
        <v>584</v>
      </c>
      <c r="E52" t="str">
        <f t="shared" si="1"/>
        <v>55555    CLIMASOY 100 CAP X 30</v>
      </c>
    </row>
    <row r="53" spans="1:5" x14ac:dyDescent="0.25">
      <c r="A53">
        <v>13032</v>
      </c>
      <c r="D53" t="s">
        <v>85</v>
      </c>
      <c r="E53" t="str">
        <f t="shared" si="1"/>
        <v>13032    KIDCAL FCO X 180 ML fresa</v>
      </c>
    </row>
    <row r="54" spans="1:5" x14ac:dyDescent="0.25">
      <c r="A54">
        <v>13037</v>
      </c>
      <c r="D54" t="s">
        <v>86</v>
      </c>
      <c r="E54" t="str">
        <f t="shared" si="1"/>
        <v>13037    KIDCAL FCO X 180 ML tutifruti</v>
      </c>
    </row>
    <row r="55" spans="1:5" x14ac:dyDescent="0.25">
      <c r="A55">
        <v>13154</v>
      </c>
      <c r="D55" t="s">
        <v>123</v>
      </c>
      <c r="E55" t="str">
        <f t="shared" si="1"/>
        <v>13154    ORALYTE MANZANA 500 ML FOS</v>
      </c>
    </row>
    <row r="56" spans="1:5" x14ac:dyDescent="0.25">
      <c r="A56">
        <v>13155</v>
      </c>
      <c r="D56" t="s">
        <v>124</v>
      </c>
      <c r="E56" t="str">
        <f t="shared" si="1"/>
        <v>13155    ORALYTE MANZANA 250 ML FOS</v>
      </c>
    </row>
    <row r="57" spans="1:5" x14ac:dyDescent="0.25">
      <c r="A57">
        <v>13152</v>
      </c>
      <c r="D57" t="s">
        <v>125</v>
      </c>
      <c r="E57" t="str">
        <f t="shared" si="1"/>
        <v>13152    ORALYTE CEREZA 500 ML FOS</v>
      </c>
    </row>
    <row r="58" spans="1:5" x14ac:dyDescent="0.25">
      <c r="A58">
        <v>13153</v>
      </c>
      <c r="D58" t="s">
        <v>126</v>
      </c>
      <c r="E58" t="str">
        <f t="shared" si="1"/>
        <v>13153    ORALYTE CEREZA 250 ML FOS</v>
      </c>
    </row>
    <row r="59" spans="1:5" x14ac:dyDescent="0.25">
      <c r="A59">
        <v>13157</v>
      </c>
      <c r="D59" t="s">
        <v>127</v>
      </c>
      <c r="E59" t="str">
        <f t="shared" si="1"/>
        <v>13157    ORALYTE COCO 500 ML FOS</v>
      </c>
    </row>
    <row r="60" spans="1:5" x14ac:dyDescent="0.25">
      <c r="A60">
        <v>13149</v>
      </c>
      <c r="D60" t="s">
        <v>128</v>
      </c>
      <c r="E60" t="str">
        <f t="shared" si="1"/>
        <v>13149    ORALYTE UVA 500 ML FOS</v>
      </c>
    </row>
    <row r="61" spans="1:5" x14ac:dyDescent="0.25">
      <c r="A61">
        <v>13150</v>
      </c>
      <c r="D61" t="s">
        <v>129</v>
      </c>
      <c r="E61" t="str">
        <f t="shared" si="1"/>
        <v>13150    ORALYTE MANDARINA 500 ML FOS</v>
      </c>
    </row>
    <row r="62" spans="1:5" x14ac:dyDescent="0.25">
      <c r="A62">
        <v>13108</v>
      </c>
      <c r="D62" t="s">
        <v>130</v>
      </c>
      <c r="E62" t="str">
        <f t="shared" si="1"/>
        <v>13108    ORALYTE UVA 250 ML FOS</v>
      </c>
    </row>
    <row r="63" spans="1:5" x14ac:dyDescent="0.25">
      <c r="A63">
        <v>13151</v>
      </c>
      <c r="D63" t="s">
        <v>131</v>
      </c>
      <c r="E63" t="str">
        <f t="shared" si="1"/>
        <v>13151    ORALYTE MANDARINA 250  ML FOS</v>
      </c>
    </row>
    <row r="64" spans="1:5" x14ac:dyDescent="0.25">
      <c r="A64">
        <v>13093</v>
      </c>
      <c r="D64" t="s">
        <v>97</v>
      </c>
      <c r="E64" t="str">
        <f t="shared" si="1"/>
        <v>13093    ORALYTE SOBRES X 10 COCO</v>
      </c>
    </row>
    <row r="65" spans="1:5" x14ac:dyDescent="0.25">
      <c r="A65">
        <v>13091</v>
      </c>
      <c r="D65" t="s">
        <v>98</v>
      </c>
      <c r="E65" t="str">
        <f t="shared" si="1"/>
        <v>13091    ORALYTE SOBRES X 10 FRESA</v>
      </c>
    </row>
    <row r="66" spans="1:5" x14ac:dyDescent="0.25">
      <c r="A66">
        <v>13089</v>
      </c>
      <c r="D66" t="s">
        <v>99</v>
      </c>
      <c r="E66" t="str">
        <f t="shared" si="1"/>
        <v>13089    ORALYTE SOBRES X 10 MANZANA</v>
      </c>
    </row>
    <row r="67" spans="1:5" x14ac:dyDescent="0.25">
      <c r="A67">
        <v>13015</v>
      </c>
      <c r="D67" t="s">
        <v>104</v>
      </c>
      <c r="E67" t="str">
        <f t="shared" si="1"/>
        <v>13015    SENOKOT TAB * 30</v>
      </c>
    </row>
    <row r="68" spans="1:5" x14ac:dyDescent="0.25">
      <c r="A68">
        <v>13023</v>
      </c>
      <c r="D68" t="s">
        <v>105</v>
      </c>
      <c r="E68" t="str">
        <f t="shared" si="1"/>
        <v>13023    SENOKOT Docusato</v>
      </c>
    </row>
    <row r="69" spans="1:5" x14ac:dyDescent="0.25">
      <c r="A69">
        <v>13145</v>
      </c>
      <c r="D69" t="s">
        <v>107</v>
      </c>
      <c r="E69" t="str">
        <f t="shared" si="1"/>
        <v>13145    STAMYL FORTE TABL * 20</v>
      </c>
    </row>
    <row r="70" spans="1:5" x14ac:dyDescent="0.25">
      <c r="A70">
        <v>13087</v>
      </c>
      <c r="D70" t="s">
        <v>109</v>
      </c>
      <c r="E70" t="str">
        <f t="shared" si="1"/>
        <v>13087    VIT-AMINO JALEA TUBO 100 GRMS NARANJA</v>
      </c>
    </row>
    <row r="71" spans="1:5" x14ac:dyDescent="0.25">
      <c r="A71">
        <v>13085</v>
      </c>
      <c r="D71" t="s">
        <v>110</v>
      </c>
      <c r="E71" t="str">
        <f t="shared" si="1"/>
        <v>13085    VIT-AMINO PLUS X 30 CAP</v>
      </c>
    </row>
    <row r="72" spans="1:5" x14ac:dyDescent="0.25">
      <c r="A72" s="290">
        <v>77777</v>
      </c>
      <c r="D72" t="s">
        <v>578</v>
      </c>
      <c r="E72" t="str">
        <f t="shared" ref="E72:E103" si="2">CONCATENATE(A72, "    ",D72)</f>
        <v>77777    RINOLAST 120 MG X 10 TAB</v>
      </c>
    </row>
    <row r="73" spans="1:5" x14ac:dyDescent="0.25">
      <c r="A73" s="290">
        <v>88888</v>
      </c>
      <c r="D73" t="s">
        <v>576</v>
      </c>
      <c r="E73" t="str">
        <f t="shared" si="2"/>
        <v>88888    RINOLAST 30/5 MG X 120</v>
      </c>
    </row>
    <row r="74" spans="1:5" x14ac:dyDescent="0.25">
      <c r="A74" s="290">
        <v>99999</v>
      </c>
      <c r="D74" t="s">
        <v>579</v>
      </c>
      <c r="E74" t="str">
        <f t="shared" si="2"/>
        <v>99999    RINOLAST D 60/25 MG X 10 TAB</v>
      </c>
    </row>
    <row r="75" spans="1:5" x14ac:dyDescent="0.25">
      <c r="A75" s="290">
        <v>66666</v>
      </c>
      <c r="D75" t="s">
        <v>577</v>
      </c>
      <c r="E75" t="str">
        <f t="shared" si="2"/>
        <v xml:space="preserve">66666    RINOLAST D 15/30 ML </v>
      </c>
    </row>
    <row r="76" spans="1:5" x14ac:dyDescent="0.25">
      <c r="A76" s="291">
        <v>13160</v>
      </c>
      <c r="D76" t="s">
        <v>580</v>
      </c>
      <c r="E76" t="str">
        <f t="shared" si="2"/>
        <v>13160    BRASARTAN CTND 80/12.5 MG X 30</v>
      </c>
    </row>
    <row r="77" spans="1:5" x14ac:dyDescent="0.25">
      <c r="A77" s="291">
        <v>13161</v>
      </c>
      <c r="D77" t="s">
        <v>581</v>
      </c>
      <c r="E77" t="str">
        <f t="shared" si="2"/>
        <v>13161    BRASARTAN CTND 80/25 MG X 30</v>
      </c>
    </row>
    <row r="78" spans="1:5" x14ac:dyDescent="0.25">
      <c r="A78" s="291">
        <v>13162</v>
      </c>
      <c r="D78" t="s">
        <v>582</v>
      </c>
      <c r="E78" t="str">
        <f t="shared" si="2"/>
        <v>13162    BRASARTAN CTND 160/25 MG X 30</v>
      </c>
    </row>
    <row r="79" spans="1:5" x14ac:dyDescent="0.25">
      <c r="A79" s="290">
        <v>19999</v>
      </c>
      <c r="D79" t="s">
        <v>588</v>
      </c>
      <c r="E79" t="str">
        <f t="shared" si="2"/>
        <v xml:space="preserve">19999    TERAGRIP FORTE DIA SOBRES X 6 </v>
      </c>
    </row>
    <row r="80" spans="1:5" x14ac:dyDescent="0.25">
      <c r="A80" s="290">
        <v>29999</v>
      </c>
      <c r="D80" t="s">
        <v>589</v>
      </c>
      <c r="E80" t="str">
        <f t="shared" si="2"/>
        <v>29999    TERAGRIP FORTE NOCHE SOBRES X 6</v>
      </c>
    </row>
    <row r="81" spans="1:5" x14ac:dyDescent="0.25">
      <c r="A81" s="290">
        <v>39999</v>
      </c>
      <c r="D81" t="s">
        <v>590</v>
      </c>
      <c r="E81" t="str">
        <f t="shared" si="2"/>
        <v>39999    TERAGRIP FORTE DIA TAB X 10</v>
      </c>
    </row>
    <row r="82" spans="1:5" x14ac:dyDescent="0.25">
      <c r="A82" s="290">
        <v>49999</v>
      </c>
      <c r="D82" t="s">
        <v>591</v>
      </c>
      <c r="E82" t="str">
        <f t="shared" si="2"/>
        <v>49999    TERAGRIP FORTE NOCHE TAB X 10</v>
      </c>
    </row>
    <row r="83" spans="1:5" x14ac:dyDescent="0.25">
      <c r="E83" t="str">
        <f t="shared" si="2"/>
        <v xml:space="preserve">    </v>
      </c>
    </row>
    <row r="84" spans="1:5" x14ac:dyDescent="0.25">
      <c r="E84" t="str">
        <f t="shared" si="2"/>
        <v xml:space="preserve">    </v>
      </c>
    </row>
    <row r="85" spans="1:5" x14ac:dyDescent="0.25">
      <c r="E85" t="str">
        <f t="shared" si="2"/>
        <v xml:space="preserve">    </v>
      </c>
    </row>
    <row r="86" spans="1:5" x14ac:dyDescent="0.25">
      <c r="E86" t="str">
        <f t="shared" si="2"/>
        <v xml:space="preserve">    </v>
      </c>
    </row>
    <row r="87" spans="1:5" x14ac:dyDescent="0.25">
      <c r="E87" t="str">
        <f t="shared" si="2"/>
        <v xml:space="preserve">    </v>
      </c>
    </row>
    <row r="88" spans="1:5" x14ac:dyDescent="0.25">
      <c r="E88" t="str">
        <f t="shared" si="2"/>
        <v xml:space="preserve">    </v>
      </c>
    </row>
    <row r="89" spans="1:5" x14ac:dyDescent="0.25">
      <c r="E89" t="str">
        <f t="shared" si="2"/>
        <v xml:space="preserve">    </v>
      </c>
    </row>
    <row r="90" spans="1:5" x14ac:dyDescent="0.25">
      <c r="E90" t="str">
        <f t="shared" si="2"/>
        <v xml:space="preserve">    </v>
      </c>
    </row>
    <row r="91" spans="1:5" x14ac:dyDescent="0.25">
      <c r="E91" t="str">
        <f t="shared" si="2"/>
        <v xml:space="preserve">    </v>
      </c>
    </row>
    <row r="92" spans="1:5" x14ac:dyDescent="0.25">
      <c r="E92" t="str">
        <f t="shared" si="2"/>
        <v xml:space="preserve">    </v>
      </c>
    </row>
    <row r="93" spans="1:5" x14ac:dyDescent="0.25">
      <c r="E93" t="str">
        <f t="shared" si="2"/>
        <v xml:space="preserve">    </v>
      </c>
    </row>
    <row r="94" spans="1:5" x14ac:dyDescent="0.25">
      <c r="E94" t="str">
        <f t="shared" si="2"/>
        <v xml:space="preserve">    </v>
      </c>
    </row>
    <row r="95" spans="1:5" x14ac:dyDescent="0.25">
      <c r="E95" t="str">
        <f t="shared" si="2"/>
        <v xml:space="preserve">    </v>
      </c>
    </row>
    <row r="96" spans="1:5" x14ac:dyDescent="0.25">
      <c r="E96" t="str">
        <f t="shared" si="2"/>
        <v xml:space="preserve">    </v>
      </c>
    </row>
    <row r="97" spans="5:5" x14ac:dyDescent="0.25">
      <c r="E97" t="str">
        <f t="shared" si="2"/>
        <v xml:space="preserve">    </v>
      </c>
    </row>
    <row r="98" spans="5:5" x14ac:dyDescent="0.25">
      <c r="E98" t="str">
        <f t="shared" si="2"/>
        <v xml:space="preserve">    </v>
      </c>
    </row>
    <row r="99" spans="5:5" x14ac:dyDescent="0.25">
      <c r="E99" t="str">
        <f t="shared" si="2"/>
        <v xml:space="preserve">    </v>
      </c>
    </row>
    <row r="100" spans="5:5" x14ac:dyDescent="0.25">
      <c r="E100" t="str">
        <f t="shared" si="2"/>
        <v xml:space="preserve">    </v>
      </c>
    </row>
    <row r="101" spans="5:5" x14ac:dyDescent="0.25">
      <c r="E101" t="str">
        <f t="shared" si="2"/>
        <v xml:space="preserve">    </v>
      </c>
    </row>
    <row r="102" spans="5:5" x14ac:dyDescent="0.25">
      <c r="E102" t="str">
        <f t="shared" si="2"/>
        <v xml:space="preserve">    </v>
      </c>
    </row>
    <row r="103" spans="5:5" x14ac:dyDescent="0.25">
      <c r="E103" t="str">
        <f t="shared" si="2"/>
        <v xml:space="preserve">    </v>
      </c>
    </row>
    <row r="104" spans="5:5" x14ac:dyDescent="0.25">
      <c r="E104" t="str">
        <f>CONCATENATE(A104, "    ",D104)</f>
        <v xml:space="preserve">    </v>
      </c>
    </row>
    <row r="105" spans="5:5" x14ac:dyDescent="0.25">
      <c r="E105" t="str">
        <f>CONCATENATE(A105, "    ",D105)</f>
        <v xml:space="preserve">    </v>
      </c>
    </row>
    <row r="106" spans="5:5" x14ac:dyDescent="0.25">
      <c r="E106" t="str">
        <f>CONCATENATE(A106, "    ",D106)</f>
        <v xml:space="preserve">    </v>
      </c>
    </row>
    <row r="107" spans="5:5" x14ac:dyDescent="0.25">
      <c r="E107" t="str">
        <f>CONCATENATE(A107, "    ",D107)</f>
        <v xml:space="preserve">    </v>
      </c>
    </row>
    <row r="108" spans="5:5" x14ac:dyDescent="0.25">
      <c r="E108" t="str">
        <f>CONCATENATE(A108, "    ",D108)</f>
        <v xml:space="preserve">    </v>
      </c>
    </row>
  </sheetData>
  <sortState ref="A1:E101">
    <sortCondition ref="A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pageSetUpPr fitToPage="1"/>
  </sheetPr>
  <dimension ref="A1:BX102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X51" sqref="BX51"/>
    </sheetView>
  </sheetViews>
  <sheetFormatPr baseColWidth="10" defaultRowHeight="12" x14ac:dyDescent="0.2"/>
  <cols>
    <col min="1" max="1" width="23.85546875" style="52" bestFit="1" customWidth="1"/>
    <col min="2" max="2" width="14.42578125" style="52" bestFit="1" customWidth="1"/>
    <col min="3" max="16384" width="11.42578125" style="52"/>
  </cols>
  <sheetData>
    <row r="1" spans="1:76" x14ac:dyDescent="0.2">
      <c r="C1" s="87">
        <f>C2*C3</f>
        <v>2016</v>
      </c>
      <c r="F1" s="87">
        <f>F2*F3</f>
        <v>4032</v>
      </c>
      <c r="I1" s="87">
        <f>I2*I3</f>
        <v>6048</v>
      </c>
      <c r="L1" s="87">
        <f>L2*L3</f>
        <v>8064</v>
      </c>
      <c r="O1" s="87">
        <f>O2*O3</f>
        <v>10080</v>
      </c>
      <c r="R1" s="87">
        <f>R2*R3</f>
        <v>12096</v>
      </c>
      <c r="U1" s="87">
        <f>U2*U3</f>
        <v>14112</v>
      </c>
      <c r="X1" s="87">
        <f>X2*X3</f>
        <v>16128</v>
      </c>
      <c r="AA1" s="87">
        <f>AA2*AA3</f>
        <v>18144</v>
      </c>
      <c r="AD1" s="87">
        <f>AD2*AD3</f>
        <v>20160</v>
      </c>
      <c r="AG1" s="87">
        <f>AG2*AG3</f>
        <v>22176</v>
      </c>
      <c r="AJ1" s="52">
        <f>AJ2*AJ3</f>
        <v>24192</v>
      </c>
      <c r="AM1" s="52">
        <f>AM2*AM3</f>
        <v>2017</v>
      </c>
      <c r="AP1" s="52">
        <f>AP2*AP3</f>
        <v>4034</v>
      </c>
      <c r="AS1" s="52">
        <f>AS2*AS3</f>
        <v>6051</v>
      </c>
      <c r="AV1" s="52">
        <f>AV2*AV3</f>
        <v>8068</v>
      </c>
      <c r="AY1" s="52">
        <f>AY2*AY3</f>
        <v>10085</v>
      </c>
      <c r="BB1" s="52">
        <f>BB2*BB3</f>
        <v>12102</v>
      </c>
      <c r="BE1" s="52">
        <f>BE2*BE3</f>
        <v>14119</v>
      </c>
      <c r="BH1" s="52">
        <f>BH2*BH3</f>
        <v>16136</v>
      </c>
      <c r="BK1" s="52">
        <f>BK2*BK3</f>
        <v>18153</v>
      </c>
      <c r="BN1" s="52">
        <f>BN2*BN3</f>
        <v>20170</v>
      </c>
      <c r="BQ1" s="52">
        <f>BQ2*BQ3</f>
        <v>22187</v>
      </c>
      <c r="BT1" s="52">
        <f>BT2*BT3</f>
        <v>24204</v>
      </c>
    </row>
    <row r="2" spans="1:76" x14ac:dyDescent="0.2">
      <c r="C2" s="52">
        <v>2016</v>
      </c>
      <c r="F2" s="52">
        <v>2016</v>
      </c>
      <c r="I2" s="52">
        <v>2016</v>
      </c>
      <c r="L2" s="52">
        <v>2016</v>
      </c>
      <c r="O2" s="52">
        <v>2016</v>
      </c>
      <c r="R2" s="52">
        <v>2016</v>
      </c>
      <c r="U2" s="52">
        <v>2016</v>
      </c>
      <c r="X2" s="52">
        <v>2016</v>
      </c>
      <c r="AA2" s="52">
        <v>2016</v>
      </c>
      <c r="AD2" s="52">
        <v>2016</v>
      </c>
      <c r="AG2" s="52">
        <v>2016</v>
      </c>
      <c r="AJ2" s="52">
        <v>2016</v>
      </c>
      <c r="AM2" s="52">
        <v>2017</v>
      </c>
      <c r="AP2" s="52">
        <v>2017</v>
      </c>
      <c r="AS2" s="52">
        <v>2017</v>
      </c>
      <c r="AV2" s="52">
        <v>2017</v>
      </c>
      <c r="AY2" s="52">
        <v>2017</v>
      </c>
      <c r="BB2" s="52">
        <v>2017</v>
      </c>
      <c r="BE2" s="52">
        <v>2017</v>
      </c>
      <c r="BH2" s="52">
        <v>2017</v>
      </c>
      <c r="BK2" s="52">
        <v>2017</v>
      </c>
      <c r="BN2" s="52">
        <v>2017</v>
      </c>
      <c r="BQ2" s="52">
        <v>2017</v>
      </c>
      <c r="BT2" s="52">
        <v>2017</v>
      </c>
    </row>
    <row r="3" spans="1:76" x14ac:dyDescent="0.2">
      <c r="C3" s="52">
        <v>1</v>
      </c>
      <c r="F3" s="52">
        <v>2</v>
      </c>
      <c r="I3" s="52">
        <v>3</v>
      </c>
      <c r="L3" s="52">
        <v>4</v>
      </c>
      <c r="O3" s="52">
        <v>5</v>
      </c>
      <c r="R3" s="52">
        <v>6</v>
      </c>
      <c r="U3" s="52">
        <v>7</v>
      </c>
      <c r="X3" s="52">
        <v>8</v>
      </c>
      <c r="AA3" s="52">
        <v>9</v>
      </c>
      <c r="AD3" s="52">
        <v>10</v>
      </c>
      <c r="AG3" s="52">
        <v>11</v>
      </c>
      <c r="AJ3" s="52">
        <v>12</v>
      </c>
      <c r="AM3" s="52">
        <v>1</v>
      </c>
      <c r="AP3" s="52">
        <v>2</v>
      </c>
      <c r="AS3" s="52">
        <v>3</v>
      </c>
      <c r="AV3" s="52">
        <v>4</v>
      </c>
      <c r="AY3" s="52">
        <v>5</v>
      </c>
      <c r="BB3" s="52">
        <v>6</v>
      </c>
      <c r="BE3" s="52">
        <v>7</v>
      </c>
      <c r="BH3" s="52">
        <v>8</v>
      </c>
      <c r="BK3" s="52">
        <v>9</v>
      </c>
      <c r="BN3" s="52">
        <v>10</v>
      </c>
      <c r="BQ3" s="52">
        <v>11</v>
      </c>
      <c r="BT3" s="52">
        <v>12</v>
      </c>
    </row>
    <row r="4" spans="1:76" x14ac:dyDescent="0.2">
      <c r="A4" s="52" t="s">
        <v>153</v>
      </c>
      <c r="B4" s="52" t="s">
        <v>154</v>
      </c>
      <c r="C4" s="52" t="s">
        <v>155</v>
      </c>
      <c r="D4" s="52" t="s">
        <v>156</v>
      </c>
      <c r="E4" s="52" t="s">
        <v>157</v>
      </c>
      <c r="F4" s="52" t="s">
        <v>155</v>
      </c>
      <c r="G4" s="52" t="s">
        <v>156</v>
      </c>
      <c r="H4" s="52" t="s">
        <v>157</v>
      </c>
      <c r="I4" s="52" t="s">
        <v>155</v>
      </c>
      <c r="J4" s="52" t="s">
        <v>156</v>
      </c>
      <c r="K4" s="52" t="s">
        <v>157</v>
      </c>
      <c r="L4" s="52" t="s">
        <v>155</v>
      </c>
      <c r="M4" s="52" t="s">
        <v>156</v>
      </c>
      <c r="N4" s="52" t="s">
        <v>157</v>
      </c>
      <c r="O4" s="52" t="s">
        <v>155</v>
      </c>
      <c r="P4" s="52" t="s">
        <v>156</v>
      </c>
      <c r="Q4" s="52" t="s">
        <v>157</v>
      </c>
      <c r="R4" s="52" t="s">
        <v>155</v>
      </c>
      <c r="S4" s="52" t="s">
        <v>156</v>
      </c>
      <c r="T4" s="52" t="s">
        <v>157</v>
      </c>
      <c r="U4" s="52" t="s">
        <v>155</v>
      </c>
      <c r="V4" s="52" t="s">
        <v>156</v>
      </c>
      <c r="W4" s="52" t="s">
        <v>157</v>
      </c>
      <c r="X4" s="52" t="s">
        <v>155</v>
      </c>
      <c r="Y4" s="52" t="s">
        <v>156</v>
      </c>
      <c r="Z4" s="52" t="s">
        <v>157</v>
      </c>
      <c r="AA4" s="52" t="s">
        <v>155</v>
      </c>
      <c r="AB4" s="52" t="s">
        <v>156</v>
      </c>
      <c r="AC4" s="52" t="s">
        <v>157</v>
      </c>
      <c r="AD4" s="52" t="s">
        <v>155</v>
      </c>
      <c r="AE4" s="52" t="s">
        <v>156</v>
      </c>
      <c r="AF4" s="52" t="s">
        <v>157</v>
      </c>
      <c r="AG4" s="52" t="s">
        <v>155</v>
      </c>
      <c r="AH4" s="52" t="s">
        <v>156</v>
      </c>
      <c r="AI4" s="52" t="s">
        <v>157</v>
      </c>
      <c r="AJ4" s="52" t="s">
        <v>155</v>
      </c>
      <c r="AK4" s="52" t="s">
        <v>156</v>
      </c>
      <c r="AL4" s="52" t="s">
        <v>157</v>
      </c>
      <c r="AM4" s="52" t="s">
        <v>155</v>
      </c>
      <c r="AN4" s="52" t="s">
        <v>156</v>
      </c>
      <c r="AO4" s="52" t="s">
        <v>157</v>
      </c>
      <c r="AP4" s="52" t="s">
        <v>155</v>
      </c>
      <c r="AQ4" s="52" t="s">
        <v>156</v>
      </c>
      <c r="AR4" s="52" t="s">
        <v>157</v>
      </c>
      <c r="AS4" s="52" t="s">
        <v>155</v>
      </c>
      <c r="AT4" s="52" t="s">
        <v>156</v>
      </c>
      <c r="AU4" s="52" t="s">
        <v>157</v>
      </c>
      <c r="AV4" s="52" t="s">
        <v>155</v>
      </c>
      <c r="AW4" s="52" t="s">
        <v>156</v>
      </c>
      <c r="AX4" s="52" t="s">
        <v>157</v>
      </c>
      <c r="AY4" s="52" t="s">
        <v>155</v>
      </c>
      <c r="AZ4" s="52" t="s">
        <v>156</v>
      </c>
      <c r="BA4" s="52" t="s">
        <v>157</v>
      </c>
      <c r="BB4" s="52" t="s">
        <v>155</v>
      </c>
      <c r="BC4" s="52" t="s">
        <v>156</v>
      </c>
      <c r="BD4" s="52" t="s">
        <v>157</v>
      </c>
      <c r="BE4" s="52" t="s">
        <v>155</v>
      </c>
      <c r="BF4" s="52" t="s">
        <v>156</v>
      </c>
      <c r="BG4" s="52" t="s">
        <v>157</v>
      </c>
      <c r="BV4" s="52" t="s">
        <v>640</v>
      </c>
      <c r="BW4" s="52" t="s">
        <v>638</v>
      </c>
      <c r="BX4" s="52" t="s">
        <v>641</v>
      </c>
    </row>
    <row r="5" spans="1:76" x14ac:dyDescent="0.2">
      <c r="A5" s="52" t="s">
        <v>209</v>
      </c>
      <c r="B5" s="52">
        <v>13110</v>
      </c>
      <c r="C5" s="52">
        <v>7854</v>
      </c>
      <c r="D5" s="52">
        <v>1480</v>
      </c>
      <c r="E5" s="52">
        <v>9334</v>
      </c>
      <c r="F5" s="52">
        <v>12492</v>
      </c>
      <c r="G5" s="52">
        <v>3121</v>
      </c>
      <c r="H5" s="52">
        <v>15613</v>
      </c>
      <c r="I5" s="52">
        <v>10458</v>
      </c>
      <c r="J5" s="52">
        <v>1659</v>
      </c>
      <c r="K5" s="52">
        <v>12117</v>
      </c>
      <c r="L5" s="52">
        <v>8852</v>
      </c>
      <c r="M5" s="52">
        <v>1509</v>
      </c>
      <c r="N5" s="52">
        <v>10361</v>
      </c>
      <c r="O5" s="52">
        <v>8766</v>
      </c>
      <c r="P5" s="52">
        <v>1673</v>
      </c>
      <c r="Q5" s="52">
        <v>10439</v>
      </c>
      <c r="R5" s="52">
        <v>8965</v>
      </c>
      <c r="S5" s="52">
        <v>1561</v>
      </c>
      <c r="T5" s="52">
        <v>10526</v>
      </c>
      <c r="U5" s="52">
        <v>5757</v>
      </c>
      <c r="V5" s="52">
        <v>947</v>
      </c>
      <c r="W5" s="52">
        <v>6704</v>
      </c>
      <c r="X5" s="52">
        <v>8133</v>
      </c>
      <c r="Y5" s="52">
        <v>1463</v>
      </c>
      <c r="Z5" s="52">
        <v>9596</v>
      </c>
      <c r="AA5" s="52">
        <v>9132</v>
      </c>
      <c r="AB5" s="52">
        <v>1739</v>
      </c>
      <c r="AC5" s="52">
        <v>10871</v>
      </c>
      <c r="AD5" s="52">
        <v>7664</v>
      </c>
      <c r="AE5" s="52">
        <v>1396</v>
      </c>
      <c r="AF5" s="52">
        <v>9060</v>
      </c>
      <c r="AG5" s="52">
        <v>7480</v>
      </c>
      <c r="AH5" s="52">
        <v>1266</v>
      </c>
      <c r="AI5" s="52">
        <v>8746</v>
      </c>
      <c r="AJ5" s="52">
        <v>7192</v>
      </c>
      <c r="AK5" s="52">
        <v>1209</v>
      </c>
      <c r="AL5" s="52">
        <v>8401</v>
      </c>
      <c r="AM5" s="52">
        <v>7868</v>
      </c>
      <c r="AN5" s="52">
        <v>1125</v>
      </c>
      <c r="AO5" s="52">
        <v>8993</v>
      </c>
      <c r="AP5" s="52">
        <v>7619</v>
      </c>
      <c r="AQ5" s="52">
        <v>1306</v>
      </c>
      <c r="AR5" s="52">
        <v>8925</v>
      </c>
      <c r="AS5" s="52">
        <v>1400</v>
      </c>
      <c r="AT5" s="52">
        <v>256</v>
      </c>
      <c r="AU5" s="52">
        <v>1656</v>
      </c>
      <c r="AV5" s="52">
        <v>16448</v>
      </c>
      <c r="AW5" s="52">
        <v>3498</v>
      </c>
      <c r="AX5" s="52">
        <v>19946</v>
      </c>
      <c r="AY5" s="52">
        <v>152</v>
      </c>
      <c r="AZ5" s="52">
        <v>32</v>
      </c>
      <c r="BA5" s="52">
        <v>184</v>
      </c>
      <c r="BB5" s="52">
        <v>14991</v>
      </c>
      <c r="BC5" s="52">
        <v>2422</v>
      </c>
      <c r="BD5" s="52">
        <v>17413</v>
      </c>
      <c r="BE5" s="52">
        <v>7816</v>
      </c>
      <c r="BF5" s="52">
        <v>1188</v>
      </c>
      <c r="BG5" s="52">
        <v>9004</v>
      </c>
      <c r="BV5" s="52">
        <f>+AM5+AP5+AS5+AV5+AY5+BB5+BE5+BH5+BK5+BN5+BQ5+BT5</f>
        <v>56294</v>
      </c>
      <c r="BW5" s="52">
        <f>+AN5+AQ5+AT5+AW5+AZ5+BC5+BF5+BI5+BL5+BO5+BR5+BU5</f>
        <v>9827</v>
      </c>
      <c r="BX5" s="314">
        <f>+BW5/BV5</f>
        <v>0.17456567307350696</v>
      </c>
    </row>
    <row r="6" spans="1:76" x14ac:dyDescent="0.2">
      <c r="A6" s="52" t="s">
        <v>210</v>
      </c>
      <c r="B6" s="52">
        <v>13063</v>
      </c>
      <c r="C6" s="52">
        <v>4357</v>
      </c>
      <c r="D6" s="52">
        <v>930</v>
      </c>
      <c r="E6" s="52">
        <v>5287</v>
      </c>
      <c r="F6" s="52">
        <v>6127</v>
      </c>
      <c r="G6" s="52">
        <v>1429</v>
      </c>
      <c r="H6" s="52">
        <v>7556</v>
      </c>
      <c r="I6" s="52">
        <v>2091</v>
      </c>
      <c r="J6" s="52">
        <v>465</v>
      </c>
      <c r="K6" s="52">
        <v>2556</v>
      </c>
      <c r="L6" s="52">
        <v>7397</v>
      </c>
      <c r="M6" s="52">
        <v>1212</v>
      </c>
      <c r="N6" s="52">
        <v>8609</v>
      </c>
      <c r="O6" s="52">
        <v>3046</v>
      </c>
      <c r="P6" s="52">
        <v>445</v>
      </c>
      <c r="Q6" s="52">
        <v>3491</v>
      </c>
      <c r="R6" s="52">
        <v>4840</v>
      </c>
      <c r="S6" s="52">
        <v>650</v>
      </c>
      <c r="T6" s="52">
        <v>5490</v>
      </c>
      <c r="U6" s="52">
        <v>3808</v>
      </c>
      <c r="V6" s="52">
        <v>428</v>
      </c>
      <c r="W6" s="52">
        <v>4236</v>
      </c>
      <c r="X6" s="52">
        <v>6885</v>
      </c>
      <c r="Y6" s="52">
        <v>949</v>
      </c>
      <c r="Z6" s="52">
        <v>7834</v>
      </c>
      <c r="AA6" s="52">
        <v>5431</v>
      </c>
      <c r="AB6" s="52">
        <v>749</v>
      </c>
      <c r="AC6" s="52">
        <v>6180</v>
      </c>
      <c r="AD6" s="52">
        <v>5088</v>
      </c>
      <c r="AE6" s="52">
        <v>674</v>
      </c>
      <c r="AF6" s="52">
        <v>5762</v>
      </c>
      <c r="AG6" s="52">
        <v>6009</v>
      </c>
      <c r="AH6" s="52">
        <v>760</v>
      </c>
      <c r="AI6" s="52">
        <v>6769</v>
      </c>
      <c r="AJ6" s="52">
        <v>6396</v>
      </c>
      <c r="AK6" s="52">
        <v>829</v>
      </c>
      <c r="AL6" s="52">
        <v>7225</v>
      </c>
      <c r="AM6" s="52">
        <v>6002</v>
      </c>
      <c r="AN6" s="52">
        <v>615</v>
      </c>
      <c r="AO6" s="52">
        <v>6617</v>
      </c>
      <c r="AP6" s="52">
        <v>4740</v>
      </c>
      <c r="AQ6" s="52">
        <v>438</v>
      </c>
      <c r="AR6" s="52">
        <v>5178</v>
      </c>
      <c r="AS6" s="52">
        <v>7003</v>
      </c>
      <c r="AT6" s="52">
        <v>967</v>
      </c>
      <c r="AU6" s="52">
        <v>7970</v>
      </c>
      <c r="AV6" s="52">
        <v>4704</v>
      </c>
      <c r="AW6" s="52">
        <v>548</v>
      </c>
      <c r="AX6" s="52">
        <v>5252</v>
      </c>
      <c r="AY6" s="52">
        <v>7831</v>
      </c>
      <c r="AZ6" s="52">
        <v>1125</v>
      </c>
      <c r="BA6" s="52">
        <v>8956</v>
      </c>
      <c r="BB6" s="52">
        <v>5671</v>
      </c>
      <c r="BC6" s="52">
        <v>759</v>
      </c>
      <c r="BD6" s="52">
        <v>6430</v>
      </c>
      <c r="BE6" s="52">
        <v>4292</v>
      </c>
      <c r="BF6" s="52">
        <v>473</v>
      </c>
      <c r="BG6" s="52">
        <v>4765</v>
      </c>
      <c r="BV6" s="52">
        <f t="shared" ref="BV6:BV69" si="0">+AM6+AP6+AS6+AV6+AY6+BB6+BE6+BH6+BK6+BN6+BQ6+BT6</f>
        <v>40243</v>
      </c>
      <c r="BW6" s="52">
        <f t="shared" ref="BW6:BW69" si="1">+AN6+AQ6+AT6+AW6+AZ6+BC6+BF6+BI6+BL6+BO6+BR6+BU6</f>
        <v>4925</v>
      </c>
      <c r="BX6" s="314">
        <f t="shared" ref="BX6:BX69" si="2">+BW6/BV6</f>
        <v>0.122381532191934</v>
      </c>
    </row>
    <row r="7" spans="1:76" x14ac:dyDescent="0.2">
      <c r="A7" s="52" t="s">
        <v>211</v>
      </c>
      <c r="B7" s="52">
        <v>13062</v>
      </c>
      <c r="C7" s="52">
        <v>3466</v>
      </c>
      <c r="D7" s="52">
        <v>481</v>
      </c>
      <c r="E7" s="52">
        <v>3947</v>
      </c>
      <c r="F7" s="52">
        <v>5983</v>
      </c>
      <c r="G7" s="52">
        <v>828</v>
      </c>
      <c r="H7" s="52">
        <v>6811</v>
      </c>
      <c r="I7" s="52">
        <v>4723</v>
      </c>
      <c r="J7" s="52">
        <v>680</v>
      </c>
      <c r="K7" s="52">
        <v>5403</v>
      </c>
      <c r="L7" s="52">
        <v>7420</v>
      </c>
      <c r="M7" s="52">
        <v>1119</v>
      </c>
      <c r="N7" s="52">
        <v>8539</v>
      </c>
      <c r="O7" s="52">
        <v>4160</v>
      </c>
      <c r="P7" s="52">
        <v>679</v>
      </c>
      <c r="Q7" s="52">
        <v>4839</v>
      </c>
      <c r="R7" s="52">
        <v>7611</v>
      </c>
      <c r="S7" s="52">
        <v>1148</v>
      </c>
      <c r="T7" s="52">
        <v>8759</v>
      </c>
      <c r="U7" s="52">
        <v>5018</v>
      </c>
      <c r="V7" s="52">
        <v>477</v>
      </c>
      <c r="W7" s="52">
        <v>5495</v>
      </c>
      <c r="X7" s="52">
        <v>8155</v>
      </c>
      <c r="Y7" s="52">
        <v>1068</v>
      </c>
      <c r="Z7" s="52">
        <v>9223</v>
      </c>
      <c r="AA7" s="52">
        <v>7812</v>
      </c>
      <c r="AB7" s="52">
        <v>1015</v>
      </c>
      <c r="AC7" s="52">
        <v>8827</v>
      </c>
      <c r="AD7" s="52">
        <v>6888</v>
      </c>
      <c r="AE7" s="52">
        <v>900</v>
      </c>
      <c r="AF7" s="52">
        <v>7788</v>
      </c>
      <c r="AG7" s="52">
        <v>5842</v>
      </c>
      <c r="AH7" s="52">
        <v>606</v>
      </c>
      <c r="AI7" s="52">
        <v>6448</v>
      </c>
      <c r="AJ7" s="52">
        <v>4299</v>
      </c>
      <c r="AK7" s="52">
        <v>733</v>
      </c>
      <c r="AL7" s="52">
        <v>5032</v>
      </c>
      <c r="AM7" s="52">
        <v>7359</v>
      </c>
      <c r="AN7" s="52">
        <v>697</v>
      </c>
      <c r="AO7" s="52">
        <v>8056</v>
      </c>
      <c r="AP7" s="52">
        <v>6904</v>
      </c>
      <c r="AQ7" s="52">
        <v>772</v>
      </c>
      <c r="AR7" s="52">
        <v>7676</v>
      </c>
      <c r="AS7" s="52">
        <v>10170</v>
      </c>
      <c r="AT7" s="52">
        <v>1259</v>
      </c>
      <c r="AU7" s="52">
        <v>11429</v>
      </c>
      <c r="AV7" s="52">
        <v>7867</v>
      </c>
      <c r="AW7" s="52">
        <v>884</v>
      </c>
      <c r="AX7" s="52">
        <v>8751</v>
      </c>
      <c r="AY7" s="52">
        <v>2757</v>
      </c>
      <c r="AZ7" s="52">
        <v>194</v>
      </c>
      <c r="BA7" s="52">
        <v>2951</v>
      </c>
      <c r="BB7" s="52">
        <v>9631</v>
      </c>
      <c r="BC7" s="52">
        <v>1011</v>
      </c>
      <c r="BD7" s="52">
        <v>10642</v>
      </c>
      <c r="BE7" s="52">
        <v>7592</v>
      </c>
      <c r="BF7" s="52">
        <v>808</v>
      </c>
      <c r="BG7" s="52">
        <v>8400</v>
      </c>
      <c r="BV7" s="52">
        <f t="shared" si="0"/>
        <v>52280</v>
      </c>
      <c r="BW7" s="52">
        <f t="shared" si="1"/>
        <v>5625</v>
      </c>
      <c r="BX7" s="314">
        <f t="shared" si="2"/>
        <v>0.10759372609028309</v>
      </c>
    </row>
    <row r="8" spans="1:76" x14ac:dyDescent="0.2">
      <c r="A8" s="52" t="s">
        <v>567</v>
      </c>
      <c r="B8" s="52">
        <v>13165</v>
      </c>
      <c r="C8" s="52">
        <v>0</v>
      </c>
      <c r="F8" s="52">
        <v>0</v>
      </c>
      <c r="I8" s="52">
        <v>0</v>
      </c>
      <c r="L8" s="52">
        <v>0</v>
      </c>
      <c r="O8" s="52">
        <v>0</v>
      </c>
      <c r="R8" s="52">
        <v>0</v>
      </c>
      <c r="U8" s="52">
        <v>0</v>
      </c>
      <c r="X8" s="52">
        <v>0</v>
      </c>
      <c r="AA8" s="52">
        <v>0</v>
      </c>
      <c r="AD8" s="52">
        <v>0</v>
      </c>
      <c r="AG8" s="52">
        <v>0</v>
      </c>
      <c r="AJ8" s="52">
        <v>0</v>
      </c>
      <c r="AM8" s="52">
        <v>0</v>
      </c>
      <c r="AP8" s="52">
        <v>0</v>
      </c>
      <c r="AS8" s="52">
        <v>0</v>
      </c>
      <c r="AV8" s="52">
        <v>0</v>
      </c>
      <c r="AY8" s="52">
        <v>0</v>
      </c>
      <c r="BB8" s="52">
        <v>0</v>
      </c>
      <c r="BE8" s="52">
        <v>9</v>
      </c>
      <c r="BF8" s="52">
        <v>0</v>
      </c>
      <c r="BG8" s="52">
        <v>9</v>
      </c>
      <c r="BV8" s="52">
        <f t="shared" si="0"/>
        <v>9</v>
      </c>
      <c r="BW8" s="52">
        <f t="shared" si="1"/>
        <v>0</v>
      </c>
      <c r="BX8" s="314">
        <f t="shared" si="2"/>
        <v>0</v>
      </c>
    </row>
    <row r="9" spans="1:76" x14ac:dyDescent="0.2">
      <c r="A9" s="52" t="s">
        <v>568</v>
      </c>
      <c r="B9" s="52">
        <v>13166</v>
      </c>
      <c r="C9" s="52">
        <v>0</v>
      </c>
      <c r="F9" s="52">
        <v>0</v>
      </c>
      <c r="I9" s="52">
        <v>0</v>
      </c>
      <c r="L9" s="52">
        <v>0</v>
      </c>
      <c r="O9" s="52">
        <v>0</v>
      </c>
      <c r="R9" s="52">
        <v>0</v>
      </c>
      <c r="U9" s="52">
        <v>0</v>
      </c>
      <c r="X9" s="52">
        <v>0</v>
      </c>
      <c r="AA9" s="52">
        <v>0</v>
      </c>
      <c r="AD9" s="52">
        <v>0</v>
      </c>
      <c r="AG9" s="52">
        <v>0</v>
      </c>
      <c r="AJ9" s="52">
        <v>0</v>
      </c>
      <c r="AM9" s="52">
        <v>0</v>
      </c>
      <c r="AP9" s="52">
        <v>0</v>
      </c>
      <c r="AS9" s="52">
        <v>0</v>
      </c>
      <c r="AV9" s="52">
        <v>0</v>
      </c>
      <c r="AY9" s="52">
        <v>0</v>
      </c>
      <c r="BB9" s="52">
        <v>0</v>
      </c>
      <c r="BE9" s="52">
        <v>7</v>
      </c>
      <c r="BF9" s="52">
        <v>0</v>
      </c>
      <c r="BG9" s="52">
        <v>7</v>
      </c>
      <c r="BV9" s="52">
        <f t="shared" si="0"/>
        <v>7</v>
      </c>
      <c r="BW9" s="52">
        <f t="shared" si="1"/>
        <v>0</v>
      </c>
      <c r="BX9" s="314">
        <f t="shared" si="2"/>
        <v>0</v>
      </c>
    </row>
    <row r="10" spans="1:76" x14ac:dyDescent="0.2">
      <c r="A10" s="52" t="s">
        <v>212</v>
      </c>
      <c r="B10" s="52">
        <v>13060</v>
      </c>
      <c r="C10" s="52">
        <v>1798</v>
      </c>
      <c r="D10" s="52">
        <v>761</v>
      </c>
      <c r="E10" s="52">
        <v>2559</v>
      </c>
      <c r="F10" s="52">
        <v>3171</v>
      </c>
      <c r="G10" s="52">
        <v>1202</v>
      </c>
      <c r="H10" s="52">
        <v>4373</v>
      </c>
      <c r="I10" s="52">
        <v>1050</v>
      </c>
      <c r="J10" s="52">
        <v>234</v>
      </c>
      <c r="K10" s="52">
        <v>1284</v>
      </c>
      <c r="L10" s="52">
        <v>2895</v>
      </c>
      <c r="M10" s="52">
        <v>531</v>
      </c>
      <c r="N10" s="52">
        <v>3426</v>
      </c>
      <c r="O10" s="52">
        <v>2944</v>
      </c>
      <c r="P10" s="52">
        <v>536</v>
      </c>
      <c r="Q10" s="52">
        <v>3480</v>
      </c>
      <c r="R10" s="52">
        <v>3916</v>
      </c>
      <c r="S10" s="52">
        <v>760</v>
      </c>
      <c r="T10" s="52">
        <v>4676</v>
      </c>
      <c r="U10" s="52">
        <v>1785</v>
      </c>
      <c r="V10" s="52">
        <v>212</v>
      </c>
      <c r="W10" s="52">
        <v>1997</v>
      </c>
      <c r="X10" s="52">
        <v>3346</v>
      </c>
      <c r="Y10" s="52">
        <v>464</v>
      </c>
      <c r="Z10" s="52">
        <v>3810</v>
      </c>
      <c r="AA10" s="52">
        <v>3485</v>
      </c>
      <c r="AB10" s="52">
        <v>526</v>
      </c>
      <c r="AC10" s="52">
        <v>4011</v>
      </c>
      <c r="AD10" s="52">
        <v>1172</v>
      </c>
      <c r="AE10" s="52">
        <v>136</v>
      </c>
      <c r="AF10" s="52">
        <v>1308</v>
      </c>
      <c r="AG10" s="52">
        <v>1686</v>
      </c>
      <c r="AH10" s="52">
        <v>229</v>
      </c>
      <c r="AI10" s="52">
        <v>1915</v>
      </c>
      <c r="AJ10" s="52">
        <v>2215</v>
      </c>
      <c r="AK10" s="52">
        <v>345</v>
      </c>
      <c r="AL10" s="52">
        <v>2560</v>
      </c>
      <c r="AM10" s="52">
        <v>1965</v>
      </c>
      <c r="AN10" s="52">
        <v>266</v>
      </c>
      <c r="AO10" s="52">
        <v>2231</v>
      </c>
      <c r="AP10" s="52">
        <v>3070</v>
      </c>
      <c r="AQ10" s="52">
        <v>406</v>
      </c>
      <c r="AR10" s="52">
        <v>3476</v>
      </c>
      <c r="AS10" s="52">
        <v>4674</v>
      </c>
      <c r="AT10" s="52">
        <v>785</v>
      </c>
      <c r="AU10" s="52">
        <v>5459</v>
      </c>
      <c r="AV10" s="52">
        <v>1487</v>
      </c>
      <c r="AW10" s="52">
        <v>163</v>
      </c>
      <c r="AX10" s="52">
        <v>1650</v>
      </c>
      <c r="AY10" s="52">
        <v>5466</v>
      </c>
      <c r="AZ10" s="52">
        <v>1301</v>
      </c>
      <c r="BA10" s="52">
        <v>6767</v>
      </c>
      <c r="BB10" s="52">
        <v>1415</v>
      </c>
      <c r="BC10" s="52">
        <v>154</v>
      </c>
      <c r="BD10" s="52">
        <v>1569</v>
      </c>
      <c r="BE10" s="52">
        <v>1606</v>
      </c>
      <c r="BF10" s="52">
        <v>173</v>
      </c>
      <c r="BG10" s="52">
        <v>1779</v>
      </c>
      <c r="BV10" s="52">
        <f t="shared" si="0"/>
        <v>19683</v>
      </c>
      <c r="BW10" s="52">
        <f t="shared" si="1"/>
        <v>3248</v>
      </c>
      <c r="BX10" s="314">
        <f t="shared" si="2"/>
        <v>0.1650154956053447</v>
      </c>
    </row>
    <row r="11" spans="1:76" x14ac:dyDescent="0.2">
      <c r="A11" s="52" t="s">
        <v>213</v>
      </c>
      <c r="B11" s="52">
        <v>13061</v>
      </c>
      <c r="C11" s="52">
        <v>4932</v>
      </c>
      <c r="D11" s="52">
        <v>321</v>
      </c>
      <c r="E11" s="52">
        <v>5253</v>
      </c>
      <c r="F11" s="52">
        <v>5288</v>
      </c>
      <c r="G11" s="52">
        <v>405</v>
      </c>
      <c r="H11" s="52">
        <v>5693</v>
      </c>
      <c r="I11" s="52">
        <v>5463</v>
      </c>
      <c r="J11" s="52">
        <v>342</v>
      </c>
      <c r="K11" s="52">
        <v>5805</v>
      </c>
      <c r="L11" s="52">
        <v>7327</v>
      </c>
      <c r="M11" s="52">
        <v>603</v>
      </c>
      <c r="N11" s="52">
        <v>7930</v>
      </c>
      <c r="O11" s="52">
        <v>5089</v>
      </c>
      <c r="P11" s="52">
        <v>700</v>
      </c>
      <c r="Q11" s="52">
        <v>5789</v>
      </c>
      <c r="R11" s="52">
        <v>4975</v>
      </c>
      <c r="S11" s="52">
        <v>613</v>
      </c>
      <c r="T11" s="52">
        <v>5588</v>
      </c>
      <c r="U11" s="52">
        <v>5938</v>
      </c>
      <c r="V11" s="52">
        <v>288</v>
      </c>
      <c r="W11" s="52">
        <v>6226</v>
      </c>
      <c r="X11" s="52">
        <v>6216</v>
      </c>
      <c r="Y11" s="52">
        <v>514</v>
      </c>
      <c r="Z11" s="52">
        <v>6730</v>
      </c>
      <c r="AA11" s="52">
        <v>6486</v>
      </c>
      <c r="AB11" s="52">
        <v>655</v>
      </c>
      <c r="AC11" s="52">
        <v>7141</v>
      </c>
      <c r="AD11" s="52">
        <v>6273</v>
      </c>
      <c r="AE11" s="52">
        <v>501</v>
      </c>
      <c r="AF11" s="52">
        <v>6774</v>
      </c>
      <c r="AG11" s="52">
        <v>5648</v>
      </c>
      <c r="AH11" s="52">
        <v>324</v>
      </c>
      <c r="AI11" s="52">
        <v>5972</v>
      </c>
      <c r="AJ11" s="52">
        <v>4351</v>
      </c>
      <c r="AK11" s="52">
        <v>358</v>
      </c>
      <c r="AL11" s="52">
        <v>4709</v>
      </c>
      <c r="AM11" s="52">
        <v>7141</v>
      </c>
      <c r="AN11" s="52">
        <v>166</v>
      </c>
      <c r="AO11" s="52">
        <v>7307</v>
      </c>
      <c r="AP11" s="52">
        <v>2762</v>
      </c>
      <c r="AQ11" s="52">
        <v>295</v>
      </c>
      <c r="AR11" s="52">
        <v>3057</v>
      </c>
      <c r="AS11" s="52">
        <v>5634</v>
      </c>
      <c r="AT11" s="52">
        <v>541</v>
      </c>
      <c r="AU11" s="52">
        <v>6175</v>
      </c>
      <c r="AV11" s="52">
        <v>6880</v>
      </c>
      <c r="AW11" s="52">
        <v>321</v>
      </c>
      <c r="AX11" s="52">
        <v>7201</v>
      </c>
      <c r="AY11" s="52">
        <v>9109</v>
      </c>
      <c r="AZ11" s="52">
        <v>829</v>
      </c>
      <c r="BA11" s="52">
        <v>9938</v>
      </c>
      <c r="BB11" s="52">
        <v>5203</v>
      </c>
      <c r="BC11" s="52">
        <v>233</v>
      </c>
      <c r="BD11" s="52">
        <v>5436</v>
      </c>
      <c r="BE11" s="52">
        <v>5044</v>
      </c>
      <c r="BF11" s="52">
        <v>240</v>
      </c>
      <c r="BG11" s="52">
        <v>5284</v>
      </c>
      <c r="BV11" s="52">
        <f t="shared" si="0"/>
        <v>41773</v>
      </c>
      <c r="BW11" s="52">
        <f t="shared" si="1"/>
        <v>2625</v>
      </c>
      <c r="BX11" s="314">
        <f t="shared" si="2"/>
        <v>6.2839633255930866E-2</v>
      </c>
    </row>
    <row r="12" spans="1:76" x14ac:dyDescent="0.2">
      <c r="A12" s="52" t="s">
        <v>254</v>
      </c>
      <c r="B12" s="52">
        <v>13158</v>
      </c>
      <c r="C12" s="52">
        <v>0</v>
      </c>
      <c r="F12" s="52">
        <v>0</v>
      </c>
      <c r="I12" s="52">
        <v>0</v>
      </c>
      <c r="L12" s="52">
        <v>0</v>
      </c>
      <c r="O12" s="52">
        <v>0</v>
      </c>
      <c r="R12" s="52">
        <v>0</v>
      </c>
      <c r="U12" s="52">
        <v>0</v>
      </c>
      <c r="X12" s="52">
        <v>0</v>
      </c>
      <c r="AA12" s="52">
        <v>0</v>
      </c>
      <c r="AD12" s="52">
        <v>0</v>
      </c>
      <c r="AG12" s="52">
        <v>0</v>
      </c>
      <c r="AJ12" s="52">
        <v>890</v>
      </c>
      <c r="AK12" s="52">
        <v>29</v>
      </c>
      <c r="AL12" s="52">
        <v>919</v>
      </c>
      <c r="AM12" s="52">
        <v>497</v>
      </c>
      <c r="AN12" s="52">
        <v>62</v>
      </c>
      <c r="AO12" s="52">
        <v>559</v>
      </c>
      <c r="AP12" s="52">
        <v>226</v>
      </c>
      <c r="AQ12" s="52">
        <v>6</v>
      </c>
      <c r="AR12" s="52">
        <v>232</v>
      </c>
      <c r="AS12" s="52">
        <v>548</v>
      </c>
      <c r="AT12" s="52">
        <v>40</v>
      </c>
      <c r="AU12" s="52">
        <v>588</v>
      </c>
      <c r="AV12" s="52">
        <v>678</v>
      </c>
      <c r="AW12" s="52">
        <v>56</v>
      </c>
      <c r="AX12" s="52">
        <v>734</v>
      </c>
      <c r="AY12" s="52">
        <v>1050</v>
      </c>
      <c r="AZ12" s="52">
        <v>106</v>
      </c>
      <c r="BA12" s="52">
        <v>1156</v>
      </c>
      <c r="BB12" s="52">
        <v>1126</v>
      </c>
      <c r="BC12" s="52">
        <v>99</v>
      </c>
      <c r="BD12" s="52">
        <v>1225</v>
      </c>
      <c r="BE12" s="52">
        <v>1080</v>
      </c>
      <c r="BF12" s="52">
        <v>84</v>
      </c>
      <c r="BG12" s="52">
        <v>1164</v>
      </c>
      <c r="BV12" s="52">
        <f t="shared" si="0"/>
        <v>5205</v>
      </c>
      <c r="BW12" s="52">
        <f t="shared" si="1"/>
        <v>453</v>
      </c>
      <c r="BX12" s="314">
        <f t="shared" si="2"/>
        <v>8.7031700288184438E-2</v>
      </c>
    </row>
    <row r="13" spans="1:76" x14ac:dyDescent="0.2">
      <c r="A13" s="52" t="s">
        <v>214</v>
      </c>
      <c r="B13" s="52">
        <v>13122</v>
      </c>
      <c r="C13" s="52">
        <v>87</v>
      </c>
      <c r="D13" s="52">
        <v>19</v>
      </c>
      <c r="E13" s="52">
        <v>106</v>
      </c>
      <c r="F13" s="52">
        <v>760</v>
      </c>
      <c r="G13" s="52">
        <v>110</v>
      </c>
      <c r="H13" s="52">
        <v>870</v>
      </c>
      <c r="I13" s="52">
        <v>1095</v>
      </c>
      <c r="J13" s="52">
        <v>112</v>
      </c>
      <c r="K13" s="52">
        <v>1207</v>
      </c>
      <c r="L13" s="52">
        <v>1310</v>
      </c>
      <c r="M13" s="52">
        <v>245</v>
      </c>
      <c r="N13" s="52">
        <v>1555</v>
      </c>
      <c r="O13" s="52">
        <v>1079</v>
      </c>
      <c r="P13" s="52">
        <v>160</v>
      </c>
      <c r="Q13" s="52">
        <v>1239</v>
      </c>
      <c r="R13" s="52">
        <v>1574</v>
      </c>
      <c r="S13" s="52">
        <v>188</v>
      </c>
      <c r="T13" s="52">
        <v>1762</v>
      </c>
      <c r="U13" s="52">
        <v>1639</v>
      </c>
      <c r="V13" s="52">
        <v>172</v>
      </c>
      <c r="W13" s="52">
        <v>1811</v>
      </c>
      <c r="X13" s="52">
        <v>1855</v>
      </c>
      <c r="Y13" s="52">
        <v>252</v>
      </c>
      <c r="Z13" s="52">
        <v>2107</v>
      </c>
      <c r="AA13" s="52">
        <v>1432</v>
      </c>
      <c r="AB13" s="52">
        <v>190</v>
      </c>
      <c r="AC13" s="52">
        <v>1622</v>
      </c>
      <c r="AD13" s="52">
        <v>1591</v>
      </c>
      <c r="AE13" s="52">
        <v>213</v>
      </c>
      <c r="AF13" s="52">
        <v>1804</v>
      </c>
      <c r="AG13" s="52">
        <v>1881</v>
      </c>
      <c r="AH13" s="52">
        <v>203</v>
      </c>
      <c r="AI13" s="52">
        <v>2084</v>
      </c>
      <c r="AJ13" s="52">
        <v>473</v>
      </c>
      <c r="AK13" s="52">
        <v>26</v>
      </c>
      <c r="AL13" s="52">
        <v>499</v>
      </c>
      <c r="AM13" s="52">
        <v>1562</v>
      </c>
      <c r="AN13" s="52">
        <v>136</v>
      </c>
      <c r="AO13" s="52">
        <v>1698</v>
      </c>
      <c r="AP13" s="52">
        <v>1641</v>
      </c>
      <c r="AQ13" s="52">
        <v>187</v>
      </c>
      <c r="AR13" s="52">
        <v>1828</v>
      </c>
      <c r="AS13" s="52">
        <v>1750</v>
      </c>
      <c r="AT13" s="52">
        <v>157</v>
      </c>
      <c r="AU13" s="52">
        <v>1907</v>
      </c>
      <c r="AV13" s="52">
        <v>1104</v>
      </c>
      <c r="AW13" s="52">
        <v>101</v>
      </c>
      <c r="AX13" s="52">
        <v>1205</v>
      </c>
      <c r="AY13" s="52">
        <v>18</v>
      </c>
      <c r="AZ13" s="52">
        <v>0</v>
      </c>
      <c r="BA13" s="52">
        <v>18</v>
      </c>
      <c r="BB13" s="52">
        <v>176</v>
      </c>
      <c r="BC13" s="52">
        <v>7</v>
      </c>
      <c r="BD13" s="52">
        <v>183</v>
      </c>
      <c r="BE13" s="52">
        <v>2479</v>
      </c>
      <c r="BF13" s="52">
        <v>252</v>
      </c>
      <c r="BG13" s="52">
        <v>2731</v>
      </c>
      <c r="BV13" s="52">
        <f t="shared" si="0"/>
        <v>8730</v>
      </c>
      <c r="BW13" s="52">
        <f t="shared" si="1"/>
        <v>840</v>
      </c>
      <c r="BX13" s="314">
        <f t="shared" si="2"/>
        <v>9.6219931271477668E-2</v>
      </c>
    </row>
    <row r="14" spans="1:76" x14ac:dyDescent="0.2">
      <c r="A14" s="52" t="s">
        <v>255</v>
      </c>
      <c r="B14" s="52">
        <v>13007</v>
      </c>
      <c r="C14" s="52">
        <v>0</v>
      </c>
      <c r="F14" s="52">
        <v>0</v>
      </c>
      <c r="I14" s="52">
        <v>0</v>
      </c>
      <c r="L14" s="52">
        <v>0</v>
      </c>
      <c r="O14" s="52">
        <v>0</v>
      </c>
      <c r="R14" s="52">
        <v>0</v>
      </c>
      <c r="U14" s="52">
        <v>0</v>
      </c>
      <c r="X14" s="52">
        <v>0</v>
      </c>
      <c r="AA14" s="52">
        <v>0</v>
      </c>
      <c r="AD14" s="52">
        <v>0</v>
      </c>
      <c r="AG14" s="52">
        <v>0</v>
      </c>
      <c r="AJ14" s="52">
        <v>0</v>
      </c>
      <c r="AM14" s="52">
        <v>0</v>
      </c>
      <c r="AP14" s="52">
        <v>0</v>
      </c>
      <c r="AS14" s="52">
        <v>0</v>
      </c>
      <c r="AV14" s="52">
        <v>0</v>
      </c>
      <c r="AY14" s="52">
        <v>0</v>
      </c>
      <c r="BB14" s="52">
        <v>0</v>
      </c>
      <c r="BE14" s="52">
        <v>0</v>
      </c>
      <c r="BV14" s="52">
        <f t="shared" si="0"/>
        <v>0</v>
      </c>
      <c r="BW14" s="52">
        <f t="shared" si="1"/>
        <v>0</v>
      </c>
      <c r="BX14" s="314" t="e">
        <f t="shared" si="2"/>
        <v>#DIV/0!</v>
      </c>
    </row>
    <row r="15" spans="1:76" x14ac:dyDescent="0.2">
      <c r="A15" s="52" t="s">
        <v>215</v>
      </c>
      <c r="B15" s="52">
        <v>13042</v>
      </c>
      <c r="C15" s="52">
        <v>0</v>
      </c>
      <c r="F15" s="52">
        <v>0</v>
      </c>
      <c r="I15" s="52">
        <v>0</v>
      </c>
      <c r="L15" s="52">
        <v>0</v>
      </c>
      <c r="O15" s="52">
        <v>0</v>
      </c>
      <c r="R15" s="52">
        <v>0</v>
      </c>
      <c r="U15" s="52">
        <v>0</v>
      </c>
      <c r="X15" s="52">
        <v>0</v>
      </c>
      <c r="AA15" s="52">
        <v>0</v>
      </c>
      <c r="AD15" s="52">
        <v>0</v>
      </c>
      <c r="AG15" s="52">
        <v>0</v>
      </c>
      <c r="AJ15" s="52">
        <v>0</v>
      </c>
      <c r="AM15" s="52">
        <v>0</v>
      </c>
      <c r="AP15" s="52">
        <v>0</v>
      </c>
      <c r="AS15" s="52">
        <v>0</v>
      </c>
      <c r="AV15" s="52">
        <v>0</v>
      </c>
      <c r="AY15" s="52">
        <v>0</v>
      </c>
      <c r="BB15" s="52">
        <v>0</v>
      </c>
      <c r="BE15" s="52">
        <v>0</v>
      </c>
      <c r="BV15" s="52">
        <f t="shared" si="0"/>
        <v>0</v>
      </c>
      <c r="BW15" s="52">
        <f t="shared" si="1"/>
        <v>0</v>
      </c>
      <c r="BX15" s="314" t="e">
        <f t="shared" si="2"/>
        <v>#DIV/0!</v>
      </c>
    </row>
    <row r="16" spans="1:76" x14ac:dyDescent="0.2">
      <c r="A16" s="52" t="s">
        <v>216</v>
      </c>
      <c r="B16" s="52">
        <v>13044</v>
      </c>
      <c r="C16" s="52">
        <v>0</v>
      </c>
      <c r="F16" s="52">
        <v>0</v>
      </c>
      <c r="I16" s="52">
        <v>0</v>
      </c>
      <c r="L16" s="52">
        <v>0</v>
      </c>
      <c r="O16" s="52">
        <v>0</v>
      </c>
      <c r="R16" s="52">
        <v>0</v>
      </c>
      <c r="U16" s="52">
        <v>0</v>
      </c>
      <c r="X16" s="52">
        <v>0</v>
      </c>
      <c r="AA16" s="52">
        <v>0</v>
      </c>
      <c r="AD16" s="52">
        <v>0</v>
      </c>
      <c r="AG16" s="52">
        <v>0</v>
      </c>
      <c r="AJ16" s="52">
        <v>0</v>
      </c>
      <c r="AM16" s="52">
        <v>0</v>
      </c>
      <c r="AP16" s="52">
        <v>0</v>
      </c>
      <c r="AS16" s="52">
        <v>0</v>
      </c>
      <c r="AV16" s="52">
        <v>0</v>
      </c>
      <c r="AY16" s="52">
        <v>0</v>
      </c>
      <c r="BB16" s="52">
        <v>0</v>
      </c>
      <c r="BE16" s="52">
        <v>0</v>
      </c>
      <c r="BV16" s="52">
        <f t="shared" si="0"/>
        <v>0</v>
      </c>
      <c r="BW16" s="52">
        <f t="shared" si="1"/>
        <v>0</v>
      </c>
      <c r="BX16" s="314" t="e">
        <f t="shared" si="2"/>
        <v>#DIV/0!</v>
      </c>
    </row>
    <row r="17" spans="1:76" x14ac:dyDescent="0.2">
      <c r="A17" s="52" t="s">
        <v>217</v>
      </c>
      <c r="B17" s="52">
        <v>13137</v>
      </c>
      <c r="C17" s="52">
        <v>224</v>
      </c>
      <c r="D17" s="52">
        <v>10</v>
      </c>
      <c r="E17" s="52">
        <v>234</v>
      </c>
      <c r="F17" s="52">
        <v>128</v>
      </c>
      <c r="G17" s="52">
        <v>12</v>
      </c>
      <c r="H17" s="52">
        <v>140</v>
      </c>
      <c r="I17" s="52">
        <v>253</v>
      </c>
      <c r="J17" s="52">
        <v>33</v>
      </c>
      <c r="K17" s="52">
        <v>286</v>
      </c>
      <c r="L17" s="52">
        <v>217</v>
      </c>
      <c r="M17" s="52">
        <v>76</v>
      </c>
      <c r="N17" s="52">
        <v>293</v>
      </c>
      <c r="O17" s="52">
        <v>202</v>
      </c>
      <c r="P17" s="52">
        <v>75</v>
      </c>
      <c r="Q17" s="52">
        <v>277</v>
      </c>
      <c r="R17" s="52">
        <v>173</v>
      </c>
      <c r="S17" s="52">
        <v>98</v>
      </c>
      <c r="T17" s="52">
        <v>271</v>
      </c>
      <c r="U17" s="52">
        <v>279</v>
      </c>
      <c r="V17" s="52">
        <v>64</v>
      </c>
      <c r="W17" s="52">
        <v>343</v>
      </c>
      <c r="X17" s="52">
        <v>245</v>
      </c>
      <c r="Y17" s="52">
        <v>64</v>
      </c>
      <c r="Z17" s="52">
        <v>309</v>
      </c>
      <c r="AA17" s="52">
        <v>212</v>
      </c>
      <c r="AB17" s="52">
        <v>53</v>
      </c>
      <c r="AC17" s="52">
        <v>265</v>
      </c>
      <c r="AD17" s="52">
        <v>266</v>
      </c>
      <c r="AE17" s="52">
        <v>70</v>
      </c>
      <c r="AF17" s="52">
        <v>336</v>
      </c>
      <c r="AG17" s="52">
        <v>232</v>
      </c>
      <c r="AH17" s="52">
        <v>48</v>
      </c>
      <c r="AI17" s="52">
        <v>280</v>
      </c>
      <c r="AJ17" s="52">
        <v>270</v>
      </c>
      <c r="AK17" s="52">
        <v>64</v>
      </c>
      <c r="AL17" s="52">
        <v>334</v>
      </c>
      <c r="AM17" s="52">
        <v>300</v>
      </c>
      <c r="AN17" s="52">
        <v>51</v>
      </c>
      <c r="AO17" s="52">
        <v>351</v>
      </c>
      <c r="AP17" s="52">
        <v>247</v>
      </c>
      <c r="AQ17" s="52">
        <v>33</v>
      </c>
      <c r="AR17" s="52">
        <v>280</v>
      </c>
      <c r="AS17" s="52">
        <v>272</v>
      </c>
      <c r="AT17" s="52">
        <v>31</v>
      </c>
      <c r="AU17" s="52">
        <v>303</v>
      </c>
      <c r="AV17" s="52">
        <v>158</v>
      </c>
      <c r="AW17" s="52">
        <v>21</v>
      </c>
      <c r="AX17" s="52">
        <v>179</v>
      </c>
      <c r="AY17" s="52">
        <v>158</v>
      </c>
      <c r="AZ17" s="52">
        <v>22</v>
      </c>
      <c r="BA17" s="52">
        <v>180</v>
      </c>
      <c r="BB17" s="52">
        <v>120</v>
      </c>
      <c r="BC17" s="52">
        <v>9</v>
      </c>
      <c r="BD17" s="52">
        <v>129</v>
      </c>
      <c r="BE17" s="52">
        <v>32</v>
      </c>
      <c r="BF17" s="52">
        <v>3</v>
      </c>
      <c r="BG17" s="52">
        <v>35</v>
      </c>
      <c r="BV17" s="52">
        <f t="shared" si="0"/>
        <v>1287</v>
      </c>
      <c r="BW17" s="52">
        <f t="shared" si="1"/>
        <v>170</v>
      </c>
      <c r="BX17" s="314">
        <f t="shared" si="2"/>
        <v>0.1320901320901321</v>
      </c>
    </row>
    <row r="18" spans="1:76" x14ac:dyDescent="0.2">
      <c r="A18" s="52" t="s">
        <v>218</v>
      </c>
      <c r="B18" s="52">
        <v>13138</v>
      </c>
      <c r="C18" s="52">
        <v>141</v>
      </c>
      <c r="D18" s="52">
        <v>18</v>
      </c>
      <c r="E18" s="52">
        <v>159</v>
      </c>
      <c r="F18" s="52">
        <v>155</v>
      </c>
      <c r="G18" s="52">
        <v>21</v>
      </c>
      <c r="H18" s="52">
        <v>176</v>
      </c>
      <c r="I18" s="52">
        <v>399</v>
      </c>
      <c r="J18" s="52">
        <v>45</v>
      </c>
      <c r="K18" s="52">
        <v>444</v>
      </c>
      <c r="L18" s="52">
        <v>483</v>
      </c>
      <c r="M18" s="52">
        <v>68</v>
      </c>
      <c r="N18" s="52">
        <v>551</v>
      </c>
      <c r="O18" s="52">
        <v>597</v>
      </c>
      <c r="P18" s="52">
        <v>83</v>
      </c>
      <c r="Q18" s="52">
        <v>680</v>
      </c>
      <c r="R18" s="52">
        <v>747</v>
      </c>
      <c r="S18" s="52">
        <v>113</v>
      </c>
      <c r="T18" s="52">
        <v>860</v>
      </c>
      <c r="U18" s="52">
        <v>822</v>
      </c>
      <c r="V18" s="52">
        <v>99</v>
      </c>
      <c r="W18" s="52">
        <v>921</v>
      </c>
      <c r="X18" s="52">
        <v>1084</v>
      </c>
      <c r="Y18" s="52">
        <v>179</v>
      </c>
      <c r="Z18" s="52">
        <v>1263</v>
      </c>
      <c r="AA18" s="52">
        <v>805</v>
      </c>
      <c r="AB18" s="52">
        <v>143</v>
      </c>
      <c r="AC18" s="52">
        <v>948</v>
      </c>
      <c r="AD18" s="52">
        <v>1109</v>
      </c>
      <c r="AE18" s="52">
        <v>174</v>
      </c>
      <c r="AF18" s="52">
        <v>1283</v>
      </c>
      <c r="AG18" s="52">
        <v>972</v>
      </c>
      <c r="AH18" s="52">
        <v>109</v>
      </c>
      <c r="AI18" s="52">
        <v>1081</v>
      </c>
      <c r="AJ18" s="52">
        <v>966</v>
      </c>
      <c r="AK18" s="52">
        <v>106</v>
      </c>
      <c r="AL18" s="52">
        <v>1072</v>
      </c>
      <c r="AM18" s="52">
        <v>1104</v>
      </c>
      <c r="AN18" s="52">
        <v>141</v>
      </c>
      <c r="AO18" s="52">
        <v>1245</v>
      </c>
      <c r="AP18" s="52">
        <v>964</v>
      </c>
      <c r="AQ18" s="52">
        <v>156</v>
      </c>
      <c r="AR18" s="52">
        <v>1120</v>
      </c>
      <c r="AS18" s="52">
        <v>214</v>
      </c>
      <c r="AT18" s="52">
        <v>21</v>
      </c>
      <c r="AU18" s="52">
        <v>235</v>
      </c>
      <c r="AV18" s="52">
        <v>1805</v>
      </c>
      <c r="AW18" s="52">
        <v>223</v>
      </c>
      <c r="AX18" s="52">
        <v>2028</v>
      </c>
      <c r="AY18" s="52">
        <v>959</v>
      </c>
      <c r="AZ18" s="52">
        <v>163</v>
      </c>
      <c r="BA18" s="52">
        <v>1122</v>
      </c>
      <c r="BB18" s="52">
        <v>-448</v>
      </c>
      <c r="BC18" s="52">
        <v>0</v>
      </c>
      <c r="BD18" s="52">
        <v>-448</v>
      </c>
      <c r="BE18" s="52">
        <v>0</v>
      </c>
      <c r="BF18" s="52">
        <v>0</v>
      </c>
      <c r="BG18" s="52">
        <v>0</v>
      </c>
      <c r="BV18" s="52">
        <f t="shared" si="0"/>
        <v>4598</v>
      </c>
      <c r="BW18" s="52">
        <f t="shared" si="1"/>
        <v>704</v>
      </c>
      <c r="BX18" s="314">
        <f t="shared" si="2"/>
        <v>0.15311004784688995</v>
      </c>
    </row>
    <row r="19" spans="1:76" x14ac:dyDescent="0.2">
      <c r="A19" s="52" t="s">
        <v>219</v>
      </c>
      <c r="B19" s="52">
        <v>13112</v>
      </c>
      <c r="C19" s="52">
        <v>1463</v>
      </c>
      <c r="D19" s="52">
        <v>271</v>
      </c>
      <c r="E19" s="52">
        <v>1734</v>
      </c>
      <c r="F19" s="52">
        <v>2611</v>
      </c>
      <c r="G19" s="52">
        <v>310</v>
      </c>
      <c r="H19" s="52">
        <v>2921</v>
      </c>
      <c r="I19" s="52">
        <v>3097</v>
      </c>
      <c r="J19" s="52">
        <v>461</v>
      </c>
      <c r="K19" s="52">
        <v>3558</v>
      </c>
      <c r="L19" s="52">
        <v>2090</v>
      </c>
      <c r="M19" s="52">
        <v>322</v>
      </c>
      <c r="N19" s="52">
        <v>2412</v>
      </c>
      <c r="O19" s="52">
        <v>2339</v>
      </c>
      <c r="P19" s="52">
        <v>403</v>
      </c>
      <c r="Q19" s="52">
        <v>2742</v>
      </c>
      <c r="R19" s="52">
        <v>3051</v>
      </c>
      <c r="S19" s="52">
        <v>510</v>
      </c>
      <c r="T19" s="52">
        <v>3561</v>
      </c>
      <c r="U19" s="52">
        <v>2109</v>
      </c>
      <c r="V19" s="52">
        <v>286</v>
      </c>
      <c r="W19" s="52">
        <v>2395</v>
      </c>
      <c r="X19" s="52">
        <v>2798</v>
      </c>
      <c r="Y19" s="52">
        <v>486</v>
      </c>
      <c r="Z19" s="52">
        <v>3284</v>
      </c>
      <c r="AA19" s="52">
        <v>2346</v>
      </c>
      <c r="AB19" s="52">
        <v>382</v>
      </c>
      <c r="AC19" s="52">
        <v>2728</v>
      </c>
      <c r="AD19" s="52">
        <v>2537</v>
      </c>
      <c r="AE19" s="52">
        <v>416</v>
      </c>
      <c r="AF19" s="52">
        <v>2953</v>
      </c>
      <c r="AG19" s="52">
        <v>2181</v>
      </c>
      <c r="AH19" s="52">
        <v>278</v>
      </c>
      <c r="AI19" s="52">
        <v>2459</v>
      </c>
      <c r="AJ19" s="52">
        <v>2209</v>
      </c>
      <c r="AK19" s="52">
        <v>245</v>
      </c>
      <c r="AL19" s="52">
        <v>2454</v>
      </c>
      <c r="AM19" s="52">
        <v>2768</v>
      </c>
      <c r="AN19" s="52">
        <v>348</v>
      </c>
      <c r="AO19" s="52">
        <v>3116</v>
      </c>
      <c r="AP19" s="52">
        <v>2442</v>
      </c>
      <c r="AQ19" s="52">
        <v>339</v>
      </c>
      <c r="AR19" s="52">
        <v>2781</v>
      </c>
      <c r="AS19" s="52">
        <v>3014</v>
      </c>
      <c r="AT19" s="52">
        <v>414</v>
      </c>
      <c r="AU19" s="52">
        <v>3428</v>
      </c>
      <c r="AV19" s="52">
        <v>2781</v>
      </c>
      <c r="AW19" s="52">
        <v>356</v>
      </c>
      <c r="AX19" s="52">
        <v>3137</v>
      </c>
      <c r="AY19" s="52">
        <v>3205</v>
      </c>
      <c r="AZ19" s="52">
        <v>455</v>
      </c>
      <c r="BA19" s="52">
        <v>3660</v>
      </c>
      <c r="BB19" s="52">
        <v>2944</v>
      </c>
      <c r="BC19" s="52">
        <v>367</v>
      </c>
      <c r="BD19" s="52">
        <v>3311</v>
      </c>
      <c r="BE19" s="52">
        <v>2629</v>
      </c>
      <c r="BF19" s="52">
        <v>358</v>
      </c>
      <c r="BG19" s="52">
        <v>2987</v>
      </c>
      <c r="BV19" s="52">
        <f t="shared" si="0"/>
        <v>19783</v>
      </c>
      <c r="BW19" s="52">
        <f t="shared" si="1"/>
        <v>2637</v>
      </c>
      <c r="BX19" s="314">
        <f t="shared" si="2"/>
        <v>0.133296264469494</v>
      </c>
    </row>
    <row r="20" spans="1:76" x14ac:dyDescent="0.2">
      <c r="A20" s="52" t="s">
        <v>220</v>
      </c>
      <c r="B20" s="52">
        <v>13009</v>
      </c>
      <c r="C20" s="52">
        <v>49</v>
      </c>
      <c r="D20" s="52">
        <v>12</v>
      </c>
      <c r="E20" s="52">
        <v>61</v>
      </c>
      <c r="F20" s="52">
        <v>-25</v>
      </c>
      <c r="G20" s="52">
        <v>2</v>
      </c>
      <c r="H20" s="52">
        <v>-23</v>
      </c>
      <c r="I20" s="52">
        <v>81</v>
      </c>
      <c r="J20" s="52">
        <v>12</v>
      </c>
      <c r="K20" s="52">
        <v>93</v>
      </c>
      <c r="L20" s="52">
        <v>83</v>
      </c>
      <c r="M20" s="52">
        <v>27</v>
      </c>
      <c r="N20" s="52">
        <v>110</v>
      </c>
      <c r="O20" s="52">
        <v>54</v>
      </c>
      <c r="P20" s="52">
        <v>8</v>
      </c>
      <c r="Q20" s="52">
        <v>62</v>
      </c>
      <c r="R20" s="52">
        <v>97</v>
      </c>
      <c r="S20" s="52">
        <v>10</v>
      </c>
      <c r="T20" s="52">
        <v>107</v>
      </c>
      <c r="U20" s="52">
        <v>18</v>
      </c>
      <c r="V20" s="52">
        <v>8</v>
      </c>
      <c r="W20" s="52">
        <v>26</v>
      </c>
      <c r="X20" s="52">
        <v>26</v>
      </c>
      <c r="Y20" s="52">
        <v>3</v>
      </c>
      <c r="Z20" s="52">
        <v>29</v>
      </c>
      <c r="AA20" s="52">
        <v>16</v>
      </c>
      <c r="AB20" s="52">
        <v>16</v>
      </c>
      <c r="AC20" s="52">
        <v>32</v>
      </c>
      <c r="AD20" s="52">
        <v>43</v>
      </c>
      <c r="AE20" s="52">
        <v>43</v>
      </c>
      <c r="AF20" s="52">
        <v>86</v>
      </c>
      <c r="AG20" s="52">
        <v>0</v>
      </c>
      <c r="AJ20" s="52">
        <v>0</v>
      </c>
      <c r="AM20" s="52">
        <v>-44</v>
      </c>
      <c r="AN20" s="52">
        <v>0</v>
      </c>
      <c r="AO20" s="52">
        <v>-44</v>
      </c>
      <c r="AP20" s="52">
        <v>-38</v>
      </c>
      <c r="AQ20" s="52">
        <v>0</v>
      </c>
      <c r="AR20" s="52">
        <v>-38</v>
      </c>
      <c r="AS20" s="52">
        <v>-21</v>
      </c>
      <c r="AT20" s="52">
        <v>0</v>
      </c>
      <c r="AU20" s="52">
        <v>-21</v>
      </c>
      <c r="AV20" s="52">
        <v>-57</v>
      </c>
      <c r="AW20" s="52">
        <v>0</v>
      </c>
      <c r="AX20" s="52">
        <v>-57</v>
      </c>
      <c r="AY20" s="52">
        <v>-29</v>
      </c>
      <c r="AZ20" s="52">
        <v>0</v>
      </c>
      <c r="BA20" s="52">
        <v>-29</v>
      </c>
      <c r="BB20" s="52">
        <v>-2</v>
      </c>
      <c r="BC20" s="52">
        <v>0</v>
      </c>
      <c r="BD20" s="52">
        <v>-2</v>
      </c>
      <c r="BE20" s="52">
        <v>0</v>
      </c>
      <c r="BV20" s="52">
        <f t="shared" si="0"/>
        <v>-191</v>
      </c>
      <c r="BW20" s="52">
        <f t="shared" si="1"/>
        <v>0</v>
      </c>
      <c r="BX20" s="314">
        <f t="shared" si="2"/>
        <v>0</v>
      </c>
    </row>
    <row r="21" spans="1:76" x14ac:dyDescent="0.2">
      <c r="A21" s="52" t="s">
        <v>221</v>
      </c>
      <c r="B21" s="52">
        <v>13008</v>
      </c>
      <c r="C21" s="52">
        <v>0</v>
      </c>
      <c r="F21" s="52">
        <v>-2</v>
      </c>
      <c r="G21" s="52">
        <v>0</v>
      </c>
      <c r="H21" s="52">
        <v>-2</v>
      </c>
      <c r="I21" s="52">
        <v>-10</v>
      </c>
      <c r="J21" s="52">
        <v>0</v>
      </c>
      <c r="K21" s="52">
        <v>-10</v>
      </c>
      <c r="L21" s="52">
        <v>-4</v>
      </c>
      <c r="M21" s="52">
        <v>0</v>
      </c>
      <c r="N21" s="52">
        <v>-4</v>
      </c>
      <c r="O21" s="52">
        <v>0</v>
      </c>
      <c r="R21" s="52">
        <v>-1</v>
      </c>
      <c r="S21" s="52">
        <v>0</v>
      </c>
      <c r="T21" s="52">
        <v>-1</v>
      </c>
      <c r="U21" s="52">
        <v>0</v>
      </c>
      <c r="X21" s="52">
        <v>0</v>
      </c>
      <c r="AA21" s="52">
        <v>0</v>
      </c>
      <c r="AD21" s="52">
        <v>0</v>
      </c>
      <c r="AG21" s="52">
        <v>0</v>
      </c>
      <c r="AJ21" s="52">
        <v>0</v>
      </c>
      <c r="AM21" s="52">
        <v>0</v>
      </c>
      <c r="AP21" s="52">
        <v>0</v>
      </c>
      <c r="AS21" s="52">
        <v>0</v>
      </c>
      <c r="AV21" s="52">
        <v>0</v>
      </c>
      <c r="AY21" s="52">
        <v>0</v>
      </c>
      <c r="BB21" s="52">
        <v>0</v>
      </c>
      <c r="BE21" s="52">
        <v>0</v>
      </c>
      <c r="BV21" s="52">
        <f t="shared" si="0"/>
        <v>0</v>
      </c>
      <c r="BW21" s="52">
        <f t="shared" si="1"/>
        <v>0</v>
      </c>
      <c r="BX21" s="314" t="e">
        <f t="shared" si="2"/>
        <v>#DIV/0!</v>
      </c>
    </row>
    <row r="22" spans="1:76" x14ac:dyDescent="0.2">
      <c r="A22" s="52" t="s">
        <v>222</v>
      </c>
      <c r="B22" s="52">
        <v>13054</v>
      </c>
      <c r="C22" s="52">
        <v>369</v>
      </c>
      <c r="D22" s="52">
        <v>40</v>
      </c>
      <c r="E22" s="52">
        <v>409</v>
      </c>
      <c r="F22" s="52">
        <v>775</v>
      </c>
      <c r="G22" s="52">
        <v>58</v>
      </c>
      <c r="H22" s="52">
        <v>833</v>
      </c>
      <c r="I22" s="52">
        <v>576</v>
      </c>
      <c r="J22" s="52">
        <v>62</v>
      </c>
      <c r="K22" s="52">
        <v>638</v>
      </c>
      <c r="L22" s="52">
        <v>426</v>
      </c>
      <c r="M22" s="52">
        <v>32</v>
      </c>
      <c r="N22" s="52">
        <v>458</v>
      </c>
      <c r="O22" s="52">
        <v>851</v>
      </c>
      <c r="P22" s="52">
        <v>69</v>
      </c>
      <c r="Q22" s="52">
        <v>920</v>
      </c>
      <c r="R22" s="52">
        <v>524</v>
      </c>
      <c r="S22" s="52">
        <v>43</v>
      </c>
      <c r="T22" s="52">
        <v>567</v>
      </c>
      <c r="U22" s="52">
        <v>467</v>
      </c>
      <c r="V22" s="52">
        <v>40</v>
      </c>
      <c r="W22" s="52">
        <v>507</v>
      </c>
      <c r="X22" s="52">
        <v>759</v>
      </c>
      <c r="Y22" s="52">
        <v>82</v>
      </c>
      <c r="Z22" s="52">
        <v>841</v>
      </c>
      <c r="AA22" s="52">
        <v>521</v>
      </c>
      <c r="AB22" s="52">
        <v>58</v>
      </c>
      <c r="AC22" s="52">
        <v>579</v>
      </c>
      <c r="AD22" s="52">
        <v>636</v>
      </c>
      <c r="AE22" s="52">
        <v>69</v>
      </c>
      <c r="AF22" s="52">
        <v>705</v>
      </c>
      <c r="AG22" s="52">
        <v>557</v>
      </c>
      <c r="AH22" s="52">
        <v>62</v>
      </c>
      <c r="AI22" s="52">
        <v>619</v>
      </c>
      <c r="AJ22" s="52">
        <v>52</v>
      </c>
      <c r="AK22" s="52">
        <v>3</v>
      </c>
      <c r="AL22" s="52">
        <v>55</v>
      </c>
      <c r="AM22" s="52">
        <v>448</v>
      </c>
      <c r="AN22" s="52">
        <v>43</v>
      </c>
      <c r="AO22" s="52">
        <v>491</v>
      </c>
      <c r="AP22" s="52">
        <v>955</v>
      </c>
      <c r="AQ22" s="52">
        <v>84</v>
      </c>
      <c r="AR22" s="52">
        <v>1039</v>
      </c>
      <c r="AS22" s="52">
        <v>1375</v>
      </c>
      <c r="AT22" s="52">
        <v>129</v>
      </c>
      <c r="AU22" s="52">
        <v>1504</v>
      </c>
      <c r="AV22" s="52">
        <v>462</v>
      </c>
      <c r="AW22" s="52">
        <v>53</v>
      </c>
      <c r="AX22" s="52">
        <v>515</v>
      </c>
      <c r="AY22" s="52">
        <v>813</v>
      </c>
      <c r="AZ22" s="52">
        <v>80</v>
      </c>
      <c r="BA22" s="52">
        <v>893</v>
      </c>
      <c r="BB22" s="52">
        <v>477</v>
      </c>
      <c r="BC22" s="52">
        <v>43</v>
      </c>
      <c r="BD22" s="52">
        <v>520</v>
      </c>
      <c r="BE22" s="52">
        <v>-37</v>
      </c>
      <c r="BF22" s="52">
        <v>0</v>
      </c>
      <c r="BG22" s="52">
        <v>-37</v>
      </c>
      <c r="BV22" s="52">
        <f t="shared" si="0"/>
        <v>4493</v>
      </c>
      <c r="BW22" s="52">
        <f t="shared" si="1"/>
        <v>432</v>
      </c>
      <c r="BX22" s="314">
        <f t="shared" si="2"/>
        <v>9.6149565991542396E-2</v>
      </c>
    </row>
    <row r="23" spans="1:76" x14ac:dyDescent="0.2">
      <c r="A23" s="52" t="s">
        <v>223</v>
      </c>
      <c r="B23" s="52">
        <v>13146</v>
      </c>
      <c r="C23" s="52">
        <v>0</v>
      </c>
      <c r="F23" s="52">
        <v>0</v>
      </c>
      <c r="I23" s="52">
        <v>0</v>
      </c>
      <c r="L23" s="52">
        <v>0</v>
      </c>
      <c r="O23" s="52">
        <v>0</v>
      </c>
      <c r="R23" s="52">
        <v>0</v>
      </c>
      <c r="U23" s="52">
        <v>1045</v>
      </c>
      <c r="V23" s="52">
        <v>84</v>
      </c>
      <c r="W23" s="52">
        <v>1129</v>
      </c>
      <c r="X23" s="52">
        <v>1449</v>
      </c>
      <c r="Y23" s="52">
        <v>267</v>
      </c>
      <c r="Z23" s="52">
        <v>1716</v>
      </c>
      <c r="AA23" s="52">
        <v>299</v>
      </c>
      <c r="AB23" s="52">
        <v>53</v>
      </c>
      <c r="AC23" s="52">
        <v>352</v>
      </c>
      <c r="AD23" s="52">
        <v>802</v>
      </c>
      <c r="AE23" s="52">
        <v>153</v>
      </c>
      <c r="AF23" s="52">
        <v>955</v>
      </c>
      <c r="AG23" s="52">
        <v>1256</v>
      </c>
      <c r="AH23" s="52">
        <v>192</v>
      </c>
      <c r="AI23" s="52">
        <v>1448</v>
      </c>
      <c r="AJ23" s="52">
        <v>1117</v>
      </c>
      <c r="AK23" s="52">
        <v>132</v>
      </c>
      <c r="AL23" s="52">
        <v>1249</v>
      </c>
      <c r="AM23" s="52">
        <v>1826</v>
      </c>
      <c r="AN23" s="52">
        <v>241</v>
      </c>
      <c r="AO23" s="52">
        <v>2067</v>
      </c>
      <c r="AP23" s="52">
        <v>1352</v>
      </c>
      <c r="AQ23" s="52">
        <v>186</v>
      </c>
      <c r="AR23" s="52">
        <v>1538</v>
      </c>
      <c r="AS23" s="52">
        <v>2150</v>
      </c>
      <c r="AT23" s="52">
        <v>279</v>
      </c>
      <c r="AU23" s="52">
        <v>2429</v>
      </c>
      <c r="AV23" s="52">
        <v>1238</v>
      </c>
      <c r="AW23" s="52">
        <v>150</v>
      </c>
      <c r="AX23" s="52">
        <v>1388</v>
      </c>
      <c r="AY23" s="52">
        <v>3</v>
      </c>
      <c r="AZ23" s="52">
        <v>0</v>
      </c>
      <c r="BA23" s="52">
        <v>3</v>
      </c>
      <c r="BB23" s="52">
        <v>1669</v>
      </c>
      <c r="BC23" s="52">
        <v>123</v>
      </c>
      <c r="BD23" s="52">
        <v>1792</v>
      </c>
      <c r="BE23" s="52">
        <v>2542</v>
      </c>
      <c r="BF23" s="52">
        <v>400</v>
      </c>
      <c r="BG23" s="52">
        <v>2942</v>
      </c>
      <c r="BV23" s="52">
        <f t="shared" si="0"/>
        <v>10780</v>
      </c>
      <c r="BW23" s="52">
        <f t="shared" si="1"/>
        <v>1379</v>
      </c>
      <c r="BX23" s="314">
        <f t="shared" si="2"/>
        <v>0.12792207792207791</v>
      </c>
    </row>
    <row r="24" spans="1:76" x14ac:dyDescent="0.2">
      <c r="A24" s="52" t="s">
        <v>224</v>
      </c>
      <c r="B24" s="52">
        <v>13067</v>
      </c>
      <c r="C24" s="52">
        <v>1578</v>
      </c>
      <c r="D24" s="52">
        <v>216</v>
      </c>
      <c r="E24" s="52">
        <v>1794</v>
      </c>
      <c r="F24" s="52">
        <v>2573</v>
      </c>
      <c r="G24" s="52">
        <v>364</v>
      </c>
      <c r="H24" s="52">
        <v>2937</v>
      </c>
      <c r="I24" s="52">
        <v>2416</v>
      </c>
      <c r="J24" s="52">
        <v>253</v>
      </c>
      <c r="K24" s="52">
        <v>2669</v>
      </c>
      <c r="L24" s="52">
        <v>1656</v>
      </c>
      <c r="M24" s="52">
        <v>220</v>
      </c>
      <c r="N24" s="52">
        <v>1876</v>
      </c>
      <c r="O24" s="52">
        <v>2306</v>
      </c>
      <c r="P24" s="52">
        <v>300</v>
      </c>
      <c r="Q24" s="52">
        <v>2606</v>
      </c>
      <c r="R24" s="52">
        <v>2398</v>
      </c>
      <c r="S24" s="52">
        <v>319</v>
      </c>
      <c r="T24" s="52">
        <v>2717</v>
      </c>
      <c r="U24" s="52">
        <v>1993</v>
      </c>
      <c r="V24" s="52">
        <v>242</v>
      </c>
      <c r="W24" s="52">
        <v>2235</v>
      </c>
      <c r="X24" s="52">
        <v>2767</v>
      </c>
      <c r="Y24" s="52">
        <v>389</v>
      </c>
      <c r="Z24" s="52">
        <v>3156</v>
      </c>
      <c r="AA24" s="52">
        <v>2378</v>
      </c>
      <c r="AB24" s="52">
        <v>337</v>
      </c>
      <c r="AC24" s="52">
        <v>2715</v>
      </c>
      <c r="AD24" s="52">
        <v>2553</v>
      </c>
      <c r="AE24" s="52">
        <v>358</v>
      </c>
      <c r="AF24" s="52">
        <v>2911</v>
      </c>
      <c r="AG24" s="52">
        <v>2066</v>
      </c>
      <c r="AH24" s="52">
        <v>242</v>
      </c>
      <c r="AI24" s="52">
        <v>2308</v>
      </c>
      <c r="AJ24" s="52">
        <v>1980</v>
      </c>
      <c r="AK24" s="52">
        <v>342</v>
      </c>
      <c r="AL24" s="52">
        <v>2322</v>
      </c>
      <c r="AM24" s="52">
        <v>2286</v>
      </c>
      <c r="AN24" s="52">
        <v>203</v>
      </c>
      <c r="AO24" s="52">
        <v>2489</v>
      </c>
      <c r="AP24" s="52">
        <v>2153</v>
      </c>
      <c r="AQ24" s="52">
        <v>294</v>
      </c>
      <c r="AR24" s="52">
        <v>2447</v>
      </c>
      <c r="AS24" s="52">
        <v>2631</v>
      </c>
      <c r="AT24" s="52">
        <v>280</v>
      </c>
      <c r="AU24" s="52">
        <v>2911</v>
      </c>
      <c r="AV24" s="52">
        <v>2037</v>
      </c>
      <c r="AW24" s="52">
        <v>231</v>
      </c>
      <c r="AX24" s="52">
        <v>2268</v>
      </c>
      <c r="AY24" s="52">
        <v>2485</v>
      </c>
      <c r="AZ24" s="52">
        <v>311</v>
      </c>
      <c r="BA24" s="52">
        <v>2796</v>
      </c>
      <c r="BB24" s="52">
        <v>2352</v>
      </c>
      <c r="BC24" s="52">
        <v>231</v>
      </c>
      <c r="BD24" s="52">
        <v>2583</v>
      </c>
      <c r="BE24" s="52">
        <v>2496</v>
      </c>
      <c r="BF24" s="52">
        <v>244</v>
      </c>
      <c r="BG24" s="52">
        <v>2740</v>
      </c>
      <c r="BV24" s="52">
        <f t="shared" si="0"/>
        <v>16440</v>
      </c>
      <c r="BW24" s="52">
        <f t="shared" si="1"/>
        <v>1794</v>
      </c>
      <c r="BX24" s="314">
        <f t="shared" si="2"/>
        <v>0.10912408759124087</v>
      </c>
    </row>
    <row r="25" spans="1:76" x14ac:dyDescent="0.2">
      <c r="A25" s="52" t="s">
        <v>225</v>
      </c>
      <c r="B25" s="52">
        <v>13068</v>
      </c>
      <c r="C25" s="52">
        <v>781</v>
      </c>
      <c r="D25" s="52">
        <v>98</v>
      </c>
      <c r="E25" s="52">
        <v>879</v>
      </c>
      <c r="F25" s="52">
        <v>1405</v>
      </c>
      <c r="G25" s="52">
        <v>143</v>
      </c>
      <c r="H25" s="52">
        <v>1548</v>
      </c>
      <c r="I25" s="52">
        <v>1443</v>
      </c>
      <c r="J25" s="52">
        <v>150</v>
      </c>
      <c r="K25" s="52">
        <v>1593</v>
      </c>
      <c r="L25" s="52">
        <v>1389</v>
      </c>
      <c r="M25" s="52">
        <v>202</v>
      </c>
      <c r="N25" s="52">
        <v>1591</v>
      </c>
      <c r="O25" s="52">
        <v>795</v>
      </c>
      <c r="P25" s="52">
        <v>104</v>
      </c>
      <c r="Q25" s="52">
        <v>899</v>
      </c>
      <c r="R25" s="52">
        <v>1293</v>
      </c>
      <c r="S25" s="52">
        <v>166</v>
      </c>
      <c r="T25" s="52">
        <v>1459</v>
      </c>
      <c r="U25" s="52">
        <v>1133</v>
      </c>
      <c r="V25" s="52">
        <v>137</v>
      </c>
      <c r="W25" s="52">
        <v>1270</v>
      </c>
      <c r="X25" s="52">
        <v>1457</v>
      </c>
      <c r="Y25" s="52">
        <v>200</v>
      </c>
      <c r="Z25" s="52">
        <v>1657</v>
      </c>
      <c r="AA25" s="52">
        <v>1302</v>
      </c>
      <c r="AB25" s="52">
        <v>197</v>
      </c>
      <c r="AC25" s="52">
        <v>1499</v>
      </c>
      <c r="AD25" s="52">
        <v>1214</v>
      </c>
      <c r="AE25" s="52">
        <v>173</v>
      </c>
      <c r="AF25" s="52">
        <v>1387</v>
      </c>
      <c r="AG25" s="52">
        <v>892</v>
      </c>
      <c r="AH25" s="52">
        <v>136</v>
      </c>
      <c r="AI25" s="52">
        <v>1028</v>
      </c>
      <c r="AJ25" s="52">
        <v>1048</v>
      </c>
      <c r="AK25" s="52">
        <v>96</v>
      </c>
      <c r="AL25" s="52">
        <v>1144</v>
      </c>
      <c r="AM25" s="52">
        <v>1097</v>
      </c>
      <c r="AN25" s="52">
        <v>100</v>
      </c>
      <c r="AO25" s="52">
        <v>1197</v>
      </c>
      <c r="AP25" s="52">
        <v>1017</v>
      </c>
      <c r="AQ25" s="52">
        <v>138</v>
      </c>
      <c r="AR25" s="52">
        <v>1155</v>
      </c>
      <c r="AS25" s="52">
        <v>1192</v>
      </c>
      <c r="AT25" s="52">
        <v>126</v>
      </c>
      <c r="AU25" s="52">
        <v>1318</v>
      </c>
      <c r="AV25" s="52">
        <v>1146</v>
      </c>
      <c r="AW25" s="52">
        <v>150</v>
      </c>
      <c r="AX25" s="52">
        <v>1296</v>
      </c>
      <c r="AY25" s="52">
        <v>1073</v>
      </c>
      <c r="AZ25" s="52">
        <v>114</v>
      </c>
      <c r="BA25" s="52">
        <v>1187</v>
      </c>
      <c r="BB25" s="52">
        <v>1287</v>
      </c>
      <c r="BC25" s="52">
        <v>125</v>
      </c>
      <c r="BD25" s="52">
        <v>1412</v>
      </c>
      <c r="BE25" s="52">
        <v>1250</v>
      </c>
      <c r="BF25" s="52">
        <v>134</v>
      </c>
      <c r="BG25" s="52">
        <v>1384</v>
      </c>
      <c r="BV25" s="52">
        <f t="shared" si="0"/>
        <v>8062</v>
      </c>
      <c r="BW25" s="52">
        <f t="shared" si="1"/>
        <v>887</v>
      </c>
      <c r="BX25" s="314">
        <f t="shared" si="2"/>
        <v>0.1100223269660134</v>
      </c>
    </row>
    <row r="26" spans="1:76" x14ac:dyDescent="0.2">
      <c r="A26" s="52" t="s">
        <v>226</v>
      </c>
      <c r="B26" s="52">
        <v>13038</v>
      </c>
      <c r="C26" s="52">
        <v>1398</v>
      </c>
      <c r="D26" s="52">
        <v>147</v>
      </c>
      <c r="E26" s="52">
        <v>1545</v>
      </c>
      <c r="F26" s="52">
        <v>1647</v>
      </c>
      <c r="G26" s="52">
        <v>136</v>
      </c>
      <c r="H26" s="52">
        <v>1783</v>
      </c>
      <c r="I26" s="52">
        <v>102</v>
      </c>
      <c r="J26" s="52">
        <v>3</v>
      </c>
      <c r="K26" s="52">
        <v>105</v>
      </c>
      <c r="L26" s="52">
        <v>2369</v>
      </c>
      <c r="M26" s="52">
        <v>291</v>
      </c>
      <c r="N26" s="52">
        <v>2660</v>
      </c>
      <c r="O26" s="52">
        <v>2860</v>
      </c>
      <c r="P26" s="52">
        <v>336</v>
      </c>
      <c r="Q26" s="52">
        <v>3196</v>
      </c>
      <c r="R26" s="52">
        <v>2020</v>
      </c>
      <c r="S26" s="52">
        <v>205</v>
      </c>
      <c r="T26" s="52">
        <v>2225</v>
      </c>
      <c r="U26" s="52">
        <v>1577</v>
      </c>
      <c r="V26" s="52">
        <v>139</v>
      </c>
      <c r="W26" s="52">
        <v>1716</v>
      </c>
      <c r="X26" s="52">
        <v>2013</v>
      </c>
      <c r="Y26" s="52">
        <v>247</v>
      </c>
      <c r="Z26" s="52">
        <v>2260</v>
      </c>
      <c r="AA26" s="52">
        <v>1847</v>
      </c>
      <c r="AB26" s="52">
        <v>224</v>
      </c>
      <c r="AC26" s="52">
        <v>2071</v>
      </c>
      <c r="AD26" s="52">
        <v>2095</v>
      </c>
      <c r="AE26" s="52">
        <v>291</v>
      </c>
      <c r="AF26" s="52">
        <v>2386</v>
      </c>
      <c r="AG26" s="52">
        <v>1663</v>
      </c>
      <c r="AH26" s="52">
        <v>192</v>
      </c>
      <c r="AI26" s="52">
        <v>1855</v>
      </c>
      <c r="AJ26" s="52">
        <v>1532</v>
      </c>
      <c r="AK26" s="52">
        <v>165</v>
      </c>
      <c r="AL26" s="52">
        <v>1697</v>
      </c>
      <c r="AM26" s="52">
        <v>1135</v>
      </c>
      <c r="AN26" s="52">
        <v>95</v>
      </c>
      <c r="AO26" s="52">
        <v>1230</v>
      </c>
      <c r="AP26" s="52">
        <v>1886</v>
      </c>
      <c r="AQ26" s="52">
        <v>268</v>
      </c>
      <c r="AR26" s="52">
        <v>2154</v>
      </c>
      <c r="AS26" s="52">
        <v>1896</v>
      </c>
      <c r="AT26" s="52">
        <v>225</v>
      </c>
      <c r="AU26" s="52">
        <v>2121</v>
      </c>
      <c r="AV26" s="52">
        <v>1669</v>
      </c>
      <c r="AW26" s="52">
        <v>190</v>
      </c>
      <c r="AX26" s="52">
        <v>1859</v>
      </c>
      <c r="AY26" s="52">
        <v>1499</v>
      </c>
      <c r="AZ26" s="52">
        <v>180</v>
      </c>
      <c r="BA26" s="52">
        <v>1679</v>
      </c>
      <c r="BB26" s="52">
        <v>1622</v>
      </c>
      <c r="BC26" s="52">
        <v>162</v>
      </c>
      <c r="BD26" s="52">
        <v>1784</v>
      </c>
      <c r="BE26" s="52">
        <v>1394</v>
      </c>
      <c r="BF26" s="52">
        <v>155</v>
      </c>
      <c r="BG26" s="52">
        <v>1549</v>
      </c>
      <c r="BV26" s="52">
        <f t="shared" si="0"/>
        <v>11101</v>
      </c>
      <c r="BW26" s="52">
        <f t="shared" si="1"/>
        <v>1275</v>
      </c>
      <c r="BX26" s="314">
        <f t="shared" si="2"/>
        <v>0.11485451761102604</v>
      </c>
    </row>
    <row r="27" spans="1:76" x14ac:dyDescent="0.2">
      <c r="A27" s="52" t="s">
        <v>227</v>
      </c>
      <c r="B27" s="52">
        <v>13121</v>
      </c>
      <c r="C27" s="52">
        <v>3911</v>
      </c>
      <c r="D27" s="52">
        <v>544</v>
      </c>
      <c r="E27" s="52">
        <v>4455</v>
      </c>
      <c r="F27" s="52">
        <v>4050</v>
      </c>
      <c r="G27" s="52">
        <v>438</v>
      </c>
      <c r="H27" s="52">
        <v>4488</v>
      </c>
      <c r="I27" s="52">
        <v>4570</v>
      </c>
      <c r="J27" s="52">
        <v>490</v>
      </c>
      <c r="K27" s="52">
        <v>5060</v>
      </c>
      <c r="L27" s="52">
        <v>3604</v>
      </c>
      <c r="M27" s="52">
        <v>519</v>
      </c>
      <c r="N27" s="52">
        <v>4123</v>
      </c>
      <c r="O27" s="52">
        <v>4735</v>
      </c>
      <c r="P27" s="52">
        <v>1035</v>
      </c>
      <c r="Q27" s="52">
        <v>5770</v>
      </c>
      <c r="R27" s="52">
        <v>4729</v>
      </c>
      <c r="S27" s="52">
        <v>855</v>
      </c>
      <c r="T27" s="52">
        <v>5584</v>
      </c>
      <c r="U27" s="52">
        <v>4026</v>
      </c>
      <c r="V27" s="52">
        <v>510</v>
      </c>
      <c r="W27" s="52">
        <v>4536</v>
      </c>
      <c r="X27" s="52">
        <v>4980</v>
      </c>
      <c r="Y27" s="52">
        <v>965</v>
      </c>
      <c r="Z27" s="52">
        <v>5945</v>
      </c>
      <c r="AA27" s="52">
        <v>4013</v>
      </c>
      <c r="AB27" s="52">
        <v>742</v>
      </c>
      <c r="AC27" s="52">
        <v>4755</v>
      </c>
      <c r="AD27" s="52">
        <v>4284</v>
      </c>
      <c r="AE27" s="52">
        <v>669</v>
      </c>
      <c r="AF27" s="52">
        <v>4953</v>
      </c>
      <c r="AG27" s="52">
        <v>4736</v>
      </c>
      <c r="AH27" s="52">
        <v>639</v>
      </c>
      <c r="AI27" s="52">
        <v>5375</v>
      </c>
      <c r="AJ27" s="52">
        <v>3690</v>
      </c>
      <c r="AK27" s="52">
        <v>410</v>
      </c>
      <c r="AL27" s="52">
        <v>4100</v>
      </c>
      <c r="AM27" s="52">
        <v>5740</v>
      </c>
      <c r="AN27" s="52">
        <v>602</v>
      </c>
      <c r="AO27" s="52">
        <v>6342</v>
      </c>
      <c r="AP27" s="52">
        <v>5678</v>
      </c>
      <c r="AQ27" s="52">
        <v>857</v>
      </c>
      <c r="AR27" s="52">
        <v>6535</v>
      </c>
      <c r="AS27" s="52">
        <v>5817</v>
      </c>
      <c r="AT27" s="52">
        <v>641</v>
      </c>
      <c r="AU27" s="52">
        <v>6458</v>
      </c>
      <c r="AV27" s="52">
        <v>6214</v>
      </c>
      <c r="AW27" s="52">
        <v>684</v>
      </c>
      <c r="AX27" s="52">
        <v>6898</v>
      </c>
      <c r="AY27" s="52">
        <v>5903</v>
      </c>
      <c r="AZ27" s="52">
        <v>707</v>
      </c>
      <c r="BA27" s="52">
        <v>6610</v>
      </c>
      <c r="BB27" s="52">
        <v>5774</v>
      </c>
      <c r="BC27" s="52">
        <v>711</v>
      </c>
      <c r="BD27" s="52">
        <v>6485</v>
      </c>
      <c r="BE27" s="52">
        <v>5038</v>
      </c>
      <c r="BF27" s="52">
        <v>548</v>
      </c>
      <c r="BG27" s="52">
        <v>5586</v>
      </c>
      <c r="BV27" s="52">
        <f t="shared" si="0"/>
        <v>40164</v>
      </c>
      <c r="BW27" s="52">
        <f t="shared" si="1"/>
        <v>4750</v>
      </c>
      <c r="BX27" s="314">
        <f t="shared" si="2"/>
        <v>0.11826511303655014</v>
      </c>
    </row>
    <row r="28" spans="1:76" x14ac:dyDescent="0.2">
      <c r="A28" s="52" t="s">
        <v>228</v>
      </c>
      <c r="B28" s="52">
        <v>13079</v>
      </c>
      <c r="C28" s="52">
        <v>424</v>
      </c>
      <c r="D28" s="52">
        <v>36</v>
      </c>
      <c r="E28" s="52">
        <v>460</v>
      </c>
      <c r="F28" s="52">
        <v>236</v>
      </c>
      <c r="G28" s="52">
        <v>26</v>
      </c>
      <c r="H28" s="52">
        <v>262</v>
      </c>
      <c r="I28" s="52">
        <v>243</v>
      </c>
      <c r="J28" s="52">
        <v>27</v>
      </c>
      <c r="K28" s="52">
        <v>270</v>
      </c>
      <c r="L28" s="52">
        <v>215</v>
      </c>
      <c r="M28" s="52">
        <v>39</v>
      </c>
      <c r="N28" s="52">
        <v>254</v>
      </c>
      <c r="O28" s="52">
        <v>136</v>
      </c>
      <c r="P28" s="52">
        <v>20</v>
      </c>
      <c r="Q28" s="52">
        <v>156</v>
      </c>
      <c r="R28" s="52">
        <v>142</v>
      </c>
      <c r="S28" s="52">
        <v>28</v>
      </c>
      <c r="T28" s="52">
        <v>170</v>
      </c>
      <c r="U28" s="52">
        <v>155</v>
      </c>
      <c r="V28" s="52">
        <v>119</v>
      </c>
      <c r="W28" s="52">
        <v>274</v>
      </c>
      <c r="X28" s="52">
        <v>55</v>
      </c>
      <c r="Y28" s="52">
        <v>55</v>
      </c>
      <c r="Z28" s="52">
        <v>110</v>
      </c>
      <c r="AA28" s="52">
        <v>64</v>
      </c>
      <c r="AB28" s="52">
        <v>64</v>
      </c>
      <c r="AC28" s="52">
        <v>128</v>
      </c>
      <c r="AD28" s="52">
        <v>30</v>
      </c>
      <c r="AE28" s="52">
        <v>168</v>
      </c>
      <c r="AF28" s="52">
        <v>198</v>
      </c>
      <c r="AG28" s="52">
        <v>16</v>
      </c>
      <c r="AH28" s="52">
        <v>16</v>
      </c>
      <c r="AI28" s="52">
        <v>32</v>
      </c>
      <c r="AJ28" s="52">
        <v>-2</v>
      </c>
      <c r="AK28" s="52">
        <v>4</v>
      </c>
      <c r="AL28" s="52">
        <v>2</v>
      </c>
      <c r="AM28" s="52">
        <v>1</v>
      </c>
      <c r="AN28" s="52">
        <v>7</v>
      </c>
      <c r="AO28" s="52">
        <v>8</v>
      </c>
      <c r="AP28" s="52">
        <v>-248</v>
      </c>
      <c r="AQ28" s="52">
        <v>-1</v>
      </c>
      <c r="AR28" s="52">
        <v>-249</v>
      </c>
      <c r="AS28" s="52">
        <v>-359</v>
      </c>
      <c r="AT28" s="52">
        <v>0</v>
      </c>
      <c r="AU28" s="52">
        <v>-359</v>
      </c>
      <c r="AV28" s="52">
        <v>-481</v>
      </c>
      <c r="AW28" s="52">
        <v>0</v>
      </c>
      <c r="AX28" s="52">
        <v>-481</v>
      </c>
      <c r="AY28" s="52">
        <v>-554</v>
      </c>
      <c r="AZ28" s="52">
        <v>0</v>
      </c>
      <c r="BA28" s="52">
        <v>-554</v>
      </c>
      <c r="BB28" s="52">
        <v>-22</v>
      </c>
      <c r="BC28" s="52">
        <v>0</v>
      </c>
      <c r="BD28" s="52">
        <v>-22</v>
      </c>
      <c r="BE28" s="52">
        <v>-15</v>
      </c>
      <c r="BF28" s="52">
        <v>0</v>
      </c>
      <c r="BG28" s="52">
        <v>-15</v>
      </c>
      <c r="BV28" s="52">
        <f t="shared" si="0"/>
        <v>-1678</v>
      </c>
      <c r="BW28" s="52">
        <f t="shared" si="1"/>
        <v>6</v>
      </c>
      <c r="BX28" s="314">
        <f t="shared" si="2"/>
        <v>-3.5756853396901071E-3</v>
      </c>
    </row>
    <row r="29" spans="1:76" x14ac:dyDescent="0.2">
      <c r="A29" s="52" t="s">
        <v>229</v>
      </c>
      <c r="B29" s="52">
        <v>13049</v>
      </c>
      <c r="C29" s="52">
        <v>0</v>
      </c>
      <c r="F29" s="52">
        <v>-4</v>
      </c>
      <c r="G29" s="52">
        <v>0</v>
      </c>
      <c r="H29" s="52">
        <v>-4</v>
      </c>
      <c r="I29" s="52">
        <v>-16</v>
      </c>
      <c r="J29" s="52">
        <v>0</v>
      </c>
      <c r="K29" s="52">
        <v>-16</v>
      </c>
      <c r="L29" s="52">
        <v>-3</v>
      </c>
      <c r="M29" s="52">
        <v>0</v>
      </c>
      <c r="N29" s="52">
        <v>-3</v>
      </c>
      <c r="O29" s="52">
        <v>-22</v>
      </c>
      <c r="P29" s="52">
        <v>0</v>
      </c>
      <c r="Q29" s="52">
        <v>-22</v>
      </c>
      <c r="R29" s="52">
        <v>-8</v>
      </c>
      <c r="S29" s="52">
        <v>0</v>
      </c>
      <c r="T29" s="52">
        <v>-8</v>
      </c>
      <c r="U29" s="52">
        <v>0</v>
      </c>
      <c r="X29" s="52">
        <v>0</v>
      </c>
      <c r="AA29" s="52">
        <v>0</v>
      </c>
      <c r="AD29" s="52">
        <v>0</v>
      </c>
      <c r="AG29" s="52">
        <v>0</v>
      </c>
      <c r="AJ29" s="52">
        <v>0</v>
      </c>
      <c r="AM29" s="52">
        <v>0</v>
      </c>
      <c r="AP29" s="52">
        <v>0</v>
      </c>
      <c r="AS29" s="52">
        <v>0</v>
      </c>
      <c r="AV29" s="52">
        <v>0</v>
      </c>
      <c r="AY29" s="52">
        <v>0</v>
      </c>
      <c r="AZ29" s="52">
        <v>0</v>
      </c>
      <c r="BA29" s="52">
        <v>0</v>
      </c>
      <c r="BB29" s="52">
        <v>1</v>
      </c>
      <c r="BC29" s="52">
        <v>0</v>
      </c>
      <c r="BD29" s="52">
        <v>1</v>
      </c>
      <c r="BE29" s="52">
        <v>0</v>
      </c>
      <c r="BV29" s="52">
        <f t="shared" si="0"/>
        <v>1</v>
      </c>
      <c r="BW29" s="52">
        <f t="shared" si="1"/>
        <v>0</v>
      </c>
      <c r="BX29" s="314">
        <f t="shared" si="2"/>
        <v>0</v>
      </c>
    </row>
    <row r="30" spans="1:76" x14ac:dyDescent="0.2">
      <c r="A30" s="52" t="s">
        <v>230</v>
      </c>
      <c r="B30" s="52">
        <v>13020</v>
      </c>
      <c r="C30" s="52">
        <v>101</v>
      </c>
      <c r="D30" s="52">
        <v>40</v>
      </c>
      <c r="E30" s="52">
        <v>141</v>
      </c>
      <c r="F30" s="52">
        <v>3549</v>
      </c>
      <c r="G30" s="52">
        <v>288</v>
      </c>
      <c r="H30" s="52">
        <v>3837</v>
      </c>
      <c r="I30" s="52">
        <v>1892</v>
      </c>
      <c r="J30" s="52">
        <v>335</v>
      </c>
      <c r="K30" s="52">
        <v>2227</v>
      </c>
      <c r="L30" s="52">
        <v>2598</v>
      </c>
      <c r="M30" s="52">
        <v>519</v>
      </c>
      <c r="N30" s="52">
        <v>3117</v>
      </c>
      <c r="O30" s="52">
        <v>1979</v>
      </c>
      <c r="P30" s="52">
        <v>402</v>
      </c>
      <c r="Q30" s="52">
        <v>2381</v>
      </c>
      <c r="R30" s="52">
        <v>2556</v>
      </c>
      <c r="S30" s="52">
        <v>418</v>
      </c>
      <c r="T30" s="52">
        <v>2974</v>
      </c>
      <c r="U30" s="52">
        <v>1599</v>
      </c>
      <c r="V30" s="52">
        <v>238</v>
      </c>
      <c r="W30" s="52">
        <v>1837</v>
      </c>
      <c r="X30" s="52">
        <v>3320</v>
      </c>
      <c r="Y30" s="52">
        <v>602</v>
      </c>
      <c r="Z30" s="52">
        <v>3922</v>
      </c>
      <c r="AA30" s="52">
        <v>2917</v>
      </c>
      <c r="AB30" s="52">
        <v>504</v>
      </c>
      <c r="AC30" s="52">
        <v>3421</v>
      </c>
      <c r="AD30" s="52">
        <v>3681</v>
      </c>
      <c r="AE30" s="52">
        <v>1369</v>
      </c>
      <c r="AF30" s="52">
        <v>5050</v>
      </c>
      <c r="AG30" s="52">
        <v>4160</v>
      </c>
      <c r="AH30" s="52">
        <v>369</v>
      </c>
      <c r="AI30" s="52">
        <v>4529</v>
      </c>
      <c r="AJ30" s="52">
        <v>-3</v>
      </c>
      <c r="AK30" s="52">
        <v>0</v>
      </c>
      <c r="AL30" s="52">
        <v>-3</v>
      </c>
      <c r="AM30" s="52">
        <v>-1</v>
      </c>
      <c r="AN30" s="52">
        <v>0</v>
      </c>
      <c r="AO30" s="52">
        <v>-1</v>
      </c>
      <c r="AP30" s="52">
        <v>-78</v>
      </c>
      <c r="AQ30" s="52">
        <v>0</v>
      </c>
      <c r="AR30" s="52">
        <v>-78</v>
      </c>
      <c r="AS30" s="52">
        <v>0</v>
      </c>
      <c r="AT30" s="52">
        <v>0</v>
      </c>
      <c r="AU30" s="52">
        <v>0</v>
      </c>
      <c r="AV30" s="52">
        <v>0</v>
      </c>
      <c r="AY30" s="52">
        <v>-6</v>
      </c>
      <c r="AZ30" s="52">
        <v>0</v>
      </c>
      <c r="BA30" s="52">
        <v>-6</v>
      </c>
      <c r="BB30" s="52">
        <v>0</v>
      </c>
      <c r="BE30" s="52">
        <v>-1</v>
      </c>
      <c r="BF30" s="52">
        <v>0</v>
      </c>
      <c r="BG30" s="52">
        <v>-1</v>
      </c>
      <c r="BV30" s="52">
        <f t="shared" si="0"/>
        <v>-86</v>
      </c>
      <c r="BW30" s="52">
        <f t="shared" si="1"/>
        <v>0</v>
      </c>
      <c r="BX30" s="314">
        <f t="shared" si="2"/>
        <v>0</v>
      </c>
    </row>
    <row r="31" spans="1:76" x14ac:dyDescent="0.2">
      <c r="A31" s="52" t="s">
        <v>231</v>
      </c>
      <c r="B31" s="52">
        <v>13019</v>
      </c>
      <c r="C31" s="52">
        <v>11986</v>
      </c>
      <c r="D31" s="52">
        <v>2614</v>
      </c>
      <c r="E31" s="52">
        <v>14600</v>
      </c>
      <c r="F31" s="52">
        <v>15367</v>
      </c>
      <c r="G31" s="52">
        <v>2250</v>
      </c>
      <c r="H31" s="52">
        <v>17617</v>
      </c>
      <c r="I31" s="52">
        <v>17986</v>
      </c>
      <c r="J31" s="52">
        <v>3653</v>
      </c>
      <c r="K31" s="52">
        <v>21639</v>
      </c>
      <c r="L31" s="52">
        <v>19524</v>
      </c>
      <c r="M31" s="52">
        <v>5218</v>
      </c>
      <c r="N31" s="52">
        <v>24742</v>
      </c>
      <c r="O31" s="52">
        <v>13403</v>
      </c>
      <c r="P31" s="52">
        <v>2347</v>
      </c>
      <c r="Q31" s="52">
        <v>15750</v>
      </c>
      <c r="R31" s="52">
        <v>14942</v>
      </c>
      <c r="S31" s="52">
        <v>2410</v>
      </c>
      <c r="T31" s="52">
        <v>17352</v>
      </c>
      <c r="U31" s="52">
        <v>10829</v>
      </c>
      <c r="V31" s="52">
        <v>1350</v>
      </c>
      <c r="W31" s="52">
        <v>12179</v>
      </c>
      <c r="X31" s="52">
        <v>12635</v>
      </c>
      <c r="Y31" s="52">
        <v>2342</v>
      </c>
      <c r="Z31" s="52">
        <v>14977</v>
      </c>
      <c r="AA31" s="52">
        <v>14935</v>
      </c>
      <c r="AB31" s="52">
        <v>2599</v>
      </c>
      <c r="AC31" s="52">
        <v>17534</v>
      </c>
      <c r="AD31" s="52">
        <v>17399</v>
      </c>
      <c r="AE31" s="52">
        <v>3727</v>
      </c>
      <c r="AF31" s="52">
        <v>21126</v>
      </c>
      <c r="AG31" s="52">
        <v>9388</v>
      </c>
      <c r="AH31" s="52">
        <v>1198</v>
      </c>
      <c r="AI31" s="52">
        <v>10586</v>
      </c>
      <c r="AJ31" s="52">
        <v>-1</v>
      </c>
      <c r="AK31" s="52">
        <v>0</v>
      </c>
      <c r="AL31" s="52">
        <v>-1</v>
      </c>
      <c r="AM31" s="52">
        <v>-39</v>
      </c>
      <c r="AN31" s="52">
        <v>0</v>
      </c>
      <c r="AO31" s="52">
        <v>-39</v>
      </c>
      <c r="AP31" s="52">
        <v>-23</v>
      </c>
      <c r="AQ31" s="52">
        <v>0</v>
      </c>
      <c r="AR31" s="52">
        <v>-23</v>
      </c>
      <c r="AS31" s="52">
        <v>-1</v>
      </c>
      <c r="AT31" s="52">
        <v>0</v>
      </c>
      <c r="AU31" s="52">
        <v>-1</v>
      </c>
      <c r="AV31" s="52">
        <v>-1</v>
      </c>
      <c r="AW31" s="52">
        <v>0</v>
      </c>
      <c r="AX31" s="52">
        <v>-1</v>
      </c>
      <c r="AY31" s="52">
        <v>-43</v>
      </c>
      <c r="AZ31" s="52">
        <v>0</v>
      </c>
      <c r="BA31" s="52">
        <v>-43</v>
      </c>
      <c r="BB31" s="52">
        <v>-26</v>
      </c>
      <c r="BC31" s="52">
        <v>0</v>
      </c>
      <c r="BD31" s="52">
        <v>-26</v>
      </c>
      <c r="BE31" s="52">
        <v>-41</v>
      </c>
      <c r="BF31" s="52">
        <v>0</v>
      </c>
      <c r="BG31" s="52">
        <v>-41</v>
      </c>
      <c r="BV31" s="52">
        <f t="shared" si="0"/>
        <v>-174</v>
      </c>
      <c r="BW31" s="52">
        <f t="shared" si="1"/>
        <v>0</v>
      </c>
      <c r="BX31" s="314">
        <f t="shared" si="2"/>
        <v>0</v>
      </c>
    </row>
    <row r="32" spans="1:76" x14ac:dyDescent="0.2">
      <c r="A32" s="52" t="s">
        <v>232</v>
      </c>
      <c r="B32" s="52">
        <v>13047</v>
      </c>
      <c r="C32" s="52">
        <v>2885</v>
      </c>
      <c r="D32" s="52">
        <v>474</v>
      </c>
      <c r="E32" s="52">
        <v>3359</v>
      </c>
      <c r="F32" s="52">
        <v>3823</v>
      </c>
      <c r="G32" s="52">
        <v>408</v>
      </c>
      <c r="H32" s="52">
        <v>4231</v>
      </c>
      <c r="I32" s="52">
        <v>4182</v>
      </c>
      <c r="J32" s="52">
        <v>526</v>
      </c>
      <c r="K32" s="52">
        <v>4708</v>
      </c>
      <c r="L32" s="52">
        <v>3365</v>
      </c>
      <c r="M32" s="52">
        <v>434</v>
      </c>
      <c r="N32" s="52">
        <v>3799</v>
      </c>
      <c r="O32" s="52">
        <v>3586</v>
      </c>
      <c r="P32" s="52">
        <v>478</v>
      </c>
      <c r="Q32" s="52">
        <v>4064</v>
      </c>
      <c r="R32" s="52">
        <v>4690</v>
      </c>
      <c r="S32" s="52">
        <v>640</v>
      </c>
      <c r="T32" s="52">
        <v>5330</v>
      </c>
      <c r="U32" s="52">
        <v>3288</v>
      </c>
      <c r="V32" s="52">
        <v>432</v>
      </c>
      <c r="W32" s="52">
        <v>3720</v>
      </c>
      <c r="X32" s="52">
        <v>4006</v>
      </c>
      <c r="Y32" s="52">
        <v>619</v>
      </c>
      <c r="Z32" s="52">
        <v>4625</v>
      </c>
      <c r="AA32" s="52">
        <v>4176</v>
      </c>
      <c r="AB32" s="52">
        <v>690</v>
      </c>
      <c r="AC32" s="52">
        <v>4866</v>
      </c>
      <c r="AD32" s="52">
        <v>3840</v>
      </c>
      <c r="AE32" s="52">
        <v>638</v>
      </c>
      <c r="AF32" s="52">
        <v>4478</v>
      </c>
      <c r="AG32" s="52">
        <v>3250</v>
      </c>
      <c r="AH32" s="52">
        <v>409</v>
      </c>
      <c r="AI32" s="52">
        <v>3659</v>
      </c>
      <c r="AJ32" s="52">
        <v>5</v>
      </c>
      <c r="AK32" s="52">
        <v>1</v>
      </c>
      <c r="AL32" s="52">
        <v>6</v>
      </c>
      <c r="AM32" s="52">
        <v>-4</v>
      </c>
      <c r="AN32" s="52">
        <v>0</v>
      </c>
      <c r="AO32" s="52">
        <v>-4</v>
      </c>
      <c r="AP32" s="52">
        <v>-5</v>
      </c>
      <c r="AQ32" s="52">
        <v>0</v>
      </c>
      <c r="AR32" s="52">
        <v>-5</v>
      </c>
      <c r="AS32" s="52">
        <v>-1</v>
      </c>
      <c r="AT32" s="52">
        <v>0</v>
      </c>
      <c r="AU32" s="52">
        <v>-1</v>
      </c>
      <c r="AV32" s="52">
        <v>-4</v>
      </c>
      <c r="AW32" s="52">
        <v>0</v>
      </c>
      <c r="AX32" s="52">
        <v>-4</v>
      </c>
      <c r="AY32" s="52">
        <v>-6</v>
      </c>
      <c r="AZ32" s="52">
        <v>0</v>
      </c>
      <c r="BA32" s="52">
        <v>-6</v>
      </c>
      <c r="BB32" s="52">
        <v>1</v>
      </c>
      <c r="BC32" s="52">
        <v>0</v>
      </c>
      <c r="BD32" s="52">
        <v>1</v>
      </c>
      <c r="BE32" s="52">
        <v>0</v>
      </c>
      <c r="BF32" s="52">
        <v>0</v>
      </c>
      <c r="BG32" s="52">
        <v>0</v>
      </c>
      <c r="BV32" s="52">
        <f t="shared" si="0"/>
        <v>-19</v>
      </c>
      <c r="BW32" s="52">
        <f t="shared" si="1"/>
        <v>0</v>
      </c>
      <c r="BX32" s="314">
        <f t="shared" si="2"/>
        <v>0</v>
      </c>
    </row>
    <row r="33" spans="1:76" x14ac:dyDescent="0.2">
      <c r="A33" s="52" t="s">
        <v>277</v>
      </c>
      <c r="B33" s="52">
        <v>13159</v>
      </c>
      <c r="C33" s="52">
        <v>0</v>
      </c>
      <c r="F33" s="52">
        <v>0</v>
      </c>
      <c r="I33" s="52">
        <v>0</v>
      </c>
      <c r="L33" s="52">
        <v>0</v>
      </c>
      <c r="O33" s="52">
        <v>0</v>
      </c>
      <c r="R33" s="52">
        <v>0</v>
      </c>
      <c r="U33" s="52">
        <v>0</v>
      </c>
      <c r="X33" s="52">
        <v>0</v>
      </c>
      <c r="AA33" s="52">
        <v>0</v>
      </c>
      <c r="AD33" s="52">
        <v>0</v>
      </c>
      <c r="AG33" s="52">
        <v>0</v>
      </c>
      <c r="AJ33" s="52">
        <v>0</v>
      </c>
      <c r="AM33" s="52">
        <v>0</v>
      </c>
      <c r="AP33" s="52">
        <v>0</v>
      </c>
      <c r="AS33" s="52">
        <v>2731</v>
      </c>
      <c r="AT33" s="52">
        <v>232</v>
      </c>
      <c r="AU33" s="52">
        <v>2963</v>
      </c>
      <c r="AV33" s="52">
        <v>5473</v>
      </c>
      <c r="AW33" s="52">
        <v>1180</v>
      </c>
      <c r="AX33" s="52">
        <v>6653</v>
      </c>
      <c r="AY33" s="52">
        <v>5601</v>
      </c>
      <c r="AZ33" s="52">
        <v>1046</v>
      </c>
      <c r="BA33" s="52">
        <v>6647</v>
      </c>
      <c r="BB33" s="52">
        <v>3851</v>
      </c>
      <c r="BC33" s="52">
        <v>528</v>
      </c>
      <c r="BD33" s="52">
        <v>4379</v>
      </c>
      <c r="BE33" s="52">
        <v>3723</v>
      </c>
      <c r="BF33" s="52">
        <v>582</v>
      </c>
      <c r="BG33" s="52">
        <v>4305</v>
      </c>
      <c r="BV33" s="52">
        <f t="shared" si="0"/>
        <v>21379</v>
      </c>
      <c r="BW33" s="52">
        <f t="shared" si="1"/>
        <v>3568</v>
      </c>
      <c r="BX33" s="314">
        <f t="shared" si="2"/>
        <v>0.16689274521726929</v>
      </c>
    </row>
    <row r="34" spans="1:76" x14ac:dyDescent="0.2">
      <c r="A34" s="52" t="s">
        <v>256</v>
      </c>
      <c r="B34" s="52">
        <v>13144</v>
      </c>
      <c r="C34" s="52">
        <v>0</v>
      </c>
      <c r="F34" s="52">
        <v>0</v>
      </c>
      <c r="I34" s="52">
        <v>0</v>
      </c>
      <c r="L34" s="52">
        <v>0</v>
      </c>
      <c r="O34" s="52">
        <v>0</v>
      </c>
      <c r="R34" s="52">
        <v>0</v>
      </c>
      <c r="U34" s="52">
        <v>0</v>
      </c>
      <c r="X34" s="52">
        <v>0</v>
      </c>
      <c r="AA34" s="52">
        <v>0</v>
      </c>
      <c r="AD34" s="52">
        <v>0</v>
      </c>
      <c r="AG34" s="52">
        <v>0</v>
      </c>
      <c r="AJ34" s="52">
        <v>7549</v>
      </c>
      <c r="AK34" s="52">
        <v>811</v>
      </c>
      <c r="AL34" s="52">
        <v>8360</v>
      </c>
      <c r="AM34" s="52">
        <v>1699</v>
      </c>
      <c r="AN34" s="52">
        <v>146</v>
      </c>
      <c r="AO34" s="52">
        <v>1845</v>
      </c>
      <c r="AP34" s="52">
        <v>2288</v>
      </c>
      <c r="AQ34" s="52">
        <v>382</v>
      </c>
      <c r="AR34" s="52">
        <v>2670</v>
      </c>
      <c r="AS34" s="52">
        <v>3495</v>
      </c>
      <c r="AT34" s="52">
        <v>472</v>
      </c>
      <c r="AU34" s="52">
        <v>3967</v>
      </c>
      <c r="AV34" s="52">
        <v>3587</v>
      </c>
      <c r="AW34" s="52">
        <v>567</v>
      </c>
      <c r="AX34" s="52">
        <v>4154</v>
      </c>
      <c r="AY34" s="52">
        <v>1741</v>
      </c>
      <c r="AZ34" s="52">
        <v>325</v>
      </c>
      <c r="BA34" s="52">
        <v>2066</v>
      </c>
      <c r="BB34" s="52">
        <v>2469</v>
      </c>
      <c r="BC34" s="52">
        <v>295</v>
      </c>
      <c r="BD34" s="52">
        <v>2764</v>
      </c>
      <c r="BE34" s="52">
        <v>2796</v>
      </c>
      <c r="BF34" s="52">
        <v>431</v>
      </c>
      <c r="BG34" s="52">
        <v>3227</v>
      </c>
      <c r="BV34" s="52">
        <f t="shared" si="0"/>
        <v>18075</v>
      </c>
      <c r="BW34" s="52">
        <f t="shared" si="1"/>
        <v>2618</v>
      </c>
      <c r="BX34" s="314">
        <f t="shared" si="2"/>
        <v>0.14484094052558782</v>
      </c>
    </row>
    <row r="35" spans="1:76" x14ac:dyDescent="0.2">
      <c r="A35" s="52" t="s">
        <v>257</v>
      </c>
      <c r="B35" s="52">
        <v>13143</v>
      </c>
      <c r="C35" s="52">
        <v>0</v>
      </c>
      <c r="F35" s="52">
        <v>0</v>
      </c>
      <c r="I35" s="52">
        <v>0</v>
      </c>
      <c r="L35" s="52">
        <v>0</v>
      </c>
      <c r="O35" s="52">
        <v>0</v>
      </c>
      <c r="R35" s="52">
        <v>0</v>
      </c>
      <c r="U35" s="52">
        <v>0</v>
      </c>
      <c r="X35" s="52">
        <v>0</v>
      </c>
      <c r="AA35" s="52">
        <v>0</v>
      </c>
      <c r="AD35" s="52">
        <v>0</v>
      </c>
      <c r="AG35" s="52">
        <v>0</v>
      </c>
      <c r="AJ35" s="52">
        <v>12110</v>
      </c>
      <c r="AK35" s="52">
        <v>1002</v>
      </c>
      <c r="AL35" s="52">
        <v>13112</v>
      </c>
      <c r="AM35" s="52">
        <v>7896</v>
      </c>
      <c r="AN35" s="52">
        <v>1459</v>
      </c>
      <c r="AO35" s="52">
        <v>9355</v>
      </c>
      <c r="AP35" s="52">
        <v>10688</v>
      </c>
      <c r="AQ35" s="52">
        <v>1566</v>
      </c>
      <c r="AR35" s="52">
        <v>12254</v>
      </c>
      <c r="AS35" s="52">
        <v>17810</v>
      </c>
      <c r="AT35" s="52">
        <v>2605</v>
      </c>
      <c r="AU35" s="52">
        <v>20415</v>
      </c>
      <c r="AV35" s="52">
        <v>17472</v>
      </c>
      <c r="AW35" s="52">
        <v>2612</v>
      </c>
      <c r="AX35" s="52">
        <v>20084</v>
      </c>
      <c r="AY35" s="52">
        <v>19782</v>
      </c>
      <c r="AZ35" s="52">
        <v>3790</v>
      </c>
      <c r="BA35" s="52">
        <v>23572</v>
      </c>
      <c r="BB35" s="52">
        <v>15610</v>
      </c>
      <c r="BC35" s="52">
        <v>2500</v>
      </c>
      <c r="BD35" s="52">
        <v>18110</v>
      </c>
      <c r="BE35" s="52">
        <v>9845</v>
      </c>
      <c r="BF35" s="52">
        <v>1706</v>
      </c>
      <c r="BG35" s="52">
        <v>11551</v>
      </c>
      <c r="BV35" s="52">
        <f t="shared" si="0"/>
        <v>99103</v>
      </c>
      <c r="BW35" s="52">
        <f t="shared" si="1"/>
        <v>16238</v>
      </c>
      <c r="BX35" s="314">
        <f t="shared" si="2"/>
        <v>0.16384973209690928</v>
      </c>
    </row>
    <row r="36" spans="1:76" x14ac:dyDescent="0.2">
      <c r="A36" s="52" t="s">
        <v>233</v>
      </c>
      <c r="B36" s="52">
        <v>13018</v>
      </c>
      <c r="C36" s="52">
        <v>144</v>
      </c>
      <c r="D36" s="52">
        <v>198</v>
      </c>
      <c r="E36" s="52">
        <v>342</v>
      </c>
      <c r="F36" s="52">
        <v>71</v>
      </c>
      <c r="G36" s="52">
        <v>201</v>
      </c>
      <c r="H36" s="52">
        <v>272</v>
      </c>
      <c r="I36" s="52">
        <v>23</v>
      </c>
      <c r="J36" s="52">
        <v>1468</v>
      </c>
      <c r="K36" s="52">
        <v>1491</v>
      </c>
      <c r="L36" s="52">
        <v>39</v>
      </c>
      <c r="M36" s="52">
        <v>209</v>
      </c>
      <c r="N36" s="52">
        <v>248</v>
      </c>
      <c r="O36" s="52">
        <v>-12</v>
      </c>
      <c r="P36" s="52">
        <v>-1</v>
      </c>
      <c r="Q36" s="52">
        <v>-13</v>
      </c>
      <c r="R36" s="52">
        <v>-100</v>
      </c>
      <c r="S36" s="52">
        <v>0</v>
      </c>
      <c r="T36" s="52">
        <v>-100</v>
      </c>
      <c r="U36" s="52">
        <v>-551</v>
      </c>
      <c r="V36" s="52">
        <v>-4</v>
      </c>
      <c r="W36" s="52">
        <v>-555</v>
      </c>
      <c r="X36" s="52">
        <v>-302</v>
      </c>
      <c r="Y36" s="52">
        <v>0</v>
      </c>
      <c r="Z36" s="52">
        <v>-302</v>
      </c>
      <c r="AA36" s="52">
        <v>-186</v>
      </c>
      <c r="AB36" s="52">
        <v>0</v>
      </c>
      <c r="AC36" s="52">
        <v>-186</v>
      </c>
      <c r="AD36" s="52">
        <v>-1</v>
      </c>
      <c r="AE36" s="52">
        <v>0</v>
      </c>
      <c r="AF36" s="52">
        <v>-1</v>
      </c>
      <c r="AG36" s="52">
        <v>0</v>
      </c>
      <c r="AJ36" s="52">
        <v>0</v>
      </c>
      <c r="AM36" s="52">
        <v>0</v>
      </c>
      <c r="AP36" s="52">
        <v>0</v>
      </c>
      <c r="AS36" s="52">
        <v>0</v>
      </c>
      <c r="AV36" s="52">
        <v>0</v>
      </c>
      <c r="AY36" s="52">
        <v>0</v>
      </c>
      <c r="BB36" s="52">
        <v>0</v>
      </c>
      <c r="BE36" s="52">
        <v>0</v>
      </c>
      <c r="BV36" s="52">
        <f t="shared" si="0"/>
        <v>0</v>
      </c>
      <c r="BW36" s="52">
        <f t="shared" si="1"/>
        <v>0</v>
      </c>
      <c r="BX36" s="314" t="e">
        <f t="shared" si="2"/>
        <v>#DIV/0!</v>
      </c>
    </row>
    <row r="37" spans="1:76" x14ac:dyDescent="0.2">
      <c r="A37" s="52" t="s">
        <v>234</v>
      </c>
      <c r="B37" s="52">
        <v>13001</v>
      </c>
      <c r="C37" s="52">
        <v>0</v>
      </c>
      <c r="F37" s="52">
        <v>0</v>
      </c>
      <c r="I37" s="52">
        <v>0</v>
      </c>
      <c r="L37" s="52">
        <v>0</v>
      </c>
      <c r="O37" s="52">
        <v>-3</v>
      </c>
      <c r="P37" s="52">
        <v>0</v>
      </c>
      <c r="Q37" s="52">
        <v>-3</v>
      </c>
      <c r="R37" s="52">
        <v>-6</v>
      </c>
      <c r="S37" s="52">
        <v>0</v>
      </c>
      <c r="T37" s="52">
        <v>-6</v>
      </c>
      <c r="U37" s="52">
        <v>0</v>
      </c>
      <c r="X37" s="52">
        <v>0</v>
      </c>
      <c r="AA37" s="52">
        <v>0</v>
      </c>
      <c r="AD37" s="52">
        <v>0</v>
      </c>
      <c r="AG37" s="52">
        <v>0</v>
      </c>
      <c r="AJ37" s="52">
        <v>-5</v>
      </c>
      <c r="AK37" s="52">
        <v>0</v>
      </c>
      <c r="AL37" s="52">
        <v>-5</v>
      </c>
      <c r="AM37" s="52">
        <v>-3</v>
      </c>
      <c r="AN37" s="52">
        <v>0</v>
      </c>
      <c r="AO37" s="52">
        <v>-3</v>
      </c>
      <c r="AP37" s="52">
        <v>-2</v>
      </c>
      <c r="AQ37" s="52">
        <v>0</v>
      </c>
      <c r="AR37" s="52">
        <v>-2</v>
      </c>
      <c r="AS37" s="52">
        <v>-3</v>
      </c>
      <c r="AT37" s="52">
        <v>0</v>
      </c>
      <c r="AU37" s="52">
        <v>-3</v>
      </c>
      <c r="AV37" s="52">
        <v>0</v>
      </c>
      <c r="AY37" s="52">
        <v>0</v>
      </c>
      <c r="BB37" s="52">
        <v>0</v>
      </c>
      <c r="BE37" s="52">
        <v>0</v>
      </c>
      <c r="BV37" s="52">
        <f t="shared" si="0"/>
        <v>-8</v>
      </c>
      <c r="BW37" s="52">
        <f t="shared" si="1"/>
        <v>0</v>
      </c>
      <c r="BX37" s="314">
        <f t="shared" si="2"/>
        <v>0</v>
      </c>
    </row>
    <row r="38" spans="1:76" x14ac:dyDescent="0.2">
      <c r="A38" s="52" t="s">
        <v>235</v>
      </c>
      <c r="B38" s="52">
        <v>13000</v>
      </c>
      <c r="C38" s="52">
        <v>14</v>
      </c>
      <c r="D38" s="52">
        <v>0</v>
      </c>
      <c r="E38" s="52">
        <v>14</v>
      </c>
      <c r="F38" s="52">
        <v>2</v>
      </c>
      <c r="G38" s="52">
        <v>0</v>
      </c>
      <c r="H38" s="52">
        <v>2</v>
      </c>
      <c r="I38" s="52">
        <v>0</v>
      </c>
      <c r="L38" s="52">
        <v>0</v>
      </c>
      <c r="O38" s="52">
        <v>0</v>
      </c>
      <c r="P38" s="52">
        <v>0</v>
      </c>
      <c r="Q38" s="52">
        <v>0</v>
      </c>
      <c r="R38" s="52">
        <v>0</v>
      </c>
      <c r="S38" s="52">
        <v>0</v>
      </c>
      <c r="T38" s="52">
        <v>0</v>
      </c>
      <c r="U38" s="52">
        <v>-27</v>
      </c>
      <c r="V38" s="52">
        <v>0</v>
      </c>
      <c r="W38" s="52">
        <v>-27</v>
      </c>
      <c r="X38" s="52">
        <v>-14</v>
      </c>
      <c r="Y38" s="52">
        <v>0</v>
      </c>
      <c r="Z38" s="52">
        <v>-14</v>
      </c>
      <c r="AA38" s="52">
        <v>-1</v>
      </c>
      <c r="AB38" s="52">
        <v>0</v>
      </c>
      <c r="AC38" s="52">
        <v>-1</v>
      </c>
      <c r="AD38" s="52">
        <v>0</v>
      </c>
      <c r="AG38" s="52">
        <v>0</v>
      </c>
      <c r="AJ38" s="52">
        <v>0</v>
      </c>
      <c r="AM38" s="52">
        <v>-7</v>
      </c>
      <c r="AN38" s="52">
        <v>0</v>
      </c>
      <c r="AO38" s="52">
        <v>-7</v>
      </c>
      <c r="AP38" s="52">
        <v>-16</v>
      </c>
      <c r="AQ38" s="52">
        <v>0</v>
      </c>
      <c r="AR38" s="52">
        <v>-16</v>
      </c>
      <c r="AS38" s="52">
        <v>-11</v>
      </c>
      <c r="AT38" s="52">
        <v>0</v>
      </c>
      <c r="AU38" s="52">
        <v>-11</v>
      </c>
      <c r="AV38" s="52">
        <v>-5</v>
      </c>
      <c r="AW38" s="52">
        <v>0</v>
      </c>
      <c r="AX38" s="52">
        <v>-5</v>
      </c>
      <c r="AY38" s="52">
        <v>0</v>
      </c>
      <c r="BB38" s="52">
        <v>0</v>
      </c>
      <c r="BE38" s="52">
        <v>0</v>
      </c>
      <c r="BV38" s="52">
        <f t="shared" si="0"/>
        <v>-39</v>
      </c>
      <c r="BW38" s="52">
        <f t="shared" si="1"/>
        <v>0</v>
      </c>
      <c r="BX38" s="314">
        <f t="shared" si="2"/>
        <v>0</v>
      </c>
    </row>
    <row r="39" spans="1:76" x14ac:dyDescent="0.2">
      <c r="A39" s="52" t="s">
        <v>236</v>
      </c>
      <c r="B39" s="52">
        <v>13081</v>
      </c>
      <c r="C39" s="52">
        <v>99</v>
      </c>
      <c r="D39" s="52">
        <v>41</v>
      </c>
      <c r="E39" s="52">
        <v>140</v>
      </c>
      <c r="F39" s="52">
        <v>-40</v>
      </c>
      <c r="G39" s="52">
        <v>66</v>
      </c>
      <c r="H39" s="52">
        <v>26</v>
      </c>
      <c r="I39" s="52">
        <v>-74</v>
      </c>
      <c r="J39" s="52">
        <v>90</v>
      </c>
      <c r="K39" s="52">
        <v>16</v>
      </c>
      <c r="L39" s="52">
        <v>386</v>
      </c>
      <c r="M39" s="52">
        <v>88</v>
      </c>
      <c r="N39" s="52">
        <v>474</v>
      </c>
      <c r="O39" s="52">
        <v>488</v>
      </c>
      <c r="P39" s="52">
        <v>70</v>
      </c>
      <c r="Q39" s="52">
        <v>558</v>
      </c>
      <c r="R39" s="52">
        <v>241</v>
      </c>
      <c r="S39" s="52">
        <v>29</v>
      </c>
      <c r="T39" s="52">
        <v>270</v>
      </c>
      <c r="U39" s="52">
        <v>235</v>
      </c>
      <c r="V39" s="52">
        <v>88</v>
      </c>
      <c r="W39" s="52">
        <v>323</v>
      </c>
      <c r="X39" s="52">
        <v>93</v>
      </c>
      <c r="Y39" s="52">
        <v>48</v>
      </c>
      <c r="Z39" s="52">
        <v>141</v>
      </c>
      <c r="AA39" s="52">
        <v>454</v>
      </c>
      <c r="AB39" s="52">
        <v>143</v>
      </c>
      <c r="AC39" s="52">
        <v>597</v>
      </c>
      <c r="AD39" s="52">
        <v>360</v>
      </c>
      <c r="AE39" s="52">
        <v>81</v>
      </c>
      <c r="AF39" s="52">
        <v>441</v>
      </c>
      <c r="AG39" s="52">
        <v>277</v>
      </c>
      <c r="AH39" s="52">
        <v>24</v>
      </c>
      <c r="AI39" s="52">
        <v>301</v>
      </c>
      <c r="AJ39" s="52">
        <v>243</v>
      </c>
      <c r="AK39" s="52">
        <v>20</v>
      </c>
      <c r="AL39" s="52">
        <v>263</v>
      </c>
      <c r="AM39" s="52">
        <v>342</v>
      </c>
      <c r="AN39" s="52">
        <v>56</v>
      </c>
      <c r="AO39" s="52">
        <v>398</v>
      </c>
      <c r="AP39" s="52">
        <v>180</v>
      </c>
      <c r="AQ39" s="52">
        <v>47</v>
      </c>
      <c r="AR39" s="52">
        <v>227</v>
      </c>
      <c r="AS39" s="52">
        <v>253</v>
      </c>
      <c r="AT39" s="52">
        <v>52</v>
      </c>
      <c r="AU39" s="52">
        <v>305</v>
      </c>
      <c r="AV39" s="52">
        <v>262</v>
      </c>
      <c r="AW39" s="52">
        <v>32</v>
      </c>
      <c r="AX39" s="52">
        <v>294</v>
      </c>
      <c r="AY39" s="52">
        <v>186</v>
      </c>
      <c r="AZ39" s="52">
        <v>39</v>
      </c>
      <c r="BA39" s="52">
        <v>225</v>
      </c>
      <c r="BB39" s="52">
        <v>615</v>
      </c>
      <c r="BC39" s="52">
        <v>45</v>
      </c>
      <c r="BD39" s="52">
        <v>660</v>
      </c>
      <c r="BE39" s="52">
        <v>502</v>
      </c>
      <c r="BF39" s="52">
        <v>35</v>
      </c>
      <c r="BG39" s="52">
        <v>537</v>
      </c>
      <c r="BV39" s="52">
        <f t="shared" si="0"/>
        <v>2340</v>
      </c>
      <c r="BW39" s="52">
        <f t="shared" si="1"/>
        <v>306</v>
      </c>
      <c r="BX39" s="314">
        <f t="shared" si="2"/>
        <v>0.13076923076923078</v>
      </c>
    </row>
    <row r="40" spans="1:76" x14ac:dyDescent="0.2">
      <c r="A40" s="52" t="s">
        <v>237</v>
      </c>
      <c r="B40" s="52">
        <v>13117</v>
      </c>
      <c r="C40" s="52">
        <v>740</v>
      </c>
      <c r="D40" s="52">
        <v>131</v>
      </c>
      <c r="E40" s="52">
        <v>871</v>
      </c>
      <c r="F40" s="52">
        <v>1819</v>
      </c>
      <c r="G40" s="52">
        <v>437</v>
      </c>
      <c r="H40" s="52">
        <v>2256</v>
      </c>
      <c r="I40" s="52">
        <v>1438</v>
      </c>
      <c r="J40" s="52">
        <v>263</v>
      </c>
      <c r="K40" s="52">
        <v>1701</v>
      </c>
      <c r="L40" s="52">
        <v>1210</v>
      </c>
      <c r="M40" s="52">
        <v>207</v>
      </c>
      <c r="N40" s="52">
        <v>1417</v>
      </c>
      <c r="O40" s="52">
        <v>1103</v>
      </c>
      <c r="P40" s="52">
        <v>186</v>
      </c>
      <c r="Q40" s="52">
        <v>1289</v>
      </c>
      <c r="R40" s="52">
        <v>1342</v>
      </c>
      <c r="S40" s="52">
        <v>167</v>
      </c>
      <c r="T40" s="52">
        <v>1509</v>
      </c>
      <c r="U40" s="52">
        <v>471</v>
      </c>
      <c r="V40" s="52">
        <v>60</v>
      </c>
      <c r="W40" s="52">
        <v>531</v>
      </c>
      <c r="X40" s="52">
        <v>661</v>
      </c>
      <c r="Y40" s="52">
        <v>99</v>
      </c>
      <c r="Z40" s="52">
        <v>760</v>
      </c>
      <c r="AA40" s="52">
        <v>-55</v>
      </c>
      <c r="AB40" s="52">
        <v>1</v>
      </c>
      <c r="AC40" s="52">
        <v>-54</v>
      </c>
      <c r="AD40" s="52">
        <v>-33</v>
      </c>
      <c r="AE40" s="52">
        <v>0</v>
      </c>
      <c r="AF40" s="52">
        <v>-33</v>
      </c>
      <c r="AG40" s="52">
        <v>-67</v>
      </c>
      <c r="AH40" s="52">
        <v>0</v>
      </c>
      <c r="AI40" s="52">
        <v>-67</v>
      </c>
      <c r="AJ40" s="52">
        <v>-109</v>
      </c>
      <c r="AK40" s="52">
        <v>0</v>
      </c>
      <c r="AL40" s="52">
        <v>-109</v>
      </c>
      <c r="AM40" s="52">
        <v>-44</v>
      </c>
      <c r="AN40" s="52">
        <v>0</v>
      </c>
      <c r="AO40" s="52">
        <v>-44</v>
      </c>
      <c r="AP40" s="52">
        <v>-22</v>
      </c>
      <c r="AQ40" s="52">
        <v>0</v>
      </c>
      <c r="AR40" s="52">
        <v>-22</v>
      </c>
      <c r="AS40" s="52">
        <v>-23</v>
      </c>
      <c r="AT40" s="52">
        <v>0</v>
      </c>
      <c r="AU40" s="52">
        <v>-23</v>
      </c>
      <c r="AV40" s="52">
        <v>-47</v>
      </c>
      <c r="AW40" s="52">
        <v>0</v>
      </c>
      <c r="AX40" s="52">
        <v>-47</v>
      </c>
      <c r="AY40" s="52">
        <v>-176</v>
      </c>
      <c r="AZ40" s="52">
        <v>0</v>
      </c>
      <c r="BA40" s="52">
        <v>-176</v>
      </c>
      <c r="BB40" s="52">
        <v>-373</v>
      </c>
      <c r="BC40" s="52">
        <v>0</v>
      </c>
      <c r="BD40" s="52">
        <v>-373</v>
      </c>
      <c r="BE40" s="52">
        <v>-781</v>
      </c>
      <c r="BF40" s="52">
        <v>0</v>
      </c>
      <c r="BG40" s="52">
        <v>-781</v>
      </c>
      <c r="BV40" s="52">
        <f t="shared" si="0"/>
        <v>-1466</v>
      </c>
      <c r="BW40" s="52">
        <f t="shared" si="1"/>
        <v>0</v>
      </c>
      <c r="BX40" s="314">
        <f t="shared" si="2"/>
        <v>0</v>
      </c>
    </row>
    <row r="41" spans="1:76" x14ac:dyDescent="0.2">
      <c r="A41" s="52" t="s">
        <v>238</v>
      </c>
      <c r="B41" s="52">
        <v>13115</v>
      </c>
      <c r="C41" s="52">
        <v>1626</v>
      </c>
      <c r="D41" s="52">
        <v>331</v>
      </c>
      <c r="E41" s="52">
        <v>1957</v>
      </c>
      <c r="F41" s="52">
        <v>2937</v>
      </c>
      <c r="G41" s="52">
        <v>734</v>
      </c>
      <c r="H41" s="52">
        <v>3671</v>
      </c>
      <c r="I41" s="52">
        <v>356</v>
      </c>
      <c r="J41" s="52">
        <v>11</v>
      </c>
      <c r="K41" s="52">
        <v>367</v>
      </c>
      <c r="L41" s="52">
        <v>-2</v>
      </c>
      <c r="M41" s="52">
        <v>0</v>
      </c>
      <c r="N41" s="52">
        <v>-2</v>
      </c>
      <c r="O41" s="52">
        <v>-1</v>
      </c>
      <c r="P41" s="52">
        <v>0</v>
      </c>
      <c r="Q41" s="52">
        <v>-1</v>
      </c>
      <c r="R41" s="52">
        <v>-14</v>
      </c>
      <c r="S41" s="52">
        <v>0</v>
      </c>
      <c r="T41" s="52">
        <v>-14</v>
      </c>
      <c r="U41" s="52">
        <v>-33</v>
      </c>
      <c r="V41" s="52">
        <v>0</v>
      </c>
      <c r="W41" s="52">
        <v>-33</v>
      </c>
      <c r="X41" s="52">
        <v>-37</v>
      </c>
      <c r="Y41" s="52">
        <v>0</v>
      </c>
      <c r="Z41" s="52">
        <v>-37</v>
      </c>
      <c r="AA41" s="52">
        <v>-26</v>
      </c>
      <c r="AB41" s="52">
        <v>0</v>
      </c>
      <c r="AC41" s="52">
        <v>-26</v>
      </c>
      <c r="AD41" s="52">
        <v>-18</v>
      </c>
      <c r="AE41" s="52">
        <v>0</v>
      </c>
      <c r="AF41" s="52">
        <v>-18</v>
      </c>
      <c r="AG41" s="52">
        <v>-35</v>
      </c>
      <c r="AH41" s="52">
        <v>0</v>
      </c>
      <c r="AI41" s="52">
        <v>-35</v>
      </c>
      <c r="AJ41" s="52">
        <v>-145</v>
      </c>
      <c r="AK41" s="52">
        <v>0</v>
      </c>
      <c r="AL41" s="52">
        <v>-145</v>
      </c>
      <c r="AM41" s="52">
        <v>-56</v>
      </c>
      <c r="AN41" s="52">
        <v>0</v>
      </c>
      <c r="AO41" s="52">
        <v>-56</v>
      </c>
      <c r="AP41" s="52">
        <v>-22</v>
      </c>
      <c r="AQ41" s="52">
        <v>0</v>
      </c>
      <c r="AR41" s="52">
        <v>-22</v>
      </c>
      <c r="AS41" s="52">
        <v>-41</v>
      </c>
      <c r="AT41" s="52">
        <v>0</v>
      </c>
      <c r="AU41" s="52">
        <v>-41</v>
      </c>
      <c r="AV41" s="52">
        <v>0</v>
      </c>
      <c r="AY41" s="52">
        <v>-5</v>
      </c>
      <c r="AZ41" s="52">
        <v>0</v>
      </c>
      <c r="BA41" s="52">
        <v>-5</v>
      </c>
      <c r="BB41" s="52">
        <v>-6</v>
      </c>
      <c r="BC41" s="52">
        <v>0</v>
      </c>
      <c r="BD41" s="52">
        <v>-6</v>
      </c>
      <c r="BE41" s="52">
        <v>-3</v>
      </c>
      <c r="BF41" s="52">
        <v>0</v>
      </c>
      <c r="BG41" s="52">
        <v>-3</v>
      </c>
      <c r="BV41" s="52">
        <f t="shared" si="0"/>
        <v>-133</v>
      </c>
      <c r="BW41" s="52">
        <f t="shared" si="1"/>
        <v>0</v>
      </c>
      <c r="BX41" s="314">
        <f t="shared" si="2"/>
        <v>0</v>
      </c>
    </row>
    <row r="42" spans="1:76" x14ac:dyDescent="0.2">
      <c r="A42" s="52" t="s">
        <v>239</v>
      </c>
      <c r="B42" s="52">
        <v>13141</v>
      </c>
      <c r="C42" s="52">
        <v>0</v>
      </c>
      <c r="F42" s="52">
        <v>96</v>
      </c>
      <c r="G42" s="52">
        <v>31</v>
      </c>
      <c r="H42" s="52">
        <v>127</v>
      </c>
      <c r="I42" s="52">
        <v>1445</v>
      </c>
      <c r="J42" s="52">
        <v>354</v>
      </c>
      <c r="K42" s="52">
        <v>1799</v>
      </c>
      <c r="L42" s="52">
        <v>911</v>
      </c>
      <c r="M42" s="52">
        <v>168</v>
      </c>
      <c r="N42" s="52">
        <v>1079</v>
      </c>
      <c r="O42" s="52">
        <v>2042</v>
      </c>
      <c r="P42" s="52">
        <v>334</v>
      </c>
      <c r="Q42" s="52">
        <v>2376</v>
      </c>
      <c r="R42" s="52">
        <v>2131</v>
      </c>
      <c r="S42" s="52">
        <v>381</v>
      </c>
      <c r="T42" s="52">
        <v>2512</v>
      </c>
      <c r="U42" s="52">
        <v>1245</v>
      </c>
      <c r="V42" s="52">
        <v>172</v>
      </c>
      <c r="W42" s="52">
        <v>1417</v>
      </c>
      <c r="X42" s="52">
        <v>1743</v>
      </c>
      <c r="Y42" s="52">
        <v>308</v>
      </c>
      <c r="Z42" s="52">
        <v>2051</v>
      </c>
      <c r="AA42" s="52">
        <v>1804</v>
      </c>
      <c r="AB42" s="52">
        <v>335</v>
      </c>
      <c r="AC42" s="52">
        <v>2139</v>
      </c>
      <c r="AD42" s="52">
        <v>1543</v>
      </c>
      <c r="AE42" s="52">
        <v>306</v>
      </c>
      <c r="AF42" s="52">
        <v>1849</v>
      </c>
      <c r="AG42" s="52">
        <v>1234</v>
      </c>
      <c r="AH42" s="52">
        <v>230</v>
      </c>
      <c r="AI42" s="52">
        <v>1464</v>
      </c>
      <c r="AJ42" s="52">
        <v>724</v>
      </c>
      <c r="AK42" s="52">
        <v>117</v>
      </c>
      <c r="AL42" s="52">
        <v>841</v>
      </c>
      <c r="AM42" s="52">
        <v>1601</v>
      </c>
      <c r="AN42" s="52">
        <v>252</v>
      </c>
      <c r="AO42" s="52">
        <v>1853</v>
      </c>
      <c r="AP42" s="52">
        <v>1122</v>
      </c>
      <c r="AQ42" s="52">
        <v>162</v>
      </c>
      <c r="AR42" s="52">
        <v>1284</v>
      </c>
      <c r="AS42" s="52">
        <v>1434</v>
      </c>
      <c r="AT42" s="52">
        <v>221</v>
      </c>
      <c r="AU42" s="52">
        <v>1655</v>
      </c>
      <c r="AV42" s="52">
        <v>1399</v>
      </c>
      <c r="AW42" s="52">
        <v>225</v>
      </c>
      <c r="AX42" s="52">
        <v>1624</v>
      </c>
      <c r="AY42" s="52">
        <v>1740</v>
      </c>
      <c r="AZ42" s="52">
        <v>236</v>
      </c>
      <c r="BA42" s="52">
        <v>1976</v>
      </c>
      <c r="BB42" s="52">
        <v>1809</v>
      </c>
      <c r="BC42" s="52">
        <v>223</v>
      </c>
      <c r="BD42" s="52">
        <v>2032</v>
      </c>
      <c r="BE42" s="52">
        <v>2152</v>
      </c>
      <c r="BF42" s="52">
        <v>193</v>
      </c>
      <c r="BG42" s="52">
        <v>2345</v>
      </c>
      <c r="BV42" s="52">
        <f t="shared" si="0"/>
        <v>11257</v>
      </c>
      <c r="BW42" s="52">
        <f t="shared" si="1"/>
        <v>1512</v>
      </c>
      <c r="BX42" s="314">
        <f t="shared" si="2"/>
        <v>0.13431642533534691</v>
      </c>
    </row>
    <row r="43" spans="1:76" x14ac:dyDescent="0.2">
      <c r="A43" s="52" t="s">
        <v>240</v>
      </c>
      <c r="B43" s="52">
        <v>13142</v>
      </c>
      <c r="C43" s="52">
        <v>0</v>
      </c>
      <c r="F43" s="52">
        <v>0</v>
      </c>
      <c r="I43" s="52">
        <v>0</v>
      </c>
      <c r="L43" s="52">
        <v>0</v>
      </c>
      <c r="O43" s="52">
        <v>1244</v>
      </c>
      <c r="P43" s="52">
        <v>182</v>
      </c>
      <c r="Q43" s="52">
        <v>1426</v>
      </c>
      <c r="R43" s="52">
        <v>824</v>
      </c>
      <c r="S43" s="52">
        <v>146</v>
      </c>
      <c r="T43" s="52">
        <v>970</v>
      </c>
      <c r="U43" s="52">
        <v>573</v>
      </c>
      <c r="V43" s="52">
        <v>79</v>
      </c>
      <c r="W43" s="52">
        <v>652</v>
      </c>
      <c r="X43" s="52">
        <v>521</v>
      </c>
      <c r="Y43" s="52">
        <v>96</v>
      </c>
      <c r="Z43" s="52">
        <v>617</v>
      </c>
      <c r="AA43" s="52">
        <v>781</v>
      </c>
      <c r="AB43" s="52">
        <v>141</v>
      </c>
      <c r="AC43" s="52">
        <v>922</v>
      </c>
      <c r="AD43" s="52">
        <v>430</v>
      </c>
      <c r="AE43" s="52">
        <v>90</v>
      </c>
      <c r="AF43" s="52">
        <v>520</v>
      </c>
      <c r="AG43" s="52">
        <v>1116</v>
      </c>
      <c r="AH43" s="52">
        <v>253</v>
      </c>
      <c r="AI43" s="52">
        <v>1369</v>
      </c>
      <c r="AJ43" s="52">
        <v>753</v>
      </c>
      <c r="AK43" s="52">
        <v>163</v>
      </c>
      <c r="AL43" s="52">
        <v>916</v>
      </c>
      <c r="AM43" s="52">
        <v>860</v>
      </c>
      <c r="AN43" s="52">
        <v>136</v>
      </c>
      <c r="AO43" s="52">
        <v>996</v>
      </c>
      <c r="AP43" s="52">
        <v>989</v>
      </c>
      <c r="AQ43" s="52">
        <v>289</v>
      </c>
      <c r="AR43" s="52">
        <v>1278</v>
      </c>
      <c r="AS43" s="52">
        <v>609</v>
      </c>
      <c r="AT43" s="52">
        <v>120</v>
      </c>
      <c r="AU43" s="52">
        <v>729</v>
      </c>
      <c r="AV43" s="52">
        <v>705</v>
      </c>
      <c r="AW43" s="52">
        <v>268</v>
      </c>
      <c r="AX43" s="52">
        <v>973</v>
      </c>
      <c r="AY43" s="52">
        <v>984</v>
      </c>
      <c r="AZ43" s="52">
        <v>168</v>
      </c>
      <c r="BA43" s="52">
        <v>1152</v>
      </c>
      <c r="BB43" s="52">
        <v>1692</v>
      </c>
      <c r="BC43" s="52">
        <v>219</v>
      </c>
      <c r="BD43" s="52">
        <v>1911</v>
      </c>
      <c r="BE43" s="52">
        <v>1309</v>
      </c>
      <c r="BF43" s="52">
        <v>164</v>
      </c>
      <c r="BG43" s="52">
        <v>1473</v>
      </c>
      <c r="BV43" s="52">
        <f t="shared" si="0"/>
        <v>7148</v>
      </c>
      <c r="BW43" s="52">
        <f t="shared" si="1"/>
        <v>1364</v>
      </c>
      <c r="BX43" s="314">
        <f t="shared" si="2"/>
        <v>0.19082260772243984</v>
      </c>
    </row>
    <row r="44" spans="1:76" x14ac:dyDescent="0.2">
      <c r="A44" s="52" t="s">
        <v>241</v>
      </c>
      <c r="B44" s="52">
        <v>13022</v>
      </c>
      <c r="C44" s="52">
        <v>49237</v>
      </c>
      <c r="D44" s="52">
        <v>26137</v>
      </c>
      <c r="E44" s="52">
        <v>75374</v>
      </c>
      <c r="F44" s="52">
        <v>42915</v>
      </c>
      <c r="G44" s="52">
        <v>18899</v>
      </c>
      <c r="H44" s="52">
        <v>61814</v>
      </c>
      <c r="I44" s="52">
        <v>61854</v>
      </c>
      <c r="J44" s="52">
        <v>33079</v>
      </c>
      <c r="K44" s="52">
        <v>94933</v>
      </c>
      <c r="L44" s="52">
        <v>64303</v>
      </c>
      <c r="M44" s="52">
        <v>35595</v>
      </c>
      <c r="N44" s="52">
        <v>99898</v>
      </c>
      <c r="O44" s="52">
        <v>34500</v>
      </c>
      <c r="P44" s="52">
        <v>17227</v>
      </c>
      <c r="Q44" s="52">
        <v>51727</v>
      </c>
      <c r="R44" s="52">
        <v>37715</v>
      </c>
      <c r="S44" s="52">
        <v>16315</v>
      </c>
      <c r="T44" s="52">
        <v>54030</v>
      </c>
      <c r="U44" s="52">
        <v>18707</v>
      </c>
      <c r="V44" s="52">
        <v>3794</v>
      </c>
      <c r="W44" s="52">
        <v>22501</v>
      </c>
      <c r="X44" s="52">
        <v>49466</v>
      </c>
      <c r="Y44" s="52">
        <v>17736</v>
      </c>
      <c r="Z44" s="52">
        <v>67202</v>
      </c>
      <c r="AA44" s="52">
        <v>61904</v>
      </c>
      <c r="AB44" s="52">
        <v>32403</v>
      </c>
      <c r="AC44" s="52">
        <v>94307</v>
      </c>
      <c r="AD44" s="52">
        <v>36141</v>
      </c>
      <c r="AE44" s="52">
        <v>17328</v>
      </c>
      <c r="AF44" s="52">
        <v>53469</v>
      </c>
      <c r="AG44" s="52">
        <v>51266</v>
      </c>
      <c r="AH44" s="52">
        <v>24213</v>
      </c>
      <c r="AI44" s="52">
        <v>75479</v>
      </c>
      <c r="AJ44" s="52">
        <v>47618</v>
      </c>
      <c r="AK44" s="52">
        <v>31088</v>
      </c>
      <c r="AL44" s="52">
        <v>78706</v>
      </c>
      <c r="AM44" s="52">
        <v>48910</v>
      </c>
      <c r="AN44" s="52">
        <v>26887</v>
      </c>
      <c r="AO44" s="52">
        <v>75797</v>
      </c>
      <c r="AP44" s="52">
        <v>40085</v>
      </c>
      <c r="AQ44" s="52">
        <v>19890</v>
      </c>
      <c r="AR44" s="52">
        <v>59975</v>
      </c>
      <c r="AS44" s="52">
        <v>51923</v>
      </c>
      <c r="AT44" s="52">
        <v>28258</v>
      </c>
      <c r="AU44" s="52">
        <v>80181</v>
      </c>
      <c r="AV44" s="52">
        <v>41213</v>
      </c>
      <c r="AW44" s="52">
        <v>20293</v>
      </c>
      <c r="AX44" s="52">
        <v>61506</v>
      </c>
      <c r="AY44" s="52">
        <v>63682</v>
      </c>
      <c r="AZ44" s="52">
        <v>34171</v>
      </c>
      <c r="BA44" s="52">
        <v>97853</v>
      </c>
      <c r="BB44" s="52">
        <v>52159</v>
      </c>
      <c r="BC44" s="52">
        <v>25984</v>
      </c>
      <c r="BD44" s="52">
        <v>78143</v>
      </c>
      <c r="BE44" s="52">
        <v>36870</v>
      </c>
      <c r="BF44" s="52">
        <v>19578</v>
      </c>
      <c r="BG44" s="52">
        <v>56448</v>
      </c>
      <c r="BV44" s="52">
        <f t="shared" si="0"/>
        <v>334842</v>
      </c>
      <c r="BW44" s="52">
        <f t="shared" si="1"/>
        <v>175061</v>
      </c>
      <c r="BX44" s="314">
        <f t="shared" si="2"/>
        <v>0.52281673147335161</v>
      </c>
    </row>
    <row r="45" spans="1:76" x14ac:dyDescent="0.2">
      <c r="A45" s="52" t="s">
        <v>242</v>
      </c>
      <c r="B45" s="52">
        <v>13078</v>
      </c>
      <c r="C45" s="52">
        <v>553</v>
      </c>
      <c r="D45" s="52">
        <v>89</v>
      </c>
      <c r="E45" s="52">
        <v>642</v>
      </c>
      <c r="F45" s="52">
        <v>1057</v>
      </c>
      <c r="G45" s="52">
        <v>243</v>
      </c>
      <c r="H45" s="52">
        <v>1300</v>
      </c>
      <c r="I45" s="52">
        <v>706</v>
      </c>
      <c r="J45" s="52">
        <v>140</v>
      </c>
      <c r="K45" s="52">
        <v>846</v>
      </c>
      <c r="L45" s="52">
        <v>1188</v>
      </c>
      <c r="M45" s="52">
        <v>170</v>
      </c>
      <c r="N45" s="52">
        <v>1358</v>
      </c>
      <c r="O45" s="52">
        <v>1135</v>
      </c>
      <c r="P45" s="52">
        <v>268</v>
      </c>
      <c r="Q45" s="52">
        <v>1403</v>
      </c>
      <c r="R45" s="52">
        <v>1000</v>
      </c>
      <c r="S45" s="52">
        <v>201</v>
      </c>
      <c r="T45" s="52">
        <v>1201</v>
      </c>
      <c r="U45" s="52">
        <v>792</v>
      </c>
      <c r="V45" s="52">
        <v>84</v>
      </c>
      <c r="W45" s="52">
        <v>876</v>
      </c>
      <c r="X45" s="52">
        <v>1318</v>
      </c>
      <c r="Y45" s="52">
        <v>197</v>
      </c>
      <c r="Z45" s="52">
        <v>1515</v>
      </c>
      <c r="AA45" s="52">
        <v>1314</v>
      </c>
      <c r="AB45" s="52">
        <v>170</v>
      </c>
      <c r="AC45" s="52">
        <v>1484</v>
      </c>
      <c r="AD45" s="52">
        <v>887</v>
      </c>
      <c r="AE45" s="52">
        <v>118</v>
      </c>
      <c r="AF45" s="52">
        <v>1005</v>
      </c>
      <c r="AG45" s="52">
        <v>1410</v>
      </c>
      <c r="AH45" s="52">
        <v>116</v>
      </c>
      <c r="AI45" s="52">
        <v>1526</v>
      </c>
      <c r="AJ45" s="52">
        <v>1148</v>
      </c>
      <c r="AK45" s="52">
        <v>116</v>
      </c>
      <c r="AL45" s="52">
        <v>1264</v>
      </c>
      <c r="AM45" s="52">
        <v>1075</v>
      </c>
      <c r="AN45" s="52">
        <v>86</v>
      </c>
      <c r="AO45" s="52">
        <v>1161</v>
      </c>
      <c r="AP45" s="52">
        <v>1082</v>
      </c>
      <c r="AQ45" s="52">
        <v>93</v>
      </c>
      <c r="AR45" s="52">
        <v>1175</v>
      </c>
      <c r="AS45" s="52">
        <v>1141</v>
      </c>
      <c r="AT45" s="52">
        <v>128</v>
      </c>
      <c r="AU45" s="52">
        <v>1269</v>
      </c>
      <c r="AV45" s="52">
        <v>1159</v>
      </c>
      <c r="AW45" s="52">
        <v>96</v>
      </c>
      <c r="AX45" s="52">
        <v>1255</v>
      </c>
      <c r="AY45" s="52">
        <v>659</v>
      </c>
      <c r="AZ45" s="52">
        <v>147</v>
      </c>
      <c r="BA45" s="52">
        <v>806</v>
      </c>
      <c r="BB45" s="52">
        <v>-47</v>
      </c>
      <c r="BC45" s="52">
        <v>1</v>
      </c>
      <c r="BD45" s="52">
        <v>-46</v>
      </c>
      <c r="BE45" s="52">
        <v>0</v>
      </c>
      <c r="BF45" s="52">
        <v>0</v>
      </c>
      <c r="BG45" s="52">
        <v>0</v>
      </c>
      <c r="BV45" s="52">
        <f t="shared" si="0"/>
        <v>5069</v>
      </c>
      <c r="BW45" s="52">
        <f t="shared" si="1"/>
        <v>551</v>
      </c>
      <c r="BX45" s="314">
        <f t="shared" si="2"/>
        <v>0.10869994081672914</v>
      </c>
    </row>
    <row r="46" spans="1:76" x14ac:dyDescent="0.2">
      <c r="A46" s="52" t="s">
        <v>243</v>
      </c>
      <c r="B46" s="52">
        <v>13120</v>
      </c>
      <c r="C46" s="52">
        <v>364</v>
      </c>
      <c r="D46" s="52">
        <v>22</v>
      </c>
      <c r="E46" s="52">
        <v>386</v>
      </c>
      <c r="F46" s="52">
        <v>327</v>
      </c>
      <c r="G46" s="52">
        <v>24</v>
      </c>
      <c r="H46" s="52">
        <v>351</v>
      </c>
      <c r="I46" s="52">
        <v>154</v>
      </c>
      <c r="J46" s="52">
        <v>13</v>
      </c>
      <c r="K46" s="52">
        <v>167</v>
      </c>
      <c r="L46" s="52">
        <v>43</v>
      </c>
      <c r="M46" s="52">
        <v>4</v>
      </c>
      <c r="N46" s="52">
        <v>47</v>
      </c>
      <c r="O46" s="52">
        <v>11</v>
      </c>
      <c r="P46" s="52">
        <v>7</v>
      </c>
      <c r="Q46" s="52">
        <v>18</v>
      </c>
      <c r="R46" s="52">
        <v>2</v>
      </c>
      <c r="S46" s="52">
        <v>0</v>
      </c>
      <c r="T46" s="52">
        <v>2</v>
      </c>
      <c r="U46" s="52">
        <v>-18</v>
      </c>
      <c r="V46" s="52">
        <v>0</v>
      </c>
      <c r="W46" s="52">
        <v>-18</v>
      </c>
      <c r="X46" s="52">
        <v>58</v>
      </c>
      <c r="Y46" s="52">
        <v>9</v>
      </c>
      <c r="Z46" s="52">
        <v>67</v>
      </c>
      <c r="AA46" s="52">
        <v>576</v>
      </c>
      <c r="AB46" s="52">
        <v>85</v>
      </c>
      <c r="AC46" s="52">
        <v>661</v>
      </c>
      <c r="AD46" s="52">
        <v>198</v>
      </c>
      <c r="AE46" s="52">
        <v>29</v>
      </c>
      <c r="AF46" s="52">
        <v>227</v>
      </c>
      <c r="AG46" s="52">
        <v>180</v>
      </c>
      <c r="AH46" s="52">
        <v>7</v>
      </c>
      <c r="AI46" s="52">
        <v>187</v>
      </c>
      <c r="AJ46" s="52">
        <v>168</v>
      </c>
      <c r="AK46" s="52">
        <v>6</v>
      </c>
      <c r="AL46" s="52">
        <v>174</v>
      </c>
      <c r="AM46" s="52">
        <v>299</v>
      </c>
      <c r="AN46" s="52">
        <v>13</v>
      </c>
      <c r="AO46" s="52">
        <v>312</v>
      </c>
      <c r="AP46" s="52">
        <v>320</v>
      </c>
      <c r="AQ46" s="52">
        <v>19</v>
      </c>
      <c r="AR46" s="52">
        <v>339</v>
      </c>
      <c r="AS46" s="52">
        <v>364</v>
      </c>
      <c r="AT46" s="52">
        <v>21</v>
      </c>
      <c r="AU46" s="52">
        <v>385</v>
      </c>
      <c r="AV46" s="52">
        <v>303</v>
      </c>
      <c r="AW46" s="52">
        <v>44</v>
      </c>
      <c r="AX46" s="52">
        <v>347</v>
      </c>
      <c r="AY46" s="52">
        <v>-296</v>
      </c>
      <c r="AZ46" s="52">
        <v>21</v>
      </c>
      <c r="BA46" s="52">
        <v>-275</v>
      </c>
      <c r="BB46" s="52">
        <v>156</v>
      </c>
      <c r="BC46" s="52">
        <v>18</v>
      </c>
      <c r="BD46" s="52">
        <v>174</v>
      </c>
      <c r="BE46" s="52">
        <v>230</v>
      </c>
      <c r="BF46" s="52">
        <v>35</v>
      </c>
      <c r="BG46" s="52">
        <v>265</v>
      </c>
      <c r="BV46" s="52">
        <f t="shared" si="0"/>
        <v>1376</v>
      </c>
      <c r="BW46" s="52">
        <f t="shared" si="1"/>
        <v>171</v>
      </c>
      <c r="BX46" s="314">
        <f t="shared" si="2"/>
        <v>0.12427325581395349</v>
      </c>
    </row>
    <row r="47" spans="1:76" x14ac:dyDescent="0.2">
      <c r="A47" s="52" t="s">
        <v>244</v>
      </c>
      <c r="B47" s="52">
        <v>13053</v>
      </c>
      <c r="C47" s="52">
        <v>803</v>
      </c>
      <c r="D47" s="52">
        <v>84</v>
      </c>
      <c r="E47" s="52">
        <v>887</v>
      </c>
      <c r="F47" s="52">
        <v>1763</v>
      </c>
      <c r="G47" s="52">
        <v>183</v>
      </c>
      <c r="H47" s="52">
        <v>1946</v>
      </c>
      <c r="I47" s="52">
        <v>1685</v>
      </c>
      <c r="J47" s="52">
        <v>207</v>
      </c>
      <c r="K47" s="52">
        <v>1892</v>
      </c>
      <c r="L47" s="52">
        <v>1728</v>
      </c>
      <c r="M47" s="52">
        <v>251</v>
      </c>
      <c r="N47" s="52">
        <v>1979</v>
      </c>
      <c r="O47" s="52">
        <v>1619</v>
      </c>
      <c r="P47" s="52">
        <v>371</v>
      </c>
      <c r="Q47" s="52">
        <v>1990</v>
      </c>
      <c r="R47" s="52">
        <v>1616</v>
      </c>
      <c r="S47" s="52">
        <v>254</v>
      </c>
      <c r="T47" s="52">
        <v>1870</v>
      </c>
      <c r="U47" s="52">
        <v>1562</v>
      </c>
      <c r="V47" s="52">
        <v>146</v>
      </c>
      <c r="W47" s="52">
        <v>1708</v>
      </c>
      <c r="X47" s="52">
        <v>1920</v>
      </c>
      <c r="Y47" s="52">
        <v>270</v>
      </c>
      <c r="Z47" s="52">
        <v>2190</v>
      </c>
      <c r="AA47" s="52">
        <v>1747</v>
      </c>
      <c r="AB47" s="52">
        <v>210</v>
      </c>
      <c r="AC47" s="52">
        <v>1957</v>
      </c>
      <c r="AD47" s="52">
        <v>1759</v>
      </c>
      <c r="AE47" s="52">
        <v>212</v>
      </c>
      <c r="AF47" s="52">
        <v>1971</v>
      </c>
      <c r="AG47" s="52">
        <v>2065</v>
      </c>
      <c r="AH47" s="52">
        <v>214</v>
      </c>
      <c r="AI47" s="52">
        <v>2279</v>
      </c>
      <c r="AJ47" s="52">
        <v>1542</v>
      </c>
      <c r="AK47" s="52">
        <v>116</v>
      </c>
      <c r="AL47" s="52">
        <v>1658</v>
      </c>
      <c r="AM47" s="52">
        <v>1795</v>
      </c>
      <c r="AN47" s="52">
        <v>146</v>
      </c>
      <c r="AO47" s="52">
        <v>1941</v>
      </c>
      <c r="AP47" s="52">
        <v>1710</v>
      </c>
      <c r="AQ47" s="52">
        <v>146</v>
      </c>
      <c r="AR47" s="52">
        <v>1856</v>
      </c>
      <c r="AS47" s="52">
        <v>1750</v>
      </c>
      <c r="AT47" s="52">
        <v>181</v>
      </c>
      <c r="AU47" s="52">
        <v>1931</v>
      </c>
      <c r="AV47" s="52">
        <v>1820</v>
      </c>
      <c r="AW47" s="52">
        <v>222</v>
      </c>
      <c r="AX47" s="52">
        <v>2042</v>
      </c>
      <c r="AY47" s="52">
        <v>1361</v>
      </c>
      <c r="AZ47" s="52">
        <v>193</v>
      </c>
      <c r="BA47" s="52">
        <v>1554</v>
      </c>
      <c r="BB47" s="52">
        <v>1833</v>
      </c>
      <c r="BC47" s="52">
        <v>155</v>
      </c>
      <c r="BD47" s="52">
        <v>1988</v>
      </c>
      <c r="BE47" s="52">
        <v>1752</v>
      </c>
      <c r="BF47" s="52">
        <v>115</v>
      </c>
      <c r="BG47" s="52">
        <v>1867</v>
      </c>
      <c r="BV47" s="52">
        <f t="shared" si="0"/>
        <v>12021</v>
      </c>
      <c r="BW47" s="52">
        <f t="shared" si="1"/>
        <v>1158</v>
      </c>
      <c r="BX47" s="314">
        <f t="shared" si="2"/>
        <v>9.6331420014973801E-2</v>
      </c>
    </row>
    <row r="48" spans="1:76" x14ac:dyDescent="0.2">
      <c r="A48" s="52" t="s">
        <v>245</v>
      </c>
      <c r="B48" s="52">
        <v>13017</v>
      </c>
      <c r="C48" s="52">
        <v>321</v>
      </c>
      <c r="D48" s="52">
        <v>76</v>
      </c>
      <c r="E48" s="52">
        <v>397</v>
      </c>
      <c r="F48" s="52">
        <v>713</v>
      </c>
      <c r="G48" s="52">
        <v>310</v>
      </c>
      <c r="H48" s="52">
        <v>1023</v>
      </c>
      <c r="I48" s="52">
        <v>275</v>
      </c>
      <c r="J48" s="52">
        <v>70</v>
      </c>
      <c r="K48" s="52">
        <v>345</v>
      </c>
      <c r="L48" s="52">
        <v>647</v>
      </c>
      <c r="M48" s="52">
        <v>71</v>
      </c>
      <c r="N48" s="52">
        <v>718</v>
      </c>
      <c r="O48" s="52">
        <v>1146</v>
      </c>
      <c r="P48" s="52">
        <v>1614</v>
      </c>
      <c r="Q48" s="52">
        <v>2760</v>
      </c>
      <c r="R48" s="52">
        <v>1370</v>
      </c>
      <c r="S48" s="52">
        <v>175</v>
      </c>
      <c r="T48" s="52">
        <v>1545</v>
      </c>
      <c r="U48" s="52">
        <v>937</v>
      </c>
      <c r="V48" s="52">
        <v>286</v>
      </c>
      <c r="W48" s="52">
        <v>1223</v>
      </c>
      <c r="X48" s="52">
        <v>875</v>
      </c>
      <c r="Y48" s="52">
        <v>460</v>
      </c>
      <c r="Z48" s="52">
        <v>1335</v>
      </c>
      <c r="AA48" s="52">
        <v>307</v>
      </c>
      <c r="AB48" s="52">
        <v>299</v>
      </c>
      <c r="AC48" s="52">
        <v>606</v>
      </c>
      <c r="AD48" s="52">
        <v>189</v>
      </c>
      <c r="AE48" s="52">
        <v>115</v>
      </c>
      <c r="AF48" s="52">
        <v>304</v>
      </c>
      <c r="AG48" s="52">
        <v>356</v>
      </c>
      <c r="AH48" s="52">
        <v>224</v>
      </c>
      <c r="AI48" s="52">
        <v>580</v>
      </c>
      <c r="AJ48" s="52">
        <v>415</v>
      </c>
      <c r="AK48" s="52">
        <v>297</v>
      </c>
      <c r="AL48" s="52">
        <v>712</v>
      </c>
      <c r="AM48" s="52">
        <v>101</v>
      </c>
      <c r="AN48" s="52">
        <v>102</v>
      </c>
      <c r="AO48" s="52">
        <v>203</v>
      </c>
      <c r="AP48" s="52">
        <v>0</v>
      </c>
      <c r="AS48" s="52">
        <v>-346</v>
      </c>
      <c r="AT48" s="52">
        <v>0</v>
      </c>
      <c r="AU48" s="52">
        <v>-346</v>
      </c>
      <c r="AV48" s="52">
        <v>-426</v>
      </c>
      <c r="AW48" s="52">
        <v>-20</v>
      </c>
      <c r="AX48" s="52">
        <v>-446</v>
      </c>
      <c r="AY48" s="52">
        <v>-242</v>
      </c>
      <c r="AZ48" s="52">
        <v>0</v>
      </c>
      <c r="BA48" s="52">
        <v>-242</v>
      </c>
      <c r="BB48" s="52">
        <v>-246</v>
      </c>
      <c r="BC48" s="52">
        <v>0</v>
      </c>
      <c r="BD48" s="52">
        <v>-246</v>
      </c>
      <c r="BE48" s="52">
        <v>0</v>
      </c>
      <c r="BV48" s="52">
        <f t="shared" si="0"/>
        <v>-1159</v>
      </c>
      <c r="BW48" s="52">
        <f t="shared" si="1"/>
        <v>82</v>
      </c>
      <c r="BX48" s="314">
        <f t="shared" si="2"/>
        <v>-7.0750647109577222E-2</v>
      </c>
    </row>
    <row r="49" spans="1:76" x14ac:dyDescent="0.2">
      <c r="A49" s="52" t="s">
        <v>246</v>
      </c>
      <c r="B49" s="52">
        <v>13016</v>
      </c>
      <c r="C49" s="52">
        <v>195</v>
      </c>
      <c r="D49" s="52">
        <v>183</v>
      </c>
      <c r="E49" s="52">
        <v>378</v>
      </c>
      <c r="F49" s="52">
        <v>668</v>
      </c>
      <c r="G49" s="52">
        <v>311</v>
      </c>
      <c r="H49" s="52">
        <v>979</v>
      </c>
      <c r="I49" s="52">
        <v>451</v>
      </c>
      <c r="J49" s="52">
        <v>132</v>
      </c>
      <c r="K49" s="52">
        <v>583</v>
      </c>
      <c r="L49" s="52">
        <v>861</v>
      </c>
      <c r="M49" s="52">
        <v>119</v>
      </c>
      <c r="N49" s="52">
        <v>980</v>
      </c>
      <c r="O49" s="52">
        <v>1277</v>
      </c>
      <c r="P49" s="52">
        <v>1807</v>
      </c>
      <c r="Q49" s="52">
        <v>3084</v>
      </c>
      <c r="R49" s="52">
        <v>1116</v>
      </c>
      <c r="S49" s="52">
        <v>199</v>
      </c>
      <c r="T49" s="52">
        <v>1315</v>
      </c>
      <c r="U49" s="52">
        <v>514</v>
      </c>
      <c r="V49" s="52">
        <v>170</v>
      </c>
      <c r="W49" s="52">
        <v>684</v>
      </c>
      <c r="X49" s="52">
        <v>445</v>
      </c>
      <c r="Y49" s="52">
        <v>272</v>
      </c>
      <c r="Z49" s="52">
        <v>717</v>
      </c>
      <c r="AA49" s="52">
        <v>217</v>
      </c>
      <c r="AB49" s="52">
        <v>187</v>
      </c>
      <c r="AC49" s="52">
        <v>404</v>
      </c>
      <c r="AD49" s="52">
        <v>305</v>
      </c>
      <c r="AE49" s="52">
        <v>179</v>
      </c>
      <c r="AF49" s="52">
        <v>484</v>
      </c>
      <c r="AG49" s="52">
        <v>237</v>
      </c>
      <c r="AH49" s="52">
        <v>133</v>
      </c>
      <c r="AI49" s="52">
        <v>370</v>
      </c>
      <c r="AJ49" s="52">
        <v>63</v>
      </c>
      <c r="AK49" s="52">
        <v>1</v>
      </c>
      <c r="AL49" s="52">
        <v>64</v>
      </c>
      <c r="AM49" s="52">
        <v>3</v>
      </c>
      <c r="AN49" s="52">
        <v>0</v>
      </c>
      <c r="AO49" s="52">
        <v>3</v>
      </c>
      <c r="AP49" s="52">
        <v>0</v>
      </c>
      <c r="AS49" s="52">
        <v>-251</v>
      </c>
      <c r="AT49" s="52">
        <v>0</v>
      </c>
      <c r="AU49" s="52">
        <v>-251</v>
      </c>
      <c r="AV49" s="52">
        <v>-266</v>
      </c>
      <c r="AW49" s="52">
        <v>0</v>
      </c>
      <c r="AX49" s="52">
        <v>-266</v>
      </c>
      <c r="AY49" s="52">
        <v>-273</v>
      </c>
      <c r="AZ49" s="52">
        <v>0</v>
      </c>
      <c r="BA49" s="52">
        <v>-273</v>
      </c>
      <c r="BB49" s="52">
        <v>-61</v>
      </c>
      <c r="BC49" s="52">
        <v>0</v>
      </c>
      <c r="BD49" s="52">
        <v>-61</v>
      </c>
      <c r="BE49" s="52">
        <v>60</v>
      </c>
      <c r="BF49" s="52">
        <v>4</v>
      </c>
      <c r="BG49" s="52">
        <v>64</v>
      </c>
      <c r="BV49" s="52">
        <f t="shared" si="0"/>
        <v>-788</v>
      </c>
      <c r="BW49" s="52">
        <f t="shared" si="1"/>
        <v>4</v>
      </c>
      <c r="BX49" s="314">
        <f t="shared" si="2"/>
        <v>-5.076142131979695E-3</v>
      </c>
    </row>
    <row r="50" spans="1:76" x14ac:dyDescent="0.2">
      <c r="A50" s="52" t="s">
        <v>247</v>
      </c>
      <c r="B50" s="52">
        <v>13077</v>
      </c>
      <c r="C50" s="52">
        <v>541</v>
      </c>
      <c r="D50" s="52">
        <v>95</v>
      </c>
      <c r="E50" s="52">
        <v>636</v>
      </c>
      <c r="F50" s="52">
        <v>-2</v>
      </c>
      <c r="G50" s="52">
        <v>0</v>
      </c>
      <c r="H50" s="52">
        <v>-2</v>
      </c>
      <c r="I50" s="52">
        <v>0</v>
      </c>
      <c r="J50" s="52">
        <v>0</v>
      </c>
      <c r="K50" s="52">
        <v>0</v>
      </c>
      <c r="L50" s="52">
        <v>0</v>
      </c>
      <c r="O50" s="52">
        <v>0</v>
      </c>
      <c r="P50" s="52">
        <v>0</v>
      </c>
      <c r="Q50" s="52">
        <v>0</v>
      </c>
      <c r="R50" s="52">
        <v>0</v>
      </c>
      <c r="S50" s="52">
        <v>0</v>
      </c>
      <c r="T50" s="52">
        <v>0</v>
      </c>
      <c r="U50" s="52">
        <v>0</v>
      </c>
      <c r="X50" s="52">
        <v>0</v>
      </c>
      <c r="AA50" s="52">
        <v>0</v>
      </c>
      <c r="AD50" s="52">
        <v>0</v>
      </c>
      <c r="AG50" s="52">
        <v>0</v>
      </c>
      <c r="AJ50" s="52">
        <v>0</v>
      </c>
      <c r="AM50" s="52">
        <v>0</v>
      </c>
      <c r="AP50" s="52">
        <v>0</v>
      </c>
      <c r="AS50" s="52">
        <v>0</v>
      </c>
      <c r="AV50" s="52">
        <v>-11</v>
      </c>
      <c r="AW50" s="52">
        <v>0</v>
      </c>
      <c r="AX50" s="52">
        <v>-11</v>
      </c>
      <c r="AY50" s="52">
        <v>-9</v>
      </c>
      <c r="AZ50" s="52">
        <v>0</v>
      </c>
      <c r="BA50" s="52">
        <v>-9</v>
      </c>
      <c r="BB50" s="52">
        <v>-5</v>
      </c>
      <c r="BC50" s="52">
        <v>0</v>
      </c>
      <c r="BD50" s="52">
        <v>-5</v>
      </c>
      <c r="BE50" s="52">
        <v>0</v>
      </c>
      <c r="BV50" s="52">
        <f t="shared" si="0"/>
        <v>-25</v>
      </c>
      <c r="BW50" s="52">
        <f t="shared" si="1"/>
        <v>0</v>
      </c>
      <c r="BX50" s="314">
        <f t="shared" si="2"/>
        <v>0</v>
      </c>
    </row>
    <row r="51" spans="1:76" x14ac:dyDescent="0.2">
      <c r="A51" s="52" t="s">
        <v>248</v>
      </c>
      <c r="B51" s="52">
        <v>13035</v>
      </c>
      <c r="C51" s="52">
        <v>4</v>
      </c>
      <c r="D51" s="52">
        <v>0</v>
      </c>
      <c r="E51" s="52">
        <v>4</v>
      </c>
      <c r="F51" s="52">
        <v>-5</v>
      </c>
      <c r="G51" s="52">
        <v>-1</v>
      </c>
      <c r="H51" s="52">
        <v>-6</v>
      </c>
      <c r="I51" s="52">
        <v>0</v>
      </c>
      <c r="J51" s="52">
        <v>0</v>
      </c>
      <c r="K51" s="52">
        <v>0</v>
      </c>
      <c r="L51" s="52">
        <v>0</v>
      </c>
      <c r="O51" s="52">
        <v>0</v>
      </c>
      <c r="P51" s="52">
        <v>0</v>
      </c>
      <c r="Q51" s="52">
        <v>0</v>
      </c>
      <c r="R51" s="52">
        <v>0</v>
      </c>
      <c r="S51" s="52">
        <v>0</v>
      </c>
      <c r="T51" s="52">
        <v>0</v>
      </c>
      <c r="U51" s="52">
        <v>0</v>
      </c>
      <c r="X51" s="52">
        <v>0</v>
      </c>
      <c r="AA51" s="52">
        <v>0</v>
      </c>
      <c r="AD51" s="52">
        <v>0</v>
      </c>
      <c r="AG51" s="52">
        <v>0</v>
      </c>
      <c r="AJ51" s="52">
        <v>0</v>
      </c>
      <c r="AM51" s="52">
        <v>0</v>
      </c>
      <c r="AP51" s="52">
        <v>0</v>
      </c>
      <c r="AS51" s="52">
        <v>-9</v>
      </c>
      <c r="AT51" s="52">
        <v>0</v>
      </c>
      <c r="AU51" s="52">
        <v>-9</v>
      </c>
      <c r="AV51" s="52">
        <v>-6</v>
      </c>
      <c r="AW51" s="52">
        <v>0</v>
      </c>
      <c r="AX51" s="52">
        <v>-6</v>
      </c>
      <c r="AY51" s="52">
        <v>5513</v>
      </c>
      <c r="AZ51" s="52">
        <v>1234</v>
      </c>
      <c r="BA51" s="52">
        <v>6747</v>
      </c>
      <c r="BB51" s="52">
        <v>1684</v>
      </c>
      <c r="BC51" s="52">
        <v>320</v>
      </c>
      <c r="BD51" s="52">
        <v>2004</v>
      </c>
      <c r="BE51" s="52">
        <v>1244</v>
      </c>
      <c r="BF51" s="52">
        <v>182</v>
      </c>
      <c r="BG51" s="52">
        <v>1426</v>
      </c>
      <c r="BV51" s="52">
        <f t="shared" si="0"/>
        <v>8426</v>
      </c>
      <c r="BW51" s="52">
        <f t="shared" si="1"/>
        <v>1736</v>
      </c>
      <c r="BX51" s="314">
        <f t="shared" si="2"/>
        <v>0.20602895798718254</v>
      </c>
    </row>
    <row r="52" spans="1:76" x14ac:dyDescent="0.2">
      <c r="A52" s="52" t="s">
        <v>158</v>
      </c>
      <c r="B52" s="52">
        <v>13085</v>
      </c>
      <c r="C52" s="52">
        <v>673</v>
      </c>
      <c r="D52" s="52">
        <v>158</v>
      </c>
      <c r="E52" s="52">
        <v>831</v>
      </c>
      <c r="F52" s="52">
        <v>265</v>
      </c>
      <c r="G52" s="52">
        <v>58</v>
      </c>
      <c r="H52" s="52">
        <v>323</v>
      </c>
      <c r="I52" s="52">
        <v>561</v>
      </c>
      <c r="J52" s="52">
        <v>74</v>
      </c>
      <c r="K52" s="52">
        <v>635</v>
      </c>
      <c r="L52" s="52">
        <v>438</v>
      </c>
      <c r="M52" s="52">
        <v>79</v>
      </c>
      <c r="N52" s="52">
        <v>517</v>
      </c>
      <c r="O52" s="52">
        <v>710</v>
      </c>
      <c r="P52" s="52">
        <v>118</v>
      </c>
      <c r="Q52" s="52">
        <v>828</v>
      </c>
      <c r="R52" s="52">
        <v>1324</v>
      </c>
      <c r="S52" s="52">
        <v>241</v>
      </c>
      <c r="T52" s="52">
        <v>1565</v>
      </c>
      <c r="U52" s="52">
        <v>986</v>
      </c>
      <c r="V52" s="52">
        <v>238</v>
      </c>
      <c r="W52" s="52">
        <v>1224</v>
      </c>
      <c r="X52" s="52">
        <v>1788</v>
      </c>
      <c r="Y52" s="52">
        <v>295</v>
      </c>
      <c r="Z52" s="52">
        <v>2083</v>
      </c>
      <c r="AA52" s="52">
        <v>1677</v>
      </c>
      <c r="AB52" s="52">
        <v>294</v>
      </c>
      <c r="AC52" s="52">
        <v>1971</v>
      </c>
      <c r="AD52" s="52">
        <v>1772</v>
      </c>
      <c r="AE52" s="52">
        <v>297</v>
      </c>
      <c r="AF52" s="52">
        <v>2069</v>
      </c>
      <c r="AG52" s="52">
        <v>844</v>
      </c>
      <c r="AH52" s="52">
        <v>122</v>
      </c>
      <c r="AI52" s="52">
        <v>966</v>
      </c>
      <c r="AJ52" s="52">
        <v>801</v>
      </c>
      <c r="AK52" s="52">
        <v>161</v>
      </c>
      <c r="AL52" s="52">
        <v>962</v>
      </c>
      <c r="AM52" s="52">
        <v>673</v>
      </c>
      <c r="AN52" s="52">
        <v>100</v>
      </c>
      <c r="AO52" s="52">
        <v>773</v>
      </c>
      <c r="AP52" s="52">
        <v>256</v>
      </c>
      <c r="AQ52" s="52">
        <v>73</v>
      </c>
      <c r="AR52" s="52">
        <v>329</v>
      </c>
      <c r="AS52" s="52">
        <v>447</v>
      </c>
      <c r="AT52" s="52">
        <v>76</v>
      </c>
      <c r="AU52" s="52">
        <v>523</v>
      </c>
      <c r="AV52" s="52">
        <v>384</v>
      </c>
      <c r="AW52" s="52">
        <v>62</v>
      </c>
      <c r="AX52" s="52">
        <v>446</v>
      </c>
      <c r="AY52" s="52">
        <v>520</v>
      </c>
      <c r="AZ52" s="52">
        <v>56</v>
      </c>
      <c r="BA52" s="52">
        <v>576</v>
      </c>
      <c r="BB52" s="52">
        <v>954</v>
      </c>
      <c r="BC52" s="52">
        <v>116</v>
      </c>
      <c r="BD52" s="52">
        <v>1070</v>
      </c>
      <c r="BE52" s="52">
        <v>897</v>
      </c>
      <c r="BF52" s="52">
        <v>76</v>
      </c>
      <c r="BG52" s="52">
        <v>973</v>
      </c>
      <c r="BV52" s="52">
        <f t="shared" si="0"/>
        <v>4131</v>
      </c>
      <c r="BW52" s="52">
        <f t="shared" si="1"/>
        <v>559</v>
      </c>
      <c r="BX52" s="314">
        <f t="shared" si="2"/>
        <v>0.13531832486080853</v>
      </c>
    </row>
    <row r="53" spans="1:76" x14ac:dyDescent="0.2">
      <c r="A53" s="52" t="s">
        <v>159</v>
      </c>
      <c r="B53" s="52">
        <v>13087</v>
      </c>
      <c r="C53" s="52">
        <v>1332</v>
      </c>
      <c r="D53" s="52">
        <v>295</v>
      </c>
      <c r="E53" s="52">
        <v>1627</v>
      </c>
      <c r="F53" s="52">
        <v>1835</v>
      </c>
      <c r="G53" s="52">
        <v>426</v>
      </c>
      <c r="H53" s="52">
        <v>2261</v>
      </c>
      <c r="I53" s="52">
        <v>4082</v>
      </c>
      <c r="J53" s="52">
        <v>796</v>
      </c>
      <c r="K53" s="52">
        <v>4878</v>
      </c>
      <c r="L53" s="52">
        <v>3428</v>
      </c>
      <c r="M53" s="52">
        <v>655</v>
      </c>
      <c r="N53" s="52">
        <v>4083</v>
      </c>
      <c r="O53" s="52">
        <v>2468</v>
      </c>
      <c r="P53" s="52">
        <v>606</v>
      </c>
      <c r="Q53" s="52">
        <v>3074</v>
      </c>
      <c r="R53" s="52">
        <v>4815</v>
      </c>
      <c r="S53" s="52">
        <v>880</v>
      </c>
      <c r="T53" s="52">
        <v>5695</v>
      </c>
      <c r="U53" s="52">
        <v>4548</v>
      </c>
      <c r="V53" s="52">
        <v>1004</v>
      </c>
      <c r="W53" s="52">
        <v>5552</v>
      </c>
      <c r="X53" s="52">
        <v>3444</v>
      </c>
      <c r="Y53" s="52">
        <v>1329</v>
      </c>
      <c r="Z53" s="52">
        <v>4773</v>
      </c>
      <c r="AA53" s="52">
        <v>4050</v>
      </c>
      <c r="AB53" s="52">
        <v>1073</v>
      </c>
      <c r="AC53" s="52">
        <v>5123</v>
      </c>
      <c r="AD53" s="52">
        <v>4753</v>
      </c>
      <c r="AE53" s="52">
        <v>1384</v>
      </c>
      <c r="AF53" s="52">
        <v>6137</v>
      </c>
      <c r="AG53" s="52">
        <v>2053</v>
      </c>
      <c r="AH53" s="52">
        <v>790</v>
      </c>
      <c r="AI53" s="52">
        <v>2843</v>
      </c>
      <c r="AJ53" s="52">
        <v>1540</v>
      </c>
      <c r="AK53" s="52">
        <v>623</v>
      </c>
      <c r="AL53" s="52">
        <v>2163</v>
      </c>
      <c r="AM53" s="52">
        <v>741</v>
      </c>
      <c r="AN53" s="52">
        <v>152</v>
      </c>
      <c r="AO53" s="52">
        <v>893</v>
      </c>
      <c r="AP53" s="52">
        <v>933</v>
      </c>
      <c r="AQ53" s="52">
        <v>159</v>
      </c>
      <c r="AR53" s="52">
        <v>1092</v>
      </c>
      <c r="AS53" s="52">
        <v>1641</v>
      </c>
      <c r="AT53" s="52">
        <v>217</v>
      </c>
      <c r="AU53" s="52">
        <v>1858</v>
      </c>
      <c r="AV53" s="52">
        <v>2787</v>
      </c>
      <c r="AW53" s="52">
        <v>436</v>
      </c>
      <c r="AX53" s="52">
        <v>3223</v>
      </c>
      <c r="AY53" s="52">
        <v>2758</v>
      </c>
      <c r="AZ53" s="52">
        <v>473</v>
      </c>
      <c r="BA53" s="52">
        <v>3231</v>
      </c>
      <c r="BB53" s="52">
        <v>2331</v>
      </c>
      <c r="BC53" s="52">
        <v>397</v>
      </c>
      <c r="BD53" s="52">
        <v>2728</v>
      </c>
      <c r="BE53" s="52">
        <v>1773</v>
      </c>
      <c r="BF53" s="52">
        <v>373</v>
      </c>
      <c r="BG53" s="52">
        <v>2146</v>
      </c>
      <c r="BV53" s="52">
        <f t="shared" si="0"/>
        <v>12964</v>
      </c>
      <c r="BW53" s="52">
        <f t="shared" si="1"/>
        <v>2207</v>
      </c>
      <c r="BX53" s="314">
        <f t="shared" si="2"/>
        <v>0.17024066646096883</v>
      </c>
    </row>
    <row r="54" spans="1:76" x14ac:dyDescent="0.2">
      <c r="A54" s="52" t="s">
        <v>160</v>
      </c>
      <c r="B54" s="52">
        <v>13069</v>
      </c>
      <c r="C54" s="52">
        <v>611</v>
      </c>
      <c r="D54" s="52">
        <v>67</v>
      </c>
      <c r="E54" s="52">
        <v>678</v>
      </c>
      <c r="F54" s="52">
        <v>1297</v>
      </c>
      <c r="G54" s="52">
        <v>288</v>
      </c>
      <c r="H54" s="52">
        <v>1585</v>
      </c>
      <c r="I54" s="52">
        <v>1238</v>
      </c>
      <c r="J54" s="52">
        <v>390</v>
      </c>
      <c r="K54" s="52">
        <v>1628</v>
      </c>
      <c r="L54" s="52">
        <v>1086</v>
      </c>
      <c r="M54" s="52">
        <v>135</v>
      </c>
      <c r="N54" s="52">
        <v>1221</v>
      </c>
      <c r="O54" s="52">
        <v>1132</v>
      </c>
      <c r="P54" s="52">
        <v>126</v>
      </c>
      <c r="Q54" s="52">
        <v>1258</v>
      </c>
      <c r="R54" s="52">
        <v>1438</v>
      </c>
      <c r="S54" s="52">
        <v>238</v>
      </c>
      <c r="T54" s="52">
        <v>1676</v>
      </c>
      <c r="U54" s="52">
        <v>903</v>
      </c>
      <c r="V54" s="52">
        <v>165</v>
      </c>
      <c r="W54" s="52">
        <v>1068</v>
      </c>
      <c r="X54" s="52">
        <v>685</v>
      </c>
      <c r="Y54" s="52">
        <v>187</v>
      </c>
      <c r="Z54" s="52">
        <v>872</v>
      </c>
      <c r="AA54" s="52">
        <v>1600</v>
      </c>
      <c r="AB54" s="52">
        <v>191</v>
      </c>
      <c r="AC54" s="52">
        <v>1791</v>
      </c>
      <c r="AD54" s="52">
        <v>1355</v>
      </c>
      <c r="AE54" s="52">
        <v>171</v>
      </c>
      <c r="AF54" s="52">
        <v>1526</v>
      </c>
      <c r="AG54" s="52">
        <v>971</v>
      </c>
      <c r="AH54" s="52">
        <v>103</v>
      </c>
      <c r="AI54" s="52">
        <v>1074</v>
      </c>
      <c r="AJ54" s="52">
        <v>1096</v>
      </c>
      <c r="AK54" s="52">
        <v>99</v>
      </c>
      <c r="AL54" s="52">
        <v>1195</v>
      </c>
      <c r="AM54" s="52">
        <v>1130</v>
      </c>
      <c r="AN54" s="52">
        <v>87</v>
      </c>
      <c r="AO54" s="52">
        <v>1217</v>
      </c>
      <c r="AP54" s="52">
        <v>1117</v>
      </c>
      <c r="AQ54" s="52">
        <v>117</v>
      </c>
      <c r="AR54" s="52">
        <v>1234</v>
      </c>
      <c r="AS54" s="52">
        <v>1467</v>
      </c>
      <c r="AT54" s="52">
        <v>145</v>
      </c>
      <c r="AU54" s="52">
        <v>1612</v>
      </c>
      <c r="AV54" s="52">
        <v>1164</v>
      </c>
      <c r="AW54" s="52">
        <v>112</v>
      </c>
      <c r="AX54" s="52">
        <v>1276</v>
      </c>
      <c r="AY54" s="52">
        <v>1179</v>
      </c>
      <c r="AZ54" s="52">
        <v>131</v>
      </c>
      <c r="BA54" s="52">
        <v>1310</v>
      </c>
      <c r="BB54" s="52">
        <v>1265</v>
      </c>
      <c r="BC54" s="52">
        <v>140</v>
      </c>
      <c r="BD54" s="52">
        <v>1405</v>
      </c>
      <c r="BE54" s="52">
        <v>1191</v>
      </c>
      <c r="BF54" s="52">
        <v>108</v>
      </c>
      <c r="BG54" s="52">
        <v>1299</v>
      </c>
      <c r="BV54" s="52">
        <f t="shared" si="0"/>
        <v>8513</v>
      </c>
      <c r="BW54" s="52">
        <f t="shared" si="1"/>
        <v>840</v>
      </c>
      <c r="BX54" s="314">
        <f t="shared" si="2"/>
        <v>9.867261834840832E-2</v>
      </c>
    </row>
    <row r="55" spans="1:76" x14ac:dyDescent="0.2">
      <c r="A55" s="52" t="s">
        <v>161</v>
      </c>
      <c r="B55" s="52">
        <v>13051</v>
      </c>
      <c r="C55" s="52">
        <v>778</v>
      </c>
      <c r="D55" s="52">
        <v>86</v>
      </c>
      <c r="E55" s="52">
        <v>864</v>
      </c>
      <c r="F55" s="52">
        <v>1365</v>
      </c>
      <c r="G55" s="52">
        <v>125</v>
      </c>
      <c r="H55" s="52">
        <v>1490</v>
      </c>
      <c r="I55" s="52">
        <v>330</v>
      </c>
      <c r="J55" s="52">
        <v>34</v>
      </c>
      <c r="K55" s="52">
        <v>364</v>
      </c>
      <c r="L55" s="52">
        <v>1817</v>
      </c>
      <c r="M55" s="52">
        <v>239</v>
      </c>
      <c r="N55" s="52">
        <v>2056</v>
      </c>
      <c r="O55" s="52">
        <v>1865</v>
      </c>
      <c r="P55" s="52">
        <v>250</v>
      </c>
      <c r="Q55" s="52">
        <v>2115</v>
      </c>
      <c r="R55" s="52">
        <v>1253</v>
      </c>
      <c r="S55" s="52">
        <v>166</v>
      </c>
      <c r="T55" s="52">
        <v>1419</v>
      </c>
      <c r="U55" s="52">
        <v>1385</v>
      </c>
      <c r="V55" s="52">
        <v>157</v>
      </c>
      <c r="W55" s="52">
        <v>1542</v>
      </c>
      <c r="X55" s="52">
        <v>1752</v>
      </c>
      <c r="Y55" s="52">
        <v>239</v>
      </c>
      <c r="Z55" s="52">
        <v>1991</v>
      </c>
      <c r="AA55" s="52">
        <v>1697</v>
      </c>
      <c r="AB55" s="52">
        <v>247</v>
      </c>
      <c r="AC55" s="52">
        <v>1944</v>
      </c>
      <c r="AD55" s="52">
        <v>1178</v>
      </c>
      <c r="AE55" s="52">
        <v>164</v>
      </c>
      <c r="AF55" s="52">
        <v>1342</v>
      </c>
      <c r="AG55" s="52">
        <v>1277</v>
      </c>
      <c r="AH55" s="52">
        <v>156</v>
      </c>
      <c r="AI55" s="52">
        <v>1433</v>
      </c>
      <c r="AJ55" s="52">
        <v>1389</v>
      </c>
      <c r="AK55" s="52">
        <v>170</v>
      </c>
      <c r="AL55" s="52">
        <v>1559</v>
      </c>
      <c r="AM55" s="52">
        <v>1270</v>
      </c>
      <c r="AN55" s="52">
        <v>127</v>
      </c>
      <c r="AO55" s="52">
        <v>1397</v>
      </c>
      <c r="AP55" s="52">
        <v>1507</v>
      </c>
      <c r="AQ55" s="52">
        <v>172</v>
      </c>
      <c r="AR55" s="52">
        <v>1679</v>
      </c>
      <c r="AS55" s="52">
        <v>1385</v>
      </c>
      <c r="AT55" s="52">
        <v>137</v>
      </c>
      <c r="AU55" s="52">
        <v>1522</v>
      </c>
      <c r="AV55" s="52">
        <v>984</v>
      </c>
      <c r="AW55" s="52">
        <v>120</v>
      </c>
      <c r="AX55" s="52">
        <v>1104</v>
      </c>
      <c r="AY55" s="52">
        <v>1176</v>
      </c>
      <c r="AZ55" s="52">
        <v>155</v>
      </c>
      <c r="BA55" s="52">
        <v>1331</v>
      </c>
      <c r="BB55" s="52">
        <v>1642</v>
      </c>
      <c r="BC55" s="52">
        <v>228</v>
      </c>
      <c r="BD55" s="52">
        <v>1870</v>
      </c>
      <c r="BE55" s="52">
        <v>1652</v>
      </c>
      <c r="BF55" s="52">
        <v>207</v>
      </c>
      <c r="BG55" s="52">
        <v>1859</v>
      </c>
      <c r="BV55" s="52">
        <f t="shared" si="0"/>
        <v>9616</v>
      </c>
      <c r="BW55" s="52">
        <f t="shared" si="1"/>
        <v>1146</v>
      </c>
      <c r="BX55" s="314">
        <f t="shared" si="2"/>
        <v>0.11917637271214643</v>
      </c>
    </row>
    <row r="56" spans="1:76" x14ac:dyDescent="0.2">
      <c r="A56" s="52" t="s">
        <v>162</v>
      </c>
      <c r="B56" s="52">
        <v>13065</v>
      </c>
      <c r="C56" s="52">
        <v>2978</v>
      </c>
      <c r="D56" s="52">
        <v>777</v>
      </c>
      <c r="E56" s="52">
        <v>3755</v>
      </c>
      <c r="F56" s="52">
        <v>4239</v>
      </c>
      <c r="G56" s="52">
        <v>524</v>
      </c>
      <c r="H56" s="52">
        <v>4763</v>
      </c>
      <c r="I56" s="52">
        <v>4957</v>
      </c>
      <c r="J56" s="52">
        <v>945</v>
      </c>
      <c r="K56" s="52">
        <v>5902</v>
      </c>
      <c r="L56" s="52">
        <v>3383</v>
      </c>
      <c r="M56" s="52">
        <v>719</v>
      </c>
      <c r="N56" s="52">
        <v>4102</v>
      </c>
      <c r="O56" s="52">
        <v>3312</v>
      </c>
      <c r="P56" s="52">
        <v>745</v>
      </c>
      <c r="Q56" s="52">
        <v>4057</v>
      </c>
      <c r="R56" s="52">
        <v>1339</v>
      </c>
      <c r="S56" s="52">
        <v>253</v>
      </c>
      <c r="T56" s="52">
        <v>1592</v>
      </c>
      <c r="U56" s="52">
        <v>-109</v>
      </c>
      <c r="V56" s="52">
        <v>2</v>
      </c>
      <c r="W56" s="52">
        <v>-107</v>
      </c>
      <c r="X56" s="52">
        <v>-189</v>
      </c>
      <c r="Y56" s="52">
        <v>0</v>
      </c>
      <c r="Z56" s="52">
        <v>-189</v>
      </c>
      <c r="AA56" s="52">
        <v>-6</v>
      </c>
      <c r="AB56" s="52">
        <v>0</v>
      </c>
      <c r="AC56" s="52">
        <v>-6</v>
      </c>
      <c r="AD56" s="52">
        <v>-3</v>
      </c>
      <c r="AE56" s="52">
        <v>0</v>
      </c>
      <c r="AF56" s="52">
        <v>-3</v>
      </c>
      <c r="AG56" s="52">
        <v>0</v>
      </c>
      <c r="AJ56" s="52">
        <v>0</v>
      </c>
      <c r="AM56" s="52">
        <v>0</v>
      </c>
      <c r="AP56" s="52">
        <v>0</v>
      </c>
      <c r="AS56" s="52">
        <v>0</v>
      </c>
      <c r="AV56" s="52">
        <v>-12</v>
      </c>
      <c r="AW56" s="52">
        <v>0</v>
      </c>
      <c r="AX56" s="52">
        <v>-12</v>
      </c>
      <c r="AY56" s="52">
        <v>-63</v>
      </c>
      <c r="AZ56" s="52">
        <v>0</v>
      </c>
      <c r="BA56" s="52">
        <v>-63</v>
      </c>
      <c r="BB56" s="52">
        <v>-57</v>
      </c>
      <c r="BC56" s="52">
        <v>0</v>
      </c>
      <c r="BD56" s="52">
        <v>-57</v>
      </c>
      <c r="BE56" s="52">
        <v>-56</v>
      </c>
      <c r="BF56" s="52">
        <v>0</v>
      </c>
      <c r="BG56" s="52">
        <v>-56</v>
      </c>
      <c r="BV56" s="52">
        <f t="shared" si="0"/>
        <v>-188</v>
      </c>
      <c r="BW56" s="52">
        <f t="shared" si="1"/>
        <v>0</v>
      </c>
      <c r="BX56" s="314">
        <f t="shared" si="2"/>
        <v>0</v>
      </c>
    </row>
    <row r="57" spans="1:76" x14ac:dyDescent="0.2">
      <c r="A57" s="52" t="s">
        <v>163</v>
      </c>
      <c r="B57" s="52">
        <v>13145</v>
      </c>
      <c r="C57" s="52">
        <v>0</v>
      </c>
      <c r="F57" s="52">
        <v>0</v>
      </c>
      <c r="I57" s="52">
        <v>0</v>
      </c>
      <c r="L57" s="52">
        <v>0</v>
      </c>
      <c r="O57" s="52">
        <v>1239</v>
      </c>
      <c r="P57" s="52">
        <v>193</v>
      </c>
      <c r="Q57" s="52">
        <v>1432</v>
      </c>
      <c r="R57" s="52">
        <v>2160</v>
      </c>
      <c r="S57" s="52">
        <v>367</v>
      </c>
      <c r="T57" s="52">
        <v>2527</v>
      </c>
      <c r="U57" s="52">
        <v>2582</v>
      </c>
      <c r="V57" s="52">
        <v>437</v>
      </c>
      <c r="W57" s="52">
        <v>3019</v>
      </c>
      <c r="X57" s="52">
        <v>2526</v>
      </c>
      <c r="Y57" s="52">
        <v>469</v>
      </c>
      <c r="Z57" s="52">
        <v>2995</v>
      </c>
      <c r="AA57" s="52">
        <v>3318</v>
      </c>
      <c r="AB57" s="52">
        <v>603</v>
      </c>
      <c r="AC57" s="52">
        <v>3921</v>
      </c>
      <c r="AD57" s="52">
        <v>2447</v>
      </c>
      <c r="AE57" s="52">
        <v>462</v>
      </c>
      <c r="AF57" s="52">
        <v>2909</v>
      </c>
      <c r="AG57" s="52">
        <v>3176</v>
      </c>
      <c r="AH57" s="52">
        <v>495</v>
      </c>
      <c r="AI57" s="52">
        <v>3671</v>
      </c>
      <c r="AJ57" s="52">
        <v>2090</v>
      </c>
      <c r="AK57" s="52">
        <v>346</v>
      </c>
      <c r="AL57" s="52">
        <v>2436</v>
      </c>
      <c r="AM57" s="52">
        <v>2544</v>
      </c>
      <c r="AN57" s="52">
        <v>284</v>
      </c>
      <c r="AO57" s="52">
        <v>2828</v>
      </c>
      <c r="AP57" s="52">
        <v>2691</v>
      </c>
      <c r="AQ57" s="52">
        <v>358</v>
      </c>
      <c r="AR57" s="52">
        <v>3049</v>
      </c>
      <c r="AS57" s="52">
        <v>2513</v>
      </c>
      <c r="AT57" s="52">
        <v>335</v>
      </c>
      <c r="AU57" s="52">
        <v>2848</v>
      </c>
      <c r="AV57" s="52">
        <v>1706</v>
      </c>
      <c r="AW57" s="52">
        <v>245</v>
      </c>
      <c r="AX57" s="52">
        <v>1951</v>
      </c>
      <c r="AY57" s="52">
        <v>1947</v>
      </c>
      <c r="AZ57" s="52">
        <v>314</v>
      </c>
      <c r="BA57" s="52">
        <v>2261</v>
      </c>
      <c r="BB57" s="52">
        <v>2560</v>
      </c>
      <c r="BC57" s="52">
        <v>413</v>
      </c>
      <c r="BD57" s="52">
        <v>2973</v>
      </c>
      <c r="BE57" s="52">
        <v>2285</v>
      </c>
      <c r="BF57" s="52">
        <v>396</v>
      </c>
      <c r="BG57" s="52">
        <v>2681</v>
      </c>
      <c r="BV57" s="52">
        <f t="shared" si="0"/>
        <v>16246</v>
      </c>
      <c r="BW57" s="52">
        <f t="shared" si="1"/>
        <v>2345</v>
      </c>
      <c r="BX57" s="314">
        <f t="shared" si="2"/>
        <v>0.14434322294718699</v>
      </c>
    </row>
    <row r="58" spans="1:76" x14ac:dyDescent="0.2">
      <c r="A58" s="52" t="s">
        <v>164</v>
      </c>
      <c r="B58" s="52">
        <v>13023</v>
      </c>
      <c r="C58" s="52">
        <v>709</v>
      </c>
      <c r="D58" s="52">
        <v>93</v>
      </c>
      <c r="E58" s="52">
        <v>802</v>
      </c>
      <c r="F58" s="52">
        <v>1073</v>
      </c>
      <c r="G58" s="52">
        <v>123</v>
      </c>
      <c r="H58" s="52">
        <v>1196</v>
      </c>
      <c r="I58" s="52">
        <v>1569</v>
      </c>
      <c r="J58" s="52">
        <v>201</v>
      </c>
      <c r="K58" s="52">
        <v>1770</v>
      </c>
      <c r="L58" s="52">
        <v>895</v>
      </c>
      <c r="M58" s="52">
        <v>150</v>
      </c>
      <c r="N58" s="52">
        <v>1045</v>
      </c>
      <c r="O58" s="52">
        <v>996</v>
      </c>
      <c r="P58" s="52">
        <v>167</v>
      </c>
      <c r="Q58" s="52">
        <v>1163</v>
      </c>
      <c r="R58" s="52">
        <v>1395</v>
      </c>
      <c r="S58" s="52">
        <v>212</v>
      </c>
      <c r="T58" s="52">
        <v>1607</v>
      </c>
      <c r="U58" s="52">
        <v>808</v>
      </c>
      <c r="V58" s="52">
        <v>108</v>
      </c>
      <c r="W58" s="52">
        <v>916</v>
      </c>
      <c r="X58" s="52">
        <v>1348</v>
      </c>
      <c r="Y58" s="52">
        <v>228</v>
      </c>
      <c r="Z58" s="52">
        <v>1576</v>
      </c>
      <c r="AA58" s="52">
        <v>1204</v>
      </c>
      <c r="AB58" s="52">
        <v>204</v>
      </c>
      <c r="AC58" s="52">
        <v>1408</v>
      </c>
      <c r="AD58" s="52">
        <v>1097</v>
      </c>
      <c r="AE58" s="52">
        <v>189</v>
      </c>
      <c r="AF58" s="52">
        <v>1286</v>
      </c>
      <c r="AG58" s="52">
        <v>1503</v>
      </c>
      <c r="AH58" s="52">
        <v>303</v>
      </c>
      <c r="AI58" s="52">
        <v>1806</v>
      </c>
      <c r="AJ58" s="52">
        <v>1159</v>
      </c>
      <c r="AK58" s="52">
        <v>190</v>
      </c>
      <c r="AL58" s="52">
        <v>1349</v>
      </c>
      <c r="AM58" s="52">
        <v>1265</v>
      </c>
      <c r="AN58" s="52">
        <v>154</v>
      </c>
      <c r="AO58" s="52">
        <v>1419</v>
      </c>
      <c r="AP58" s="52">
        <v>710</v>
      </c>
      <c r="AQ58" s="52">
        <v>151</v>
      </c>
      <c r="AR58" s="52">
        <v>861</v>
      </c>
      <c r="AS58" s="52">
        <v>1236</v>
      </c>
      <c r="AT58" s="52">
        <v>226</v>
      </c>
      <c r="AU58" s="52">
        <v>1462</v>
      </c>
      <c r="AV58" s="52">
        <v>-8</v>
      </c>
      <c r="AW58" s="52">
        <v>1</v>
      </c>
      <c r="AX58" s="52">
        <v>-7</v>
      </c>
      <c r="AY58" s="52">
        <v>927</v>
      </c>
      <c r="AZ58" s="52">
        <v>124</v>
      </c>
      <c r="BA58" s="52">
        <v>1051</v>
      </c>
      <c r="BB58" s="52">
        <v>1652</v>
      </c>
      <c r="BC58" s="52">
        <v>240</v>
      </c>
      <c r="BD58" s="52">
        <v>1892</v>
      </c>
      <c r="BE58" s="52">
        <v>701</v>
      </c>
      <c r="BF58" s="52">
        <v>135</v>
      </c>
      <c r="BG58" s="52">
        <v>836</v>
      </c>
      <c r="BV58" s="52">
        <f t="shared" si="0"/>
        <v>6483</v>
      </c>
      <c r="BW58" s="52">
        <f t="shared" si="1"/>
        <v>1031</v>
      </c>
      <c r="BX58" s="314">
        <f t="shared" si="2"/>
        <v>0.15903131266389017</v>
      </c>
    </row>
    <row r="59" spans="1:76" x14ac:dyDescent="0.2">
      <c r="A59" s="52" t="s">
        <v>165</v>
      </c>
      <c r="B59" s="52">
        <v>13015</v>
      </c>
      <c r="C59" s="52">
        <v>1036</v>
      </c>
      <c r="D59" s="52">
        <v>118</v>
      </c>
      <c r="E59" s="52">
        <v>1154</v>
      </c>
      <c r="F59" s="52">
        <v>808</v>
      </c>
      <c r="G59" s="52">
        <v>88</v>
      </c>
      <c r="H59" s="52">
        <v>896</v>
      </c>
      <c r="I59" s="52">
        <v>1138</v>
      </c>
      <c r="J59" s="52">
        <v>129</v>
      </c>
      <c r="K59" s="52">
        <v>1267</v>
      </c>
      <c r="L59" s="52">
        <v>714</v>
      </c>
      <c r="M59" s="52">
        <v>123</v>
      </c>
      <c r="N59" s="52">
        <v>837</v>
      </c>
      <c r="O59" s="52">
        <v>897</v>
      </c>
      <c r="P59" s="52">
        <v>161</v>
      </c>
      <c r="Q59" s="52">
        <v>1058</v>
      </c>
      <c r="R59" s="52">
        <v>872</v>
      </c>
      <c r="S59" s="52">
        <v>161</v>
      </c>
      <c r="T59" s="52">
        <v>1033</v>
      </c>
      <c r="U59" s="52">
        <v>904</v>
      </c>
      <c r="V59" s="52">
        <v>105</v>
      </c>
      <c r="W59" s="52">
        <v>1009</v>
      </c>
      <c r="X59" s="52">
        <v>1103</v>
      </c>
      <c r="Y59" s="52">
        <v>178</v>
      </c>
      <c r="Z59" s="52">
        <v>1281</v>
      </c>
      <c r="AA59" s="52">
        <v>1177</v>
      </c>
      <c r="AB59" s="52">
        <v>196</v>
      </c>
      <c r="AC59" s="52">
        <v>1373</v>
      </c>
      <c r="AD59" s="52">
        <v>1044</v>
      </c>
      <c r="AE59" s="52">
        <v>182</v>
      </c>
      <c r="AF59" s="52">
        <v>1226</v>
      </c>
      <c r="AG59" s="52">
        <v>1133</v>
      </c>
      <c r="AH59" s="52">
        <v>102</v>
      </c>
      <c r="AI59" s="52">
        <v>1235</v>
      </c>
      <c r="AJ59" s="52">
        <v>831</v>
      </c>
      <c r="AK59" s="52">
        <v>109</v>
      </c>
      <c r="AL59" s="52">
        <v>940</v>
      </c>
      <c r="AM59" s="52">
        <v>1093</v>
      </c>
      <c r="AN59" s="52">
        <v>116</v>
      </c>
      <c r="AO59" s="52">
        <v>1209</v>
      </c>
      <c r="AP59" s="52">
        <v>1017</v>
      </c>
      <c r="AQ59" s="52">
        <v>172</v>
      </c>
      <c r="AR59" s="52">
        <v>1189</v>
      </c>
      <c r="AS59" s="52">
        <v>999</v>
      </c>
      <c r="AT59" s="52">
        <v>103</v>
      </c>
      <c r="AU59" s="52">
        <v>1102</v>
      </c>
      <c r="AV59" s="52">
        <v>868</v>
      </c>
      <c r="AW59" s="52">
        <v>102</v>
      </c>
      <c r="AX59" s="52">
        <v>970</v>
      </c>
      <c r="AY59" s="52">
        <v>891</v>
      </c>
      <c r="AZ59" s="52">
        <v>117</v>
      </c>
      <c r="BA59" s="52">
        <v>1008</v>
      </c>
      <c r="BB59" s="52">
        <v>954</v>
      </c>
      <c r="BC59" s="52">
        <v>132</v>
      </c>
      <c r="BD59" s="52">
        <v>1086</v>
      </c>
      <c r="BE59" s="52">
        <v>1037</v>
      </c>
      <c r="BF59" s="52">
        <v>131</v>
      </c>
      <c r="BG59" s="52">
        <v>1168</v>
      </c>
      <c r="BV59" s="52">
        <f t="shared" si="0"/>
        <v>6859</v>
      </c>
      <c r="BW59" s="52">
        <f t="shared" si="1"/>
        <v>873</v>
      </c>
      <c r="BX59" s="314">
        <f t="shared" si="2"/>
        <v>0.12727802886718181</v>
      </c>
    </row>
    <row r="60" spans="1:76" x14ac:dyDescent="0.2">
      <c r="A60" s="52" t="s">
        <v>166</v>
      </c>
      <c r="B60" s="52">
        <v>13132</v>
      </c>
      <c r="C60" s="52">
        <v>-1</v>
      </c>
      <c r="D60" s="52">
        <v>0</v>
      </c>
      <c r="E60" s="52">
        <v>-1</v>
      </c>
      <c r="F60" s="52">
        <v>-11</v>
      </c>
      <c r="G60" s="52">
        <v>0</v>
      </c>
      <c r="H60" s="52">
        <v>-11</v>
      </c>
      <c r="I60" s="52">
        <v>-1</v>
      </c>
      <c r="J60" s="52">
        <v>0</v>
      </c>
      <c r="K60" s="52">
        <v>-1</v>
      </c>
      <c r="L60" s="52">
        <v>0</v>
      </c>
      <c r="O60" s="52">
        <v>0</v>
      </c>
      <c r="R60" s="52">
        <v>0</v>
      </c>
      <c r="U60" s="52">
        <v>0</v>
      </c>
      <c r="X60" s="52">
        <v>0</v>
      </c>
      <c r="AA60" s="52">
        <v>0</v>
      </c>
      <c r="AD60" s="52">
        <v>0</v>
      </c>
      <c r="AG60" s="52">
        <v>0</v>
      </c>
      <c r="AJ60" s="52">
        <v>0</v>
      </c>
      <c r="AM60" s="52">
        <v>0</v>
      </c>
      <c r="AP60" s="52">
        <v>0</v>
      </c>
      <c r="AS60" s="52">
        <v>0</v>
      </c>
      <c r="AV60" s="52">
        <v>0</v>
      </c>
      <c r="AY60" s="52">
        <v>0</v>
      </c>
      <c r="BB60" s="52">
        <v>0</v>
      </c>
      <c r="BE60" s="52">
        <v>0</v>
      </c>
      <c r="BV60" s="52">
        <f t="shared" si="0"/>
        <v>0</v>
      </c>
      <c r="BW60" s="52">
        <f t="shared" si="1"/>
        <v>0</v>
      </c>
      <c r="BX60" s="314" t="e">
        <f t="shared" si="2"/>
        <v>#DIV/0!</v>
      </c>
    </row>
    <row r="61" spans="1:76" x14ac:dyDescent="0.2">
      <c r="A61" s="52" t="s">
        <v>167</v>
      </c>
      <c r="B61" s="52">
        <v>13131</v>
      </c>
      <c r="C61" s="52">
        <v>-1</v>
      </c>
      <c r="D61" s="52">
        <v>0</v>
      </c>
      <c r="E61" s="52">
        <v>-1</v>
      </c>
      <c r="F61" s="52">
        <v>-7</v>
      </c>
      <c r="G61" s="52">
        <v>0</v>
      </c>
      <c r="H61" s="52">
        <v>-7</v>
      </c>
      <c r="I61" s="52">
        <v>-2</v>
      </c>
      <c r="J61" s="52">
        <v>0</v>
      </c>
      <c r="K61" s="52">
        <v>-2</v>
      </c>
      <c r="L61" s="52">
        <v>0</v>
      </c>
      <c r="O61" s="52">
        <v>0</v>
      </c>
      <c r="R61" s="52">
        <v>0</v>
      </c>
      <c r="U61" s="52">
        <v>0</v>
      </c>
      <c r="X61" s="52">
        <v>0</v>
      </c>
      <c r="AA61" s="52">
        <v>0</v>
      </c>
      <c r="AD61" s="52">
        <v>0</v>
      </c>
      <c r="AG61" s="52">
        <v>0</v>
      </c>
      <c r="AJ61" s="52">
        <v>0</v>
      </c>
      <c r="AM61" s="52">
        <v>0</v>
      </c>
      <c r="AP61" s="52">
        <v>0</v>
      </c>
      <c r="AS61" s="52">
        <v>0</v>
      </c>
      <c r="AV61" s="52">
        <v>0</v>
      </c>
      <c r="AY61" s="52">
        <v>0</v>
      </c>
      <c r="BB61" s="52">
        <v>0</v>
      </c>
      <c r="BE61" s="52">
        <v>0</v>
      </c>
      <c r="BV61" s="52">
        <f t="shared" si="0"/>
        <v>0</v>
      </c>
      <c r="BW61" s="52">
        <f t="shared" si="1"/>
        <v>0</v>
      </c>
      <c r="BX61" s="314" t="e">
        <f t="shared" si="2"/>
        <v>#DIV/0!</v>
      </c>
    </row>
    <row r="62" spans="1:76" x14ac:dyDescent="0.2">
      <c r="A62" s="52" t="s">
        <v>168</v>
      </c>
      <c r="B62" s="52">
        <v>13006</v>
      </c>
      <c r="C62" s="52">
        <v>1304</v>
      </c>
      <c r="D62" s="52">
        <v>758</v>
      </c>
      <c r="E62" s="52">
        <v>2062</v>
      </c>
      <c r="F62" s="52">
        <v>760</v>
      </c>
      <c r="G62" s="52">
        <v>560</v>
      </c>
      <c r="H62" s="52">
        <v>1320</v>
      </c>
      <c r="I62" s="52">
        <v>297</v>
      </c>
      <c r="J62" s="52">
        <v>102</v>
      </c>
      <c r="K62" s="52">
        <v>399</v>
      </c>
      <c r="L62" s="52">
        <v>418</v>
      </c>
      <c r="M62" s="52">
        <v>91</v>
      </c>
      <c r="N62" s="52">
        <v>509</v>
      </c>
      <c r="O62" s="52">
        <v>414</v>
      </c>
      <c r="P62" s="52">
        <v>240</v>
      </c>
      <c r="Q62" s="52">
        <v>654</v>
      </c>
      <c r="R62" s="52">
        <v>236</v>
      </c>
      <c r="S62" s="52">
        <v>483</v>
      </c>
      <c r="T62" s="52">
        <v>719</v>
      </c>
      <c r="U62" s="52">
        <v>-42</v>
      </c>
      <c r="V62" s="52">
        <v>34</v>
      </c>
      <c r="W62" s="52">
        <v>-8</v>
      </c>
      <c r="X62" s="52">
        <v>-188</v>
      </c>
      <c r="Y62" s="52">
        <v>0</v>
      </c>
      <c r="Z62" s="52">
        <v>-188</v>
      </c>
      <c r="AA62" s="52">
        <v>-406</v>
      </c>
      <c r="AB62" s="52">
        <v>0</v>
      </c>
      <c r="AC62" s="52">
        <v>-406</v>
      </c>
      <c r="AD62" s="52">
        <v>-224</v>
      </c>
      <c r="AE62" s="52">
        <v>0</v>
      </c>
      <c r="AF62" s="52">
        <v>-224</v>
      </c>
      <c r="AG62" s="52">
        <v>-6</v>
      </c>
      <c r="AH62" s="52">
        <v>0</v>
      </c>
      <c r="AI62" s="52">
        <v>-6</v>
      </c>
      <c r="AJ62" s="52">
        <v>-5</v>
      </c>
      <c r="AK62" s="52">
        <v>0</v>
      </c>
      <c r="AL62" s="52">
        <v>-5</v>
      </c>
      <c r="AM62" s="52">
        <v>-1</v>
      </c>
      <c r="AN62" s="52">
        <v>0</v>
      </c>
      <c r="AO62" s="52">
        <v>-1</v>
      </c>
      <c r="AP62" s="52">
        <v>0</v>
      </c>
      <c r="AS62" s="52">
        <v>0</v>
      </c>
      <c r="AT62" s="52">
        <v>0</v>
      </c>
      <c r="AU62" s="52">
        <v>0</v>
      </c>
      <c r="AV62" s="52">
        <v>0</v>
      </c>
      <c r="AY62" s="52">
        <v>0</v>
      </c>
      <c r="BB62" s="52">
        <v>-7</v>
      </c>
      <c r="BC62" s="52">
        <v>0</v>
      </c>
      <c r="BD62" s="52">
        <v>-7</v>
      </c>
      <c r="BE62" s="52">
        <v>0</v>
      </c>
      <c r="BV62" s="52">
        <f t="shared" si="0"/>
        <v>-8</v>
      </c>
      <c r="BW62" s="52">
        <f t="shared" si="1"/>
        <v>0</v>
      </c>
      <c r="BX62" s="314">
        <f t="shared" si="2"/>
        <v>0</v>
      </c>
    </row>
    <row r="63" spans="1:76" x14ac:dyDescent="0.2">
      <c r="A63" s="52" t="s">
        <v>169</v>
      </c>
      <c r="B63" s="52">
        <v>13005</v>
      </c>
      <c r="C63" s="52">
        <v>1381</v>
      </c>
      <c r="D63" s="52">
        <v>418</v>
      </c>
      <c r="E63" s="52">
        <v>1799</v>
      </c>
      <c r="F63" s="52">
        <v>560</v>
      </c>
      <c r="G63" s="52">
        <v>315</v>
      </c>
      <c r="H63" s="52">
        <v>875</v>
      </c>
      <c r="I63" s="52">
        <v>93</v>
      </c>
      <c r="J63" s="52">
        <v>31</v>
      </c>
      <c r="K63" s="52">
        <v>124</v>
      </c>
      <c r="L63" s="52">
        <v>1966</v>
      </c>
      <c r="M63" s="52">
        <v>318</v>
      </c>
      <c r="N63" s="52">
        <v>2284</v>
      </c>
      <c r="O63" s="52">
        <v>1462</v>
      </c>
      <c r="P63" s="52">
        <v>5223</v>
      </c>
      <c r="Q63" s="52">
        <v>6685</v>
      </c>
      <c r="R63" s="52">
        <v>1034</v>
      </c>
      <c r="S63" s="52">
        <v>367</v>
      </c>
      <c r="T63" s="52">
        <v>1401</v>
      </c>
      <c r="U63" s="52">
        <v>1559</v>
      </c>
      <c r="V63" s="52">
        <v>335</v>
      </c>
      <c r="W63" s="52">
        <v>1894</v>
      </c>
      <c r="X63" s="52">
        <v>1674</v>
      </c>
      <c r="Y63" s="52">
        <v>946</v>
      </c>
      <c r="Z63" s="52">
        <v>2620</v>
      </c>
      <c r="AA63" s="52">
        <v>1278</v>
      </c>
      <c r="AB63" s="52">
        <v>538</v>
      </c>
      <c r="AC63" s="52">
        <v>1816</v>
      </c>
      <c r="AD63" s="52">
        <v>1236</v>
      </c>
      <c r="AE63" s="52">
        <v>517</v>
      </c>
      <c r="AF63" s="52">
        <v>1753</v>
      </c>
      <c r="AG63" s="52">
        <v>-242</v>
      </c>
      <c r="AH63" s="52">
        <v>269</v>
      </c>
      <c r="AI63" s="52">
        <v>27</v>
      </c>
      <c r="AJ63" s="52">
        <v>1589</v>
      </c>
      <c r="AK63" s="52">
        <v>306</v>
      </c>
      <c r="AL63" s="52">
        <v>1895</v>
      </c>
      <c r="AM63" s="52">
        <v>1320</v>
      </c>
      <c r="AN63" s="52">
        <v>191</v>
      </c>
      <c r="AO63" s="52">
        <v>1511</v>
      </c>
      <c r="AP63" s="52">
        <v>1257</v>
      </c>
      <c r="AQ63" s="52">
        <v>222</v>
      </c>
      <c r="AR63" s="52">
        <v>1479</v>
      </c>
      <c r="AS63" s="52">
        <v>1823</v>
      </c>
      <c r="AT63" s="52">
        <v>280</v>
      </c>
      <c r="AU63" s="52">
        <v>2103</v>
      </c>
      <c r="AV63" s="52">
        <v>1170</v>
      </c>
      <c r="AW63" s="52">
        <v>201</v>
      </c>
      <c r="AX63" s="52">
        <v>1371</v>
      </c>
      <c r="AY63" s="52">
        <v>88</v>
      </c>
      <c r="AZ63" s="52">
        <v>6</v>
      </c>
      <c r="BA63" s="52">
        <v>94</v>
      </c>
      <c r="BB63" s="52">
        <v>-1</v>
      </c>
      <c r="BC63" s="52">
        <v>0</v>
      </c>
      <c r="BD63" s="52">
        <v>-1</v>
      </c>
      <c r="BE63" s="52">
        <v>0</v>
      </c>
      <c r="BV63" s="52">
        <f t="shared" si="0"/>
        <v>5657</v>
      </c>
      <c r="BW63" s="52">
        <f t="shared" si="1"/>
        <v>900</v>
      </c>
      <c r="BX63" s="314">
        <f t="shared" si="2"/>
        <v>0.1590949266395616</v>
      </c>
    </row>
    <row r="64" spans="1:76" x14ac:dyDescent="0.2">
      <c r="A64" s="52" t="s">
        <v>170</v>
      </c>
      <c r="B64" s="52">
        <v>13004</v>
      </c>
      <c r="C64" s="52">
        <v>0</v>
      </c>
      <c r="F64" s="52">
        <v>0</v>
      </c>
      <c r="I64" s="52">
        <v>0</v>
      </c>
      <c r="L64" s="52">
        <v>0</v>
      </c>
      <c r="O64" s="52">
        <v>0</v>
      </c>
      <c r="P64" s="52">
        <v>0</v>
      </c>
      <c r="Q64" s="52">
        <v>0</v>
      </c>
      <c r="R64" s="52">
        <v>0</v>
      </c>
      <c r="U64" s="52">
        <v>0</v>
      </c>
      <c r="X64" s="52">
        <v>-21</v>
      </c>
      <c r="Y64" s="52">
        <v>0</v>
      </c>
      <c r="Z64" s="52">
        <v>-21</v>
      </c>
      <c r="AA64" s="52">
        <v>-65</v>
      </c>
      <c r="AB64" s="52">
        <v>0</v>
      </c>
      <c r="AC64" s="52">
        <v>-65</v>
      </c>
      <c r="AD64" s="52">
        <v>-42</v>
      </c>
      <c r="AE64" s="52">
        <v>0</v>
      </c>
      <c r="AF64" s="52">
        <v>-42</v>
      </c>
      <c r="AG64" s="52">
        <v>-1</v>
      </c>
      <c r="AH64" s="52">
        <v>0</v>
      </c>
      <c r="AI64" s="52">
        <v>-1</v>
      </c>
      <c r="AJ64" s="52">
        <v>0</v>
      </c>
      <c r="AM64" s="52">
        <v>0</v>
      </c>
      <c r="AP64" s="52">
        <v>0</v>
      </c>
      <c r="AS64" s="52">
        <v>0</v>
      </c>
      <c r="AV64" s="52">
        <v>0</v>
      </c>
      <c r="AY64" s="52">
        <v>0</v>
      </c>
      <c r="BB64" s="52">
        <v>0</v>
      </c>
      <c r="BE64" s="52">
        <v>0</v>
      </c>
      <c r="BV64" s="52">
        <f t="shared" si="0"/>
        <v>0</v>
      </c>
      <c r="BW64" s="52">
        <f t="shared" si="1"/>
        <v>0</v>
      </c>
      <c r="BX64" s="314" t="e">
        <f t="shared" si="2"/>
        <v>#DIV/0!</v>
      </c>
    </row>
    <row r="65" spans="1:76" x14ac:dyDescent="0.2">
      <c r="A65" s="52" t="s">
        <v>171</v>
      </c>
      <c r="B65" s="52">
        <v>13089</v>
      </c>
      <c r="C65" s="52">
        <v>2179</v>
      </c>
      <c r="D65" s="52">
        <v>500</v>
      </c>
      <c r="E65" s="52">
        <v>2679</v>
      </c>
      <c r="F65" s="52">
        <v>4032</v>
      </c>
      <c r="G65" s="52">
        <v>808</v>
      </c>
      <c r="H65" s="52">
        <v>4840</v>
      </c>
      <c r="I65" s="52">
        <v>3799</v>
      </c>
      <c r="J65" s="52">
        <v>852</v>
      </c>
      <c r="K65" s="52">
        <v>4651</v>
      </c>
      <c r="L65" s="52">
        <v>5479</v>
      </c>
      <c r="M65" s="52">
        <v>1350</v>
      </c>
      <c r="N65" s="52">
        <v>6829</v>
      </c>
      <c r="O65" s="52">
        <v>4023</v>
      </c>
      <c r="P65" s="52">
        <v>934</v>
      </c>
      <c r="Q65" s="52">
        <v>4957</v>
      </c>
      <c r="R65" s="52">
        <v>3295</v>
      </c>
      <c r="S65" s="52">
        <v>792</v>
      </c>
      <c r="T65" s="52">
        <v>4087</v>
      </c>
      <c r="U65" s="52">
        <v>1871</v>
      </c>
      <c r="V65" s="52">
        <v>325</v>
      </c>
      <c r="W65" s="52">
        <v>2196</v>
      </c>
      <c r="X65" s="52">
        <v>3362</v>
      </c>
      <c r="Y65" s="52">
        <v>576</v>
      </c>
      <c r="Z65" s="52">
        <v>3938</v>
      </c>
      <c r="AA65" s="52">
        <v>2841</v>
      </c>
      <c r="AB65" s="52">
        <v>534</v>
      </c>
      <c r="AC65" s="52">
        <v>3375</v>
      </c>
      <c r="AD65" s="52">
        <v>3623</v>
      </c>
      <c r="AE65" s="52">
        <v>733</v>
      </c>
      <c r="AF65" s="52">
        <v>4356</v>
      </c>
      <c r="AG65" s="52">
        <v>2769</v>
      </c>
      <c r="AH65" s="52">
        <v>518</v>
      </c>
      <c r="AI65" s="52">
        <v>3287</v>
      </c>
      <c r="AJ65" s="52">
        <v>1556</v>
      </c>
      <c r="AK65" s="52">
        <v>234</v>
      </c>
      <c r="AL65" s="52">
        <v>1790</v>
      </c>
      <c r="AM65" s="52">
        <v>3767</v>
      </c>
      <c r="AN65" s="52">
        <v>753</v>
      </c>
      <c r="AO65" s="52">
        <v>4520</v>
      </c>
      <c r="AP65" s="52">
        <v>544</v>
      </c>
      <c r="AQ65" s="52">
        <v>87</v>
      </c>
      <c r="AR65" s="52">
        <v>631</v>
      </c>
      <c r="AS65" s="52">
        <v>6443</v>
      </c>
      <c r="AT65" s="52">
        <v>1284</v>
      </c>
      <c r="AU65" s="52">
        <v>7727</v>
      </c>
      <c r="AV65" s="52">
        <v>4388</v>
      </c>
      <c r="AW65" s="52">
        <v>904</v>
      </c>
      <c r="AX65" s="52">
        <v>5292</v>
      </c>
      <c r="AY65" s="52">
        <v>5764</v>
      </c>
      <c r="AZ65" s="52">
        <v>563</v>
      </c>
      <c r="BA65" s="52">
        <v>6327</v>
      </c>
      <c r="BB65" s="52">
        <v>5060</v>
      </c>
      <c r="BC65" s="52">
        <v>944</v>
      </c>
      <c r="BD65" s="52">
        <v>6004</v>
      </c>
      <c r="BE65" s="52">
        <v>3645</v>
      </c>
      <c r="BF65" s="52">
        <v>653</v>
      </c>
      <c r="BG65" s="52">
        <v>4298</v>
      </c>
      <c r="BV65" s="52">
        <f t="shared" si="0"/>
        <v>29611</v>
      </c>
      <c r="BW65" s="52">
        <f t="shared" si="1"/>
        <v>5188</v>
      </c>
      <c r="BX65" s="314">
        <f t="shared" si="2"/>
        <v>0.17520516024450372</v>
      </c>
    </row>
    <row r="66" spans="1:76" x14ac:dyDescent="0.2">
      <c r="A66" s="52" t="s">
        <v>172</v>
      </c>
      <c r="B66" s="52">
        <v>13091</v>
      </c>
      <c r="C66" s="52">
        <v>3101</v>
      </c>
      <c r="D66" s="52">
        <v>694</v>
      </c>
      <c r="E66" s="52">
        <v>3795</v>
      </c>
      <c r="F66" s="52">
        <v>3898</v>
      </c>
      <c r="G66" s="52">
        <v>830</v>
      </c>
      <c r="H66" s="52">
        <v>4728</v>
      </c>
      <c r="I66" s="52">
        <v>1270</v>
      </c>
      <c r="J66" s="52">
        <v>311</v>
      </c>
      <c r="K66" s="52">
        <v>1581</v>
      </c>
      <c r="L66" s="52">
        <v>6574</v>
      </c>
      <c r="M66" s="52">
        <v>1595</v>
      </c>
      <c r="N66" s="52">
        <v>8169</v>
      </c>
      <c r="O66" s="52">
        <v>4394</v>
      </c>
      <c r="P66" s="52">
        <v>1074</v>
      </c>
      <c r="Q66" s="52">
        <v>5468</v>
      </c>
      <c r="R66" s="52">
        <v>3428</v>
      </c>
      <c r="S66" s="52">
        <v>780</v>
      </c>
      <c r="T66" s="52">
        <v>4208</v>
      </c>
      <c r="U66" s="52">
        <v>2183</v>
      </c>
      <c r="V66" s="52">
        <v>318</v>
      </c>
      <c r="W66" s="52">
        <v>2501</v>
      </c>
      <c r="X66" s="52">
        <v>3329</v>
      </c>
      <c r="Y66" s="52">
        <v>600</v>
      </c>
      <c r="Z66" s="52">
        <v>3929</v>
      </c>
      <c r="AA66" s="52">
        <v>2801</v>
      </c>
      <c r="AB66" s="52">
        <v>516</v>
      </c>
      <c r="AC66" s="52">
        <v>3317</v>
      </c>
      <c r="AD66" s="52">
        <v>3206</v>
      </c>
      <c r="AE66" s="52">
        <v>686</v>
      </c>
      <c r="AF66" s="52">
        <v>3892</v>
      </c>
      <c r="AG66" s="52">
        <v>2535</v>
      </c>
      <c r="AH66" s="52">
        <v>437</v>
      </c>
      <c r="AI66" s="52">
        <v>2972</v>
      </c>
      <c r="AJ66" s="52">
        <v>3022</v>
      </c>
      <c r="AK66" s="52">
        <v>605</v>
      </c>
      <c r="AL66" s="52">
        <v>3627</v>
      </c>
      <c r="AM66" s="52">
        <v>3263</v>
      </c>
      <c r="AN66" s="52">
        <v>537</v>
      </c>
      <c r="AO66" s="52">
        <v>3800</v>
      </c>
      <c r="AP66" s="52">
        <v>3282</v>
      </c>
      <c r="AQ66" s="52">
        <v>687</v>
      </c>
      <c r="AR66" s="52">
        <v>3969</v>
      </c>
      <c r="AS66" s="52">
        <v>6574</v>
      </c>
      <c r="AT66" s="52">
        <v>1253</v>
      </c>
      <c r="AU66" s="52">
        <v>7827</v>
      </c>
      <c r="AV66" s="52">
        <v>4763</v>
      </c>
      <c r="AW66" s="52">
        <v>964</v>
      </c>
      <c r="AX66" s="52">
        <v>5727</v>
      </c>
      <c r="AY66" s="52">
        <v>5716</v>
      </c>
      <c r="AZ66" s="52">
        <v>1646</v>
      </c>
      <c r="BA66" s="52">
        <v>7362</v>
      </c>
      <c r="BB66" s="52">
        <v>3300</v>
      </c>
      <c r="BC66" s="52">
        <v>615</v>
      </c>
      <c r="BD66" s="52">
        <v>3915</v>
      </c>
      <c r="BE66" s="52">
        <v>3036</v>
      </c>
      <c r="BF66" s="52">
        <v>634</v>
      </c>
      <c r="BG66" s="52">
        <v>3670</v>
      </c>
      <c r="BV66" s="52">
        <f t="shared" si="0"/>
        <v>29934</v>
      </c>
      <c r="BW66" s="52">
        <f t="shared" si="1"/>
        <v>6336</v>
      </c>
      <c r="BX66" s="314">
        <f t="shared" si="2"/>
        <v>0.21166566446181601</v>
      </c>
    </row>
    <row r="67" spans="1:76" x14ac:dyDescent="0.2">
      <c r="A67" s="52" t="s">
        <v>173</v>
      </c>
      <c r="B67" s="52">
        <v>13093</v>
      </c>
      <c r="C67" s="52">
        <v>1987</v>
      </c>
      <c r="D67" s="52">
        <v>617</v>
      </c>
      <c r="E67" s="52">
        <v>2604</v>
      </c>
      <c r="F67" s="52">
        <v>3521</v>
      </c>
      <c r="G67" s="52">
        <v>945</v>
      </c>
      <c r="H67" s="52">
        <v>4466</v>
      </c>
      <c r="I67" s="52">
        <v>3067</v>
      </c>
      <c r="J67" s="52">
        <v>633</v>
      </c>
      <c r="K67" s="52">
        <v>3700</v>
      </c>
      <c r="L67" s="52">
        <v>5124</v>
      </c>
      <c r="M67" s="52">
        <v>1341</v>
      </c>
      <c r="N67" s="52">
        <v>6465</v>
      </c>
      <c r="O67" s="52">
        <v>2918</v>
      </c>
      <c r="P67" s="52">
        <v>617</v>
      </c>
      <c r="Q67" s="52">
        <v>3535</v>
      </c>
      <c r="R67" s="52">
        <v>3051</v>
      </c>
      <c r="S67" s="52">
        <v>730</v>
      </c>
      <c r="T67" s="52">
        <v>3781</v>
      </c>
      <c r="U67" s="52">
        <v>1587</v>
      </c>
      <c r="V67" s="52">
        <v>287</v>
      </c>
      <c r="W67" s="52">
        <v>1874</v>
      </c>
      <c r="X67" s="52">
        <v>2458</v>
      </c>
      <c r="Y67" s="52">
        <v>439</v>
      </c>
      <c r="Z67" s="52">
        <v>2897</v>
      </c>
      <c r="AA67" s="52">
        <v>2516</v>
      </c>
      <c r="AB67" s="52">
        <v>488</v>
      </c>
      <c r="AC67" s="52">
        <v>3004</v>
      </c>
      <c r="AD67" s="52">
        <v>2554</v>
      </c>
      <c r="AE67" s="52">
        <v>552</v>
      </c>
      <c r="AF67" s="52">
        <v>3106</v>
      </c>
      <c r="AG67" s="52">
        <v>2042</v>
      </c>
      <c r="AH67" s="52">
        <v>343</v>
      </c>
      <c r="AI67" s="52">
        <v>2385</v>
      </c>
      <c r="AJ67" s="52">
        <v>2129</v>
      </c>
      <c r="AK67" s="52">
        <v>407</v>
      </c>
      <c r="AL67" s="52">
        <v>2536</v>
      </c>
      <c r="AM67" s="52">
        <v>2899</v>
      </c>
      <c r="AN67" s="52">
        <v>480</v>
      </c>
      <c r="AO67" s="52">
        <v>3379</v>
      </c>
      <c r="AP67" s="52">
        <v>2842</v>
      </c>
      <c r="AQ67" s="52">
        <v>575</v>
      </c>
      <c r="AR67" s="52">
        <v>3417</v>
      </c>
      <c r="AS67" s="52">
        <v>4984</v>
      </c>
      <c r="AT67" s="52">
        <v>1020</v>
      </c>
      <c r="AU67" s="52">
        <v>6004</v>
      </c>
      <c r="AV67" s="52">
        <v>3673</v>
      </c>
      <c r="AW67" s="52">
        <v>718</v>
      </c>
      <c r="AX67" s="52">
        <v>4391</v>
      </c>
      <c r="AY67" s="52">
        <v>7170</v>
      </c>
      <c r="AZ67" s="52">
        <v>1138</v>
      </c>
      <c r="BA67" s="52">
        <v>8308</v>
      </c>
      <c r="BB67" s="52">
        <v>3025</v>
      </c>
      <c r="BC67" s="52">
        <v>543</v>
      </c>
      <c r="BD67" s="52">
        <v>3568</v>
      </c>
      <c r="BE67" s="52">
        <v>2987</v>
      </c>
      <c r="BF67" s="52">
        <v>583</v>
      </c>
      <c r="BG67" s="52">
        <v>3570</v>
      </c>
      <c r="BV67" s="52">
        <f t="shared" si="0"/>
        <v>27580</v>
      </c>
      <c r="BW67" s="52">
        <f t="shared" si="1"/>
        <v>5057</v>
      </c>
      <c r="BX67" s="314">
        <f t="shared" si="2"/>
        <v>0.1833575054387237</v>
      </c>
    </row>
    <row r="68" spans="1:76" x14ac:dyDescent="0.2">
      <c r="A68" s="52" t="s">
        <v>174</v>
      </c>
      <c r="B68" s="52" t="s">
        <v>251</v>
      </c>
      <c r="C68" s="52">
        <v>0</v>
      </c>
      <c r="F68" s="52">
        <v>0</v>
      </c>
      <c r="I68" s="52">
        <v>0</v>
      </c>
      <c r="L68" s="52">
        <v>0</v>
      </c>
      <c r="O68" s="52">
        <v>0</v>
      </c>
      <c r="R68" s="52">
        <v>0</v>
      </c>
      <c r="U68" s="52">
        <v>0</v>
      </c>
      <c r="V68" s="52">
        <v>0</v>
      </c>
      <c r="W68" s="52">
        <v>0</v>
      </c>
      <c r="X68" s="52">
        <v>0</v>
      </c>
      <c r="AA68" s="52">
        <v>0</v>
      </c>
      <c r="AD68" s="52">
        <v>0</v>
      </c>
      <c r="AG68" s="52">
        <v>0</v>
      </c>
      <c r="AJ68" s="52">
        <v>0</v>
      </c>
      <c r="AM68" s="52">
        <v>0</v>
      </c>
      <c r="AP68" s="52">
        <v>0</v>
      </c>
      <c r="AS68" s="52">
        <v>0</v>
      </c>
      <c r="AV68" s="52">
        <v>0</v>
      </c>
      <c r="AY68" s="52">
        <v>0</v>
      </c>
      <c r="BB68" s="52">
        <v>0</v>
      </c>
      <c r="BE68" s="52">
        <v>0</v>
      </c>
      <c r="BV68" s="52">
        <f t="shared" si="0"/>
        <v>0</v>
      </c>
      <c r="BW68" s="52">
        <f t="shared" si="1"/>
        <v>0</v>
      </c>
      <c r="BX68" s="314" t="e">
        <f t="shared" si="2"/>
        <v>#DIV/0!</v>
      </c>
    </row>
    <row r="69" spans="1:76" x14ac:dyDescent="0.2">
      <c r="A69" s="52" t="s">
        <v>175</v>
      </c>
      <c r="B69" s="52">
        <v>13149</v>
      </c>
      <c r="C69" s="52">
        <v>0</v>
      </c>
      <c r="F69" s="52">
        <v>0</v>
      </c>
      <c r="I69" s="52">
        <v>0</v>
      </c>
      <c r="L69" s="52">
        <v>0</v>
      </c>
      <c r="O69" s="52">
        <v>0</v>
      </c>
      <c r="R69" s="52">
        <v>0</v>
      </c>
      <c r="U69" s="52">
        <v>2228</v>
      </c>
      <c r="V69" s="52">
        <v>324</v>
      </c>
      <c r="W69" s="52">
        <v>2552</v>
      </c>
      <c r="X69" s="52">
        <v>3703</v>
      </c>
      <c r="Y69" s="52">
        <v>860</v>
      </c>
      <c r="Z69" s="52">
        <v>4563</v>
      </c>
      <c r="AA69" s="52">
        <v>4876</v>
      </c>
      <c r="AB69" s="52">
        <v>905</v>
      </c>
      <c r="AC69" s="52">
        <v>5781</v>
      </c>
      <c r="AD69" s="52">
        <v>4117</v>
      </c>
      <c r="AE69" s="52">
        <v>1329</v>
      </c>
      <c r="AF69" s="52">
        <v>5446</v>
      </c>
      <c r="AG69" s="52">
        <v>3136</v>
      </c>
      <c r="AH69" s="52">
        <v>1178</v>
      </c>
      <c r="AI69" s="52">
        <v>4314</v>
      </c>
      <c r="AJ69" s="52">
        <v>2729</v>
      </c>
      <c r="AK69" s="52">
        <v>231</v>
      </c>
      <c r="AL69" s="52">
        <v>2960</v>
      </c>
      <c r="AM69" s="52">
        <v>4971</v>
      </c>
      <c r="AN69" s="52">
        <v>904</v>
      </c>
      <c r="AO69" s="52">
        <v>5875</v>
      </c>
      <c r="AP69" s="52">
        <v>4868</v>
      </c>
      <c r="AQ69" s="52">
        <v>1148</v>
      </c>
      <c r="AR69" s="52">
        <v>6016</v>
      </c>
      <c r="AS69" s="52">
        <v>7363</v>
      </c>
      <c r="AT69" s="52">
        <v>1711</v>
      </c>
      <c r="AU69" s="52">
        <v>9074</v>
      </c>
      <c r="AV69" s="52">
        <v>5093</v>
      </c>
      <c r="AW69" s="52">
        <v>1228</v>
      </c>
      <c r="AX69" s="52">
        <v>6321</v>
      </c>
      <c r="AY69" s="52">
        <v>6371</v>
      </c>
      <c r="AZ69" s="52">
        <v>1582</v>
      </c>
      <c r="BA69" s="52">
        <v>7953</v>
      </c>
      <c r="BB69" s="52">
        <v>4751</v>
      </c>
      <c r="BC69" s="52">
        <v>1257</v>
      </c>
      <c r="BD69" s="52">
        <v>6008</v>
      </c>
      <c r="BE69" s="52">
        <v>4419</v>
      </c>
      <c r="BF69" s="52">
        <v>1182</v>
      </c>
      <c r="BG69" s="52">
        <v>5601</v>
      </c>
      <c r="BV69" s="52">
        <f t="shared" si="0"/>
        <v>37836</v>
      </c>
      <c r="BW69" s="52">
        <f t="shared" si="1"/>
        <v>9012</v>
      </c>
      <c r="BX69" s="314">
        <f t="shared" si="2"/>
        <v>0.23818585474151602</v>
      </c>
    </row>
    <row r="70" spans="1:76" x14ac:dyDescent="0.2">
      <c r="A70" s="52" t="s">
        <v>176</v>
      </c>
      <c r="B70" s="52">
        <v>13150</v>
      </c>
      <c r="C70" s="52">
        <v>0</v>
      </c>
      <c r="F70" s="52">
        <v>0</v>
      </c>
      <c r="I70" s="52">
        <v>0</v>
      </c>
      <c r="L70" s="52">
        <v>0</v>
      </c>
      <c r="O70" s="52">
        <v>0</v>
      </c>
      <c r="R70" s="52">
        <v>0</v>
      </c>
      <c r="U70" s="52">
        <v>0</v>
      </c>
      <c r="X70" s="52">
        <v>2426</v>
      </c>
      <c r="Y70" s="52">
        <v>612</v>
      </c>
      <c r="Z70" s="52">
        <v>3038</v>
      </c>
      <c r="AA70" s="52">
        <v>3270</v>
      </c>
      <c r="AB70" s="52">
        <v>707</v>
      </c>
      <c r="AC70" s="52">
        <v>3977</v>
      </c>
      <c r="AD70" s="52">
        <v>3180</v>
      </c>
      <c r="AE70" s="52">
        <v>1111</v>
      </c>
      <c r="AF70" s="52">
        <v>4291</v>
      </c>
      <c r="AG70" s="52">
        <v>1756</v>
      </c>
      <c r="AH70" s="52">
        <v>410</v>
      </c>
      <c r="AI70" s="52">
        <v>2166</v>
      </c>
      <c r="AJ70" s="52">
        <v>5999</v>
      </c>
      <c r="AK70" s="52">
        <v>517</v>
      </c>
      <c r="AL70" s="52">
        <v>6516</v>
      </c>
      <c r="AM70" s="52">
        <v>2888</v>
      </c>
      <c r="AN70" s="52">
        <v>600</v>
      </c>
      <c r="AO70" s="52">
        <v>3488</v>
      </c>
      <c r="AP70" s="52">
        <v>1919</v>
      </c>
      <c r="AQ70" s="52">
        <v>614</v>
      </c>
      <c r="AR70" s="52">
        <v>2533</v>
      </c>
      <c r="AS70" s="52">
        <v>4821</v>
      </c>
      <c r="AT70" s="52">
        <v>1219</v>
      </c>
      <c r="AU70" s="52">
        <v>6040</v>
      </c>
      <c r="AV70" s="52">
        <v>2203</v>
      </c>
      <c r="AW70" s="52">
        <v>760</v>
      </c>
      <c r="AX70" s="52">
        <v>2963</v>
      </c>
      <c r="AY70" s="52">
        <v>2843</v>
      </c>
      <c r="AZ70" s="52">
        <v>909</v>
      </c>
      <c r="BA70" s="52">
        <v>3752</v>
      </c>
      <c r="BB70" s="52">
        <v>2430</v>
      </c>
      <c r="BC70" s="52">
        <v>949</v>
      </c>
      <c r="BD70" s="52">
        <v>3379</v>
      </c>
      <c r="BE70" s="52">
        <v>2321</v>
      </c>
      <c r="BF70" s="52">
        <v>817</v>
      </c>
      <c r="BG70" s="52">
        <v>3138</v>
      </c>
      <c r="BV70" s="52">
        <f t="shared" ref="BV70:BV102" si="3">+AM70+AP70+AS70+AV70+AY70+BB70+BE70+BH70+BK70+BN70+BQ70+BT70</f>
        <v>19425</v>
      </c>
      <c r="BW70" s="52">
        <f t="shared" ref="BW70:BW102" si="4">+AN70+AQ70+AT70+AW70+AZ70+BC70+BF70+BI70+BL70+BO70+BR70+BU70</f>
        <v>5868</v>
      </c>
      <c r="BX70" s="314">
        <f t="shared" ref="BX70:BX102" si="5">+BW70/BV70</f>
        <v>0.30208494208494208</v>
      </c>
    </row>
    <row r="71" spans="1:76" x14ac:dyDescent="0.2">
      <c r="A71" s="52" t="s">
        <v>177</v>
      </c>
      <c r="B71" s="52">
        <v>13108</v>
      </c>
      <c r="C71" s="52">
        <v>0</v>
      </c>
      <c r="F71" s="52">
        <v>0</v>
      </c>
      <c r="I71" s="52">
        <v>0</v>
      </c>
      <c r="L71" s="52">
        <v>0</v>
      </c>
      <c r="O71" s="52">
        <v>0</v>
      </c>
      <c r="R71" s="52">
        <v>0</v>
      </c>
      <c r="U71" s="52">
        <v>1250</v>
      </c>
      <c r="V71" s="52">
        <v>212</v>
      </c>
      <c r="W71" s="52">
        <v>1462</v>
      </c>
      <c r="X71" s="52">
        <v>3071</v>
      </c>
      <c r="Y71" s="52">
        <v>771</v>
      </c>
      <c r="Z71" s="52">
        <v>3842</v>
      </c>
      <c r="AA71" s="52">
        <v>2570</v>
      </c>
      <c r="AB71" s="52">
        <v>517</v>
      </c>
      <c r="AC71" s="52">
        <v>3087</v>
      </c>
      <c r="AD71" s="52">
        <v>2656</v>
      </c>
      <c r="AE71" s="52">
        <v>855</v>
      </c>
      <c r="AF71" s="52">
        <v>3511</v>
      </c>
      <c r="AG71" s="52">
        <v>2202</v>
      </c>
      <c r="AH71" s="52">
        <v>400</v>
      </c>
      <c r="AI71" s="52">
        <v>2602</v>
      </c>
      <c r="AJ71" s="52">
        <v>2233</v>
      </c>
      <c r="AK71" s="52">
        <v>416</v>
      </c>
      <c r="AL71" s="52">
        <v>2649</v>
      </c>
      <c r="AM71" s="52">
        <v>2737</v>
      </c>
      <c r="AN71" s="52">
        <v>419</v>
      </c>
      <c r="AO71" s="52">
        <v>3156</v>
      </c>
      <c r="AP71" s="52">
        <v>2381</v>
      </c>
      <c r="AQ71" s="52">
        <v>537</v>
      </c>
      <c r="AR71" s="52">
        <v>2918</v>
      </c>
      <c r="AS71" s="52">
        <v>3879</v>
      </c>
      <c r="AT71" s="52">
        <v>898</v>
      </c>
      <c r="AU71" s="52">
        <v>4777</v>
      </c>
      <c r="AV71" s="52">
        <v>2243</v>
      </c>
      <c r="AW71" s="52">
        <v>547</v>
      </c>
      <c r="AX71" s="52">
        <v>2790</v>
      </c>
      <c r="AY71" s="52">
        <v>1786</v>
      </c>
      <c r="AZ71" s="52">
        <v>420</v>
      </c>
      <c r="BA71" s="52">
        <v>2206</v>
      </c>
      <c r="BB71" s="52">
        <v>1630</v>
      </c>
      <c r="BC71" s="52">
        <v>474</v>
      </c>
      <c r="BD71" s="52">
        <v>2104</v>
      </c>
      <c r="BE71" s="52">
        <v>2308</v>
      </c>
      <c r="BF71" s="52">
        <v>750</v>
      </c>
      <c r="BG71" s="52">
        <v>3058</v>
      </c>
      <c r="BV71" s="52">
        <f t="shared" si="3"/>
        <v>16964</v>
      </c>
      <c r="BW71" s="52">
        <f t="shared" si="4"/>
        <v>4045</v>
      </c>
      <c r="BX71" s="314">
        <f t="shared" si="5"/>
        <v>0.23844612119783071</v>
      </c>
    </row>
    <row r="72" spans="1:76" x14ac:dyDescent="0.2">
      <c r="A72" s="52" t="s">
        <v>178</v>
      </c>
      <c r="B72" s="52">
        <v>13151</v>
      </c>
      <c r="C72" s="52">
        <v>0</v>
      </c>
      <c r="F72" s="52">
        <v>0</v>
      </c>
      <c r="I72" s="52">
        <v>0</v>
      </c>
      <c r="L72" s="52">
        <v>0</v>
      </c>
      <c r="O72" s="52">
        <v>0</v>
      </c>
      <c r="R72" s="52">
        <v>0</v>
      </c>
      <c r="U72" s="52">
        <v>0</v>
      </c>
      <c r="X72" s="52">
        <v>379</v>
      </c>
      <c r="Y72" s="52">
        <v>96</v>
      </c>
      <c r="Z72" s="52">
        <v>475</v>
      </c>
      <c r="AA72" s="52">
        <v>3092</v>
      </c>
      <c r="AB72" s="52">
        <v>745</v>
      </c>
      <c r="AC72" s="52">
        <v>3837</v>
      </c>
      <c r="AD72" s="52">
        <v>1997</v>
      </c>
      <c r="AE72" s="52">
        <v>684</v>
      </c>
      <c r="AF72" s="52">
        <v>2681</v>
      </c>
      <c r="AG72" s="52">
        <v>1397</v>
      </c>
      <c r="AH72" s="52">
        <v>354</v>
      </c>
      <c r="AI72" s="52">
        <v>1751</v>
      </c>
      <c r="AJ72" s="52">
        <v>1341</v>
      </c>
      <c r="AK72" s="52">
        <v>227</v>
      </c>
      <c r="AL72" s="52">
        <v>1568</v>
      </c>
      <c r="AM72" s="52">
        <v>1441</v>
      </c>
      <c r="AN72" s="52">
        <v>326</v>
      </c>
      <c r="AO72" s="52">
        <v>1767</v>
      </c>
      <c r="AP72" s="52">
        <v>1655</v>
      </c>
      <c r="AQ72" s="52">
        <v>436</v>
      </c>
      <c r="AR72" s="52">
        <v>2091</v>
      </c>
      <c r="AS72" s="52">
        <v>2072</v>
      </c>
      <c r="AT72" s="52">
        <v>479</v>
      </c>
      <c r="AU72" s="52">
        <v>2551</v>
      </c>
      <c r="AV72" s="52">
        <v>1023</v>
      </c>
      <c r="AW72" s="52">
        <v>301</v>
      </c>
      <c r="AX72" s="52">
        <v>1324</v>
      </c>
      <c r="AY72" s="52">
        <v>1435</v>
      </c>
      <c r="AZ72" s="52">
        <v>270</v>
      </c>
      <c r="BA72" s="52">
        <v>1705</v>
      </c>
      <c r="BB72" s="52">
        <v>1065</v>
      </c>
      <c r="BC72" s="52">
        <v>416</v>
      </c>
      <c r="BD72" s="52">
        <v>1481</v>
      </c>
      <c r="BE72" s="52">
        <v>1157</v>
      </c>
      <c r="BF72" s="52">
        <v>366</v>
      </c>
      <c r="BG72" s="52">
        <v>1523</v>
      </c>
      <c r="BV72" s="52">
        <f t="shared" si="3"/>
        <v>9848</v>
      </c>
      <c r="BW72" s="52">
        <f t="shared" si="4"/>
        <v>2594</v>
      </c>
      <c r="BX72" s="314">
        <f t="shared" si="5"/>
        <v>0.26340373679935014</v>
      </c>
    </row>
    <row r="73" spans="1:76" x14ac:dyDescent="0.2">
      <c r="A73" s="52" t="s">
        <v>179</v>
      </c>
      <c r="B73" s="52">
        <v>13095</v>
      </c>
      <c r="C73" s="52">
        <v>3431</v>
      </c>
      <c r="D73" s="52">
        <v>1362</v>
      </c>
      <c r="E73" s="52">
        <v>4793</v>
      </c>
      <c r="F73" s="52">
        <v>4143</v>
      </c>
      <c r="G73" s="52">
        <v>1224</v>
      </c>
      <c r="H73" s="52">
        <v>5367</v>
      </c>
      <c r="I73" s="52">
        <v>2792</v>
      </c>
      <c r="J73" s="52">
        <v>966</v>
      </c>
      <c r="K73" s="52">
        <v>3758</v>
      </c>
      <c r="L73" s="52">
        <v>6175</v>
      </c>
      <c r="M73" s="52">
        <v>1541</v>
      </c>
      <c r="N73" s="52">
        <v>7716</v>
      </c>
      <c r="O73" s="52">
        <v>3776</v>
      </c>
      <c r="P73" s="52">
        <v>1180</v>
      </c>
      <c r="Q73" s="52">
        <v>4956</v>
      </c>
      <c r="R73" s="52">
        <v>2145</v>
      </c>
      <c r="S73" s="52">
        <v>615</v>
      </c>
      <c r="T73" s="52">
        <v>2760</v>
      </c>
      <c r="U73" s="52">
        <v>-47</v>
      </c>
      <c r="V73" s="52">
        <v>9</v>
      </c>
      <c r="W73" s="52">
        <v>-38</v>
      </c>
      <c r="X73" s="52">
        <v>-59</v>
      </c>
      <c r="Y73" s="52">
        <v>-1</v>
      </c>
      <c r="Z73" s="52">
        <v>-60</v>
      </c>
      <c r="AA73" s="52">
        <v>-39</v>
      </c>
      <c r="AB73" s="52">
        <v>0</v>
      </c>
      <c r="AC73" s="52">
        <v>-39</v>
      </c>
      <c r="AD73" s="52">
        <v>-126</v>
      </c>
      <c r="AE73" s="52">
        <v>0</v>
      </c>
      <c r="AF73" s="52">
        <v>-126</v>
      </c>
      <c r="AG73" s="52">
        <v>-52</v>
      </c>
      <c r="AH73" s="52">
        <v>0</v>
      </c>
      <c r="AI73" s="52">
        <v>-52</v>
      </c>
      <c r="AJ73" s="52">
        <v>-69</v>
      </c>
      <c r="AK73" s="52">
        <v>0</v>
      </c>
      <c r="AL73" s="52">
        <v>-69</v>
      </c>
      <c r="AM73" s="52">
        <v>-11</v>
      </c>
      <c r="AN73" s="52">
        <v>0</v>
      </c>
      <c r="AO73" s="52">
        <v>-11</v>
      </c>
      <c r="AP73" s="52">
        <v>0</v>
      </c>
      <c r="AS73" s="52">
        <v>-1</v>
      </c>
      <c r="AT73" s="52">
        <v>0</v>
      </c>
      <c r="AU73" s="52">
        <v>-1</v>
      </c>
      <c r="AV73" s="52">
        <v>-5</v>
      </c>
      <c r="AW73" s="52">
        <v>0</v>
      </c>
      <c r="AX73" s="52">
        <v>-5</v>
      </c>
      <c r="AY73" s="52">
        <v>-10</v>
      </c>
      <c r="AZ73" s="52">
        <v>0</v>
      </c>
      <c r="BA73" s="52">
        <v>-10</v>
      </c>
      <c r="BB73" s="52">
        <v>-29</v>
      </c>
      <c r="BC73" s="52">
        <v>0</v>
      </c>
      <c r="BD73" s="52">
        <v>-29</v>
      </c>
      <c r="BE73" s="52">
        <v>-28</v>
      </c>
      <c r="BF73" s="52">
        <v>0</v>
      </c>
      <c r="BG73" s="52">
        <v>-28</v>
      </c>
      <c r="BV73" s="52">
        <f t="shared" si="3"/>
        <v>-84</v>
      </c>
      <c r="BW73" s="52">
        <f t="shared" si="4"/>
        <v>0</v>
      </c>
      <c r="BX73" s="314">
        <f t="shared" si="5"/>
        <v>0</v>
      </c>
    </row>
    <row r="74" spans="1:76" x14ac:dyDescent="0.2">
      <c r="A74" s="52" t="s">
        <v>180</v>
      </c>
      <c r="B74" s="52">
        <v>13098</v>
      </c>
      <c r="C74" s="52">
        <v>6722</v>
      </c>
      <c r="D74" s="52">
        <v>2332</v>
      </c>
      <c r="E74" s="52">
        <v>9054</v>
      </c>
      <c r="F74" s="52">
        <v>7980</v>
      </c>
      <c r="G74" s="52">
        <v>2334</v>
      </c>
      <c r="H74" s="52">
        <v>10314</v>
      </c>
      <c r="I74" s="52">
        <v>7223</v>
      </c>
      <c r="J74" s="52">
        <v>1955</v>
      </c>
      <c r="K74" s="52">
        <v>9178</v>
      </c>
      <c r="L74" s="52">
        <v>12786</v>
      </c>
      <c r="M74" s="52">
        <v>3611</v>
      </c>
      <c r="N74" s="52">
        <v>16397</v>
      </c>
      <c r="O74" s="52">
        <v>6361</v>
      </c>
      <c r="P74" s="52">
        <v>1946</v>
      </c>
      <c r="Q74" s="52">
        <v>8307</v>
      </c>
      <c r="R74" s="52">
        <v>8377</v>
      </c>
      <c r="S74" s="52">
        <v>2725</v>
      </c>
      <c r="T74" s="52">
        <v>11102</v>
      </c>
      <c r="U74" s="52">
        <v>6487</v>
      </c>
      <c r="V74" s="52">
        <v>1873</v>
      </c>
      <c r="W74" s="52">
        <v>8360</v>
      </c>
      <c r="X74" s="52">
        <v>1226</v>
      </c>
      <c r="Y74" s="52">
        <v>354</v>
      </c>
      <c r="Z74" s="52">
        <v>1580</v>
      </c>
      <c r="AA74" s="52">
        <v>-5</v>
      </c>
      <c r="AB74" s="52">
        <v>0</v>
      </c>
      <c r="AC74" s="52">
        <v>-5</v>
      </c>
      <c r="AD74" s="52">
        <v>-27</v>
      </c>
      <c r="AE74" s="52">
        <v>0</v>
      </c>
      <c r="AF74" s="52">
        <v>-27</v>
      </c>
      <c r="AG74" s="52">
        <v>-162</v>
      </c>
      <c r="AH74" s="52">
        <v>0</v>
      </c>
      <c r="AI74" s="52">
        <v>-162</v>
      </c>
      <c r="AJ74" s="52">
        <v>-58</v>
      </c>
      <c r="AK74" s="52">
        <v>0</v>
      </c>
      <c r="AL74" s="52">
        <v>-58</v>
      </c>
      <c r="AM74" s="52">
        <v>-26</v>
      </c>
      <c r="AN74" s="52">
        <v>0</v>
      </c>
      <c r="AO74" s="52">
        <v>-26</v>
      </c>
      <c r="AP74" s="52">
        <v>-82</v>
      </c>
      <c r="AQ74" s="52">
        <v>0</v>
      </c>
      <c r="AR74" s="52">
        <v>-82</v>
      </c>
      <c r="AS74" s="52">
        <v>-72</v>
      </c>
      <c r="AT74" s="52">
        <v>0</v>
      </c>
      <c r="AU74" s="52">
        <v>-72</v>
      </c>
      <c r="AV74" s="52">
        <v>-2</v>
      </c>
      <c r="AW74" s="52">
        <v>0</v>
      </c>
      <c r="AX74" s="52">
        <v>-2</v>
      </c>
      <c r="AY74" s="52">
        <v>-10</v>
      </c>
      <c r="AZ74" s="52">
        <v>0</v>
      </c>
      <c r="BA74" s="52">
        <v>-10</v>
      </c>
      <c r="BB74" s="52">
        <v>-31</v>
      </c>
      <c r="BC74" s="52">
        <v>0</v>
      </c>
      <c r="BD74" s="52">
        <v>-31</v>
      </c>
      <c r="BE74" s="52">
        <v>-15</v>
      </c>
      <c r="BF74" s="52">
        <v>0</v>
      </c>
      <c r="BG74" s="52">
        <v>-15</v>
      </c>
      <c r="BV74" s="52">
        <f t="shared" si="3"/>
        <v>-238</v>
      </c>
      <c r="BW74" s="52">
        <f t="shared" si="4"/>
        <v>0</v>
      </c>
      <c r="BX74" s="314">
        <f t="shared" si="5"/>
        <v>0</v>
      </c>
    </row>
    <row r="75" spans="1:76" x14ac:dyDescent="0.2">
      <c r="A75" s="52" t="s">
        <v>181</v>
      </c>
      <c r="B75" s="52">
        <v>13104</v>
      </c>
      <c r="C75" s="52">
        <v>6292</v>
      </c>
      <c r="D75" s="52">
        <v>1905</v>
      </c>
      <c r="E75" s="52">
        <v>8197</v>
      </c>
      <c r="F75" s="52">
        <v>7681</v>
      </c>
      <c r="G75" s="52">
        <v>2260</v>
      </c>
      <c r="H75" s="52">
        <v>9941</v>
      </c>
      <c r="I75" s="52">
        <v>8471</v>
      </c>
      <c r="J75" s="52">
        <v>3245</v>
      </c>
      <c r="K75" s="52">
        <v>11716</v>
      </c>
      <c r="L75" s="52">
        <v>7179</v>
      </c>
      <c r="M75" s="52">
        <v>1452</v>
      </c>
      <c r="N75" s="52">
        <v>8631</v>
      </c>
      <c r="O75" s="52">
        <v>7603</v>
      </c>
      <c r="P75" s="52">
        <v>2373</v>
      </c>
      <c r="Q75" s="52">
        <v>9976</v>
      </c>
      <c r="R75" s="52">
        <v>6724</v>
      </c>
      <c r="S75" s="52">
        <v>2515</v>
      </c>
      <c r="T75" s="52">
        <v>9239</v>
      </c>
      <c r="U75" s="52">
        <v>4253</v>
      </c>
      <c r="V75" s="52">
        <v>1872</v>
      </c>
      <c r="W75" s="52">
        <v>6125</v>
      </c>
      <c r="X75" s="52">
        <v>3696</v>
      </c>
      <c r="Y75" s="52">
        <v>1442</v>
      </c>
      <c r="Z75" s="52">
        <v>5138</v>
      </c>
      <c r="AA75" s="52">
        <v>3</v>
      </c>
      <c r="AB75" s="52">
        <v>-5</v>
      </c>
      <c r="AC75" s="52">
        <v>-2</v>
      </c>
      <c r="AD75" s="52">
        <v>-41</v>
      </c>
      <c r="AE75" s="52">
        <v>0</v>
      </c>
      <c r="AF75" s="52">
        <v>-41</v>
      </c>
      <c r="AG75" s="52">
        <v>-200</v>
      </c>
      <c r="AH75" s="52">
        <v>0</v>
      </c>
      <c r="AI75" s="52">
        <v>-200</v>
      </c>
      <c r="AJ75" s="52">
        <v>-56</v>
      </c>
      <c r="AK75" s="52">
        <v>0</v>
      </c>
      <c r="AL75" s="52">
        <v>-56</v>
      </c>
      <c r="AM75" s="52">
        <v>-9</v>
      </c>
      <c r="AN75" s="52">
        <v>0</v>
      </c>
      <c r="AO75" s="52">
        <v>-9</v>
      </c>
      <c r="AP75" s="52">
        <v>-71</v>
      </c>
      <c r="AQ75" s="52">
        <v>0</v>
      </c>
      <c r="AR75" s="52">
        <v>-71</v>
      </c>
      <c r="AS75" s="52">
        <v>-2</v>
      </c>
      <c r="AT75" s="52">
        <v>0</v>
      </c>
      <c r="AU75" s="52">
        <v>-2</v>
      </c>
      <c r="AV75" s="52">
        <v>-1</v>
      </c>
      <c r="AW75" s="52">
        <v>0</v>
      </c>
      <c r="AX75" s="52">
        <v>-1</v>
      </c>
      <c r="AY75" s="52">
        <v>-37</v>
      </c>
      <c r="AZ75" s="52">
        <v>0</v>
      </c>
      <c r="BA75" s="52">
        <v>-37</v>
      </c>
      <c r="BB75" s="52">
        <v>-22</v>
      </c>
      <c r="BC75" s="52">
        <v>0</v>
      </c>
      <c r="BD75" s="52">
        <v>-22</v>
      </c>
      <c r="BE75" s="52">
        <v>-255</v>
      </c>
      <c r="BF75" s="52">
        <v>0</v>
      </c>
      <c r="BG75" s="52">
        <v>-255</v>
      </c>
      <c r="BV75" s="52">
        <f t="shared" si="3"/>
        <v>-397</v>
      </c>
      <c r="BW75" s="52">
        <f t="shared" si="4"/>
        <v>0</v>
      </c>
      <c r="BX75" s="314">
        <f t="shared" si="5"/>
        <v>0</v>
      </c>
    </row>
    <row r="76" spans="1:76" x14ac:dyDescent="0.2">
      <c r="A76" s="52" t="s">
        <v>182</v>
      </c>
      <c r="B76" s="52">
        <v>13101</v>
      </c>
      <c r="C76" s="52">
        <v>6203</v>
      </c>
      <c r="D76" s="52">
        <v>1630</v>
      </c>
      <c r="E76" s="52">
        <v>7833</v>
      </c>
      <c r="F76" s="52">
        <v>8263</v>
      </c>
      <c r="G76" s="52">
        <v>2235</v>
      </c>
      <c r="H76" s="52">
        <v>10498</v>
      </c>
      <c r="I76" s="52">
        <v>8014</v>
      </c>
      <c r="J76" s="52">
        <v>2886</v>
      </c>
      <c r="K76" s="52">
        <v>10900</v>
      </c>
      <c r="L76" s="52">
        <v>9810</v>
      </c>
      <c r="M76" s="52">
        <v>2264</v>
      </c>
      <c r="N76" s="52">
        <v>12074</v>
      </c>
      <c r="O76" s="52">
        <v>6524</v>
      </c>
      <c r="P76" s="52">
        <v>2025</v>
      </c>
      <c r="Q76" s="52">
        <v>8549</v>
      </c>
      <c r="R76" s="52">
        <v>7352</v>
      </c>
      <c r="S76" s="52">
        <v>2499</v>
      </c>
      <c r="T76" s="52">
        <v>9851</v>
      </c>
      <c r="U76" s="52">
        <v>5038</v>
      </c>
      <c r="V76" s="52">
        <v>1695</v>
      </c>
      <c r="W76" s="52">
        <v>6733</v>
      </c>
      <c r="X76" s="52">
        <v>5424</v>
      </c>
      <c r="Y76" s="52">
        <v>2218</v>
      </c>
      <c r="Z76" s="52">
        <v>7642</v>
      </c>
      <c r="AA76" s="52">
        <v>228</v>
      </c>
      <c r="AB76" s="52">
        <v>63</v>
      </c>
      <c r="AC76" s="52">
        <v>291</v>
      </c>
      <c r="AD76" s="52">
        <v>11</v>
      </c>
      <c r="AE76" s="52">
        <v>0</v>
      </c>
      <c r="AF76" s="52">
        <v>11</v>
      </c>
      <c r="AG76" s="52">
        <v>-26</v>
      </c>
      <c r="AH76" s="52">
        <v>0</v>
      </c>
      <c r="AI76" s="52">
        <v>-26</v>
      </c>
      <c r="AJ76" s="52">
        <v>-63</v>
      </c>
      <c r="AK76" s="52">
        <v>0</v>
      </c>
      <c r="AL76" s="52">
        <v>-63</v>
      </c>
      <c r="AM76" s="52">
        <v>-7</v>
      </c>
      <c r="AN76" s="52">
        <v>0</v>
      </c>
      <c r="AO76" s="52">
        <v>-7</v>
      </c>
      <c r="AP76" s="52">
        <v>-109</v>
      </c>
      <c r="AQ76" s="52">
        <v>0</v>
      </c>
      <c r="AR76" s="52">
        <v>-109</v>
      </c>
      <c r="AS76" s="52">
        <v>-4</v>
      </c>
      <c r="AT76" s="52">
        <v>0</v>
      </c>
      <c r="AU76" s="52">
        <v>-4</v>
      </c>
      <c r="AV76" s="52">
        <v>-2</v>
      </c>
      <c r="AW76" s="52">
        <v>0</v>
      </c>
      <c r="AX76" s="52">
        <v>-2</v>
      </c>
      <c r="AY76" s="52">
        <v>-2</v>
      </c>
      <c r="AZ76" s="52">
        <v>0</v>
      </c>
      <c r="BA76" s="52">
        <v>-2</v>
      </c>
      <c r="BB76" s="52">
        <v>-10</v>
      </c>
      <c r="BC76" s="52">
        <v>0</v>
      </c>
      <c r="BD76" s="52">
        <v>-10</v>
      </c>
      <c r="BE76" s="52">
        <v>-11</v>
      </c>
      <c r="BF76" s="52">
        <v>0</v>
      </c>
      <c r="BG76" s="52">
        <v>-11</v>
      </c>
      <c r="BV76" s="52">
        <f t="shared" si="3"/>
        <v>-145</v>
      </c>
      <c r="BW76" s="52">
        <f t="shared" si="4"/>
        <v>0</v>
      </c>
      <c r="BX76" s="314">
        <f t="shared" si="5"/>
        <v>0</v>
      </c>
    </row>
    <row r="77" spans="1:76" x14ac:dyDescent="0.2">
      <c r="A77" s="52" t="s">
        <v>183</v>
      </c>
      <c r="B77" s="52">
        <v>13096</v>
      </c>
      <c r="C77" s="52">
        <v>1350</v>
      </c>
      <c r="D77" s="52">
        <v>653</v>
      </c>
      <c r="E77" s="52">
        <v>2003</v>
      </c>
      <c r="F77" s="52">
        <v>1709</v>
      </c>
      <c r="G77" s="52">
        <v>505</v>
      </c>
      <c r="H77" s="52">
        <v>2214</v>
      </c>
      <c r="I77" s="52">
        <v>1535</v>
      </c>
      <c r="J77" s="52">
        <v>465</v>
      </c>
      <c r="K77" s="52">
        <v>2000</v>
      </c>
      <c r="L77" s="52">
        <v>1850</v>
      </c>
      <c r="M77" s="52">
        <v>518</v>
      </c>
      <c r="N77" s="52">
        <v>2368</v>
      </c>
      <c r="O77" s="52">
        <v>2053</v>
      </c>
      <c r="P77" s="52">
        <v>607</v>
      </c>
      <c r="Q77" s="52">
        <v>2660</v>
      </c>
      <c r="R77" s="52">
        <v>3137</v>
      </c>
      <c r="S77" s="52">
        <v>1062</v>
      </c>
      <c r="T77" s="52">
        <v>4199</v>
      </c>
      <c r="U77" s="52">
        <v>2543</v>
      </c>
      <c r="V77" s="52">
        <v>954</v>
      </c>
      <c r="W77" s="52">
        <v>3497</v>
      </c>
      <c r="X77" s="52">
        <v>2191</v>
      </c>
      <c r="Y77" s="52">
        <v>1022</v>
      </c>
      <c r="Z77" s="52">
        <v>3213</v>
      </c>
      <c r="AA77" s="52">
        <v>997</v>
      </c>
      <c r="AB77" s="52">
        <v>299</v>
      </c>
      <c r="AC77" s="52">
        <v>1296</v>
      </c>
      <c r="AD77" s="52">
        <v>546</v>
      </c>
      <c r="AE77" s="52">
        <v>82</v>
      </c>
      <c r="AF77" s="52">
        <v>628</v>
      </c>
      <c r="AG77" s="52">
        <v>-12</v>
      </c>
      <c r="AH77" s="52">
        <v>1</v>
      </c>
      <c r="AI77" s="52">
        <v>-11</v>
      </c>
      <c r="AJ77" s="52">
        <v>-35</v>
      </c>
      <c r="AK77" s="52">
        <v>0</v>
      </c>
      <c r="AL77" s="52">
        <v>-35</v>
      </c>
      <c r="AM77" s="52">
        <v>-31</v>
      </c>
      <c r="AN77" s="52">
        <v>0</v>
      </c>
      <c r="AO77" s="52">
        <v>-31</v>
      </c>
      <c r="AP77" s="52">
        <v>-179</v>
      </c>
      <c r="AQ77" s="52">
        <v>0</v>
      </c>
      <c r="AR77" s="52">
        <v>-179</v>
      </c>
      <c r="AS77" s="52">
        <v>-133</v>
      </c>
      <c r="AT77" s="52">
        <v>0</v>
      </c>
      <c r="AU77" s="52">
        <v>-133</v>
      </c>
      <c r="AV77" s="52">
        <v>-26</v>
      </c>
      <c r="AW77" s="52">
        <v>0</v>
      </c>
      <c r="AX77" s="52">
        <v>-26</v>
      </c>
      <c r="AY77" s="52">
        <v>-7</v>
      </c>
      <c r="AZ77" s="52">
        <v>0</v>
      </c>
      <c r="BA77" s="52">
        <v>-7</v>
      </c>
      <c r="BB77" s="52">
        <v>-9</v>
      </c>
      <c r="BC77" s="52">
        <v>0</v>
      </c>
      <c r="BD77" s="52">
        <v>-9</v>
      </c>
      <c r="BE77" s="52">
        <v>-264</v>
      </c>
      <c r="BF77" s="52">
        <v>0</v>
      </c>
      <c r="BG77" s="52">
        <v>-264</v>
      </c>
      <c r="BV77" s="52">
        <f t="shared" si="3"/>
        <v>-649</v>
      </c>
      <c r="BW77" s="52">
        <f t="shared" si="4"/>
        <v>0</v>
      </c>
      <c r="BX77" s="314">
        <f t="shared" si="5"/>
        <v>0</v>
      </c>
    </row>
    <row r="78" spans="1:76" x14ac:dyDescent="0.2">
      <c r="A78" s="52" t="s">
        <v>184</v>
      </c>
      <c r="B78" s="52">
        <v>13099</v>
      </c>
      <c r="C78" s="52">
        <v>3502</v>
      </c>
      <c r="D78" s="52">
        <v>1071</v>
      </c>
      <c r="E78" s="52">
        <v>4573</v>
      </c>
      <c r="F78" s="52">
        <v>4830</v>
      </c>
      <c r="G78" s="52">
        <v>1082</v>
      </c>
      <c r="H78" s="52">
        <v>5912</v>
      </c>
      <c r="I78" s="52">
        <v>4301</v>
      </c>
      <c r="J78" s="52">
        <v>944</v>
      </c>
      <c r="K78" s="52">
        <v>5245</v>
      </c>
      <c r="L78" s="52">
        <v>6456</v>
      </c>
      <c r="M78" s="52">
        <v>1492</v>
      </c>
      <c r="N78" s="52">
        <v>7948</v>
      </c>
      <c r="O78" s="52">
        <v>4479</v>
      </c>
      <c r="P78" s="52">
        <v>1241</v>
      </c>
      <c r="Q78" s="52">
        <v>5720</v>
      </c>
      <c r="R78" s="52">
        <v>7683</v>
      </c>
      <c r="S78" s="52">
        <v>2194</v>
      </c>
      <c r="T78" s="52">
        <v>9877</v>
      </c>
      <c r="U78" s="52">
        <v>3340</v>
      </c>
      <c r="V78" s="52">
        <v>807</v>
      </c>
      <c r="W78" s="52">
        <v>4147</v>
      </c>
      <c r="X78" s="52">
        <v>-22</v>
      </c>
      <c r="Y78" s="52">
        <v>0</v>
      </c>
      <c r="Z78" s="52">
        <v>-22</v>
      </c>
      <c r="AA78" s="52">
        <v>-36</v>
      </c>
      <c r="AB78" s="52">
        <v>0</v>
      </c>
      <c r="AC78" s="52">
        <v>-36</v>
      </c>
      <c r="AD78" s="52">
        <v>-38</v>
      </c>
      <c r="AE78" s="52">
        <v>0</v>
      </c>
      <c r="AF78" s="52">
        <v>-38</v>
      </c>
      <c r="AG78" s="52">
        <v>-93</v>
      </c>
      <c r="AH78" s="52">
        <v>0</v>
      </c>
      <c r="AI78" s="52">
        <v>-93</v>
      </c>
      <c r="AJ78" s="52">
        <v>-256</v>
      </c>
      <c r="AK78" s="52">
        <v>0</v>
      </c>
      <c r="AL78" s="52">
        <v>-256</v>
      </c>
      <c r="AM78" s="52">
        <v>-19</v>
      </c>
      <c r="AN78" s="52">
        <v>0</v>
      </c>
      <c r="AO78" s="52">
        <v>-19</v>
      </c>
      <c r="AP78" s="52">
        <v>-86</v>
      </c>
      <c r="AQ78" s="52">
        <v>0</v>
      </c>
      <c r="AR78" s="52">
        <v>-86</v>
      </c>
      <c r="AS78" s="52">
        <v>-29</v>
      </c>
      <c r="AT78" s="52">
        <v>0</v>
      </c>
      <c r="AU78" s="52">
        <v>-29</v>
      </c>
      <c r="AV78" s="52">
        <v>0</v>
      </c>
      <c r="AY78" s="52">
        <v>-1</v>
      </c>
      <c r="AZ78" s="52">
        <v>0</v>
      </c>
      <c r="BA78" s="52">
        <v>-1</v>
      </c>
      <c r="BB78" s="52">
        <v>-5</v>
      </c>
      <c r="BC78" s="52">
        <v>0</v>
      </c>
      <c r="BD78" s="52">
        <v>-5</v>
      </c>
      <c r="BE78" s="52">
        <v>-24</v>
      </c>
      <c r="BF78" s="52">
        <v>0</v>
      </c>
      <c r="BG78" s="52">
        <v>-24</v>
      </c>
      <c r="BV78" s="52">
        <f t="shared" si="3"/>
        <v>-164</v>
      </c>
      <c r="BW78" s="52">
        <f t="shared" si="4"/>
        <v>0</v>
      </c>
      <c r="BX78" s="314">
        <f t="shared" si="5"/>
        <v>0</v>
      </c>
    </row>
    <row r="79" spans="1:76" x14ac:dyDescent="0.2">
      <c r="A79" s="52" t="s">
        <v>185</v>
      </c>
      <c r="B79" s="52">
        <v>13105</v>
      </c>
      <c r="C79" s="52">
        <v>2909</v>
      </c>
      <c r="D79" s="52">
        <v>787</v>
      </c>
      <c r="E79" s="52">
        <v>3696</v>
      </c>
      <c r="F79" s="52">
        <v>4357</v>
      </c>
      <c r="G79" s="52">
        <v>1042</v>
      </c>
      <c r="H79" s="52">
        <v>5399</v>
      </c>
      <c r="I79" s="52">
        <v>3993</v>
      </c>
      <c r="J79" s="52">
        <v>780</v>
      </c>
      <c r="K79" s="52">
        <v>4773</v>
      </c>
      <c r="L79" s="52">
        <v>4849</v>
      </c>
      <c r="M79" s="52">
        <v>1267</v>
      </c>
      <c r="N79" s="52">
        <v>6116</v>
      </c>
      <c r="O79" s="52">
        <v>3642</v>
      </c>
      <c r="P79" s="52">
        <v>1064</v>
      </c>
      <c r="Q79" s="52">
        <v>4706</v>
      </c>
      <c r="R79" s="52">
        <v>5452</v>
      </c>
      <c r="S79" s="52">
        <v>1867</v>
      </c>
      <c r="T79" s="52">
        <v>7319</v>
      </c>
      <c r="U79" s="52">
        <v>4507</v>
      </c>
      <c r="V79" s="52">
        <v>1506</v>
      </c>
      <c r="W79" s="52">
        <v>6013</v>
      </c>
      <c r="X79" s="52">
        <v>231</v>
      </c>
      <c r="Y79" s="52">
        <v>136</v>
      </c>
      <c r="Z79" s="52">
        <v>367</v>
      </c>
      <c r="AA79" s="52">
        <v>-31</v>
      </c>
      <c r="AB79" s="52">
        <v>0</v>
      </c>
      <c r="AC79" s="52">
        <v>-31</v>
      </c>
      <c r="AD79" s="52">
        <v>-10</v>
      </c>
      <c r="AE79" s="52">
        <v>0</v>
      </c>
      <c r="AF79" s="52">
        <v>-10</v>
      </c>
      <c r="AG79" s="52">
        <v>-25</v>
      </c>
      <c r="AH79" s="52">
        <v>0</v>
      </c>
      <c r="AI79" s="52">
        <v>-25</v>
      </c>
      <c r="AJ79" s="52">
        <v>-11</v>
      </c>
      <c r="AK79" s="52">
        <v>0</v>
      </c>
      <c r="AL79" s="52">
        <v>-11</v>
      </c>
      <c r="AM79" s="52">
        <v>-504</v>
      </c>
      <c r="AN79" s="52">
        <v>0</v>
      </c>
      <c r="AO79" s="52">
        <v>-504</v>
      </c>
      <c r="AP79" s="52">
        <v>-18</v>
      </c>
      <c r="AQ79" s="52">
        <v>0</v>
      </c>
      <c r="AR79" s="52">
        <v>-18</v>
      </c>
      <c r="AS79" s="52">
        <v>-27</v>
      </c>
      <c r="AT79" s="52">
        <v>0</v>
      </c>
      <c r="AU79" s="52">
        <v>-27</v>
      </c>
      <c r="AV79" s="52">
        <v>-5</v>
      </c>
      <c r="AW79" s="52">
        <v>0</v>
      </c>
      <c r="AX79" s="52">
        <v>-5</v>
      </c>
      <c r="AY79" s="52">
        <v>-3</v>
      </c>
      <c r="AZ79" s="52">
        <v>0</v>
      </c>
      <c r="BA79" s="52">
        <v>-3</v>
      </c>
      <c r="BB79" s="52">
        <v>-8</v>
      </c>
      <c r="BC79" s="52">
        <v>0</v>
      </c>
      <c r="BD79" s="52">
        <v>-8</v>
      </c>
      <c r="BE79" s="52">
        <v>-6</v>
      </c>
      <c r="BF79" s="52">
        <v>0</v>
      </c>
      <c r="BG79" s="52">
        <v>-6</v>
      </c>
      <c r="BV79" s="52">
        <f t="shared" si="3"/>
        <v>-571</v>
      </c>
      <c r="BW79" s="52">
        <f t="shared" si="4"/>
        <v>0</v>
      </c>
      <c r="BX79" s="314">
        <f t="shared" si="5"/>
        <v>0</v>
      </c>
    </row>
    <row r="80" spans="1:76" x14ac:dyDescent="0.2">
      <c r="A80" s="52" t="s">
        <v>186</v>
      </c>
      <c r="B80" s="52">
        <v>13102</v>
      </c>
      <c r="C80" s="52">
        <v>2901</v>
      </c>
      <c r="D80" s="52">
        <v>860</v>
      </c>
      <c r="E80" s="52">
        <v>3761</v>
      </c>
      <c r="F80" s="52">
        <v>3807</v>
      </c>
      <c r="G80" s="52">
        <v>1280</v>
      </c>
      <c r="H80" s="52">
        <v>5087</v>
      </c>
      <c r="I80" s="52">
        <v>3847</v>
      </c>
      <c r="J80" s="52">
        <v>978</v>
      </c>
      <c r="K80" s="52">
        <v>4825</v>
      </c>
      <c r="L80" s="52">
        <v>4753</v>
      </c>
      <c r="M80" s="52">
        <v>1151</v>
      </c>
      <c r="N80" s="52">
        <v>5904</v>
      </c>
      <c r="O80" s="52">
        <v>3456</v>
      </c>
      <c r="P80" s="52">
        <v>865</v>
      </c>
      <c r="Q80" s="52">
        <v>4321</v>
      </c>
      <c r="R80" s="52">
        <v>6787</v>
      </c>
      <c r="S80" s="52">
        <v>2831</v>
      </c>
      <c r="T80" s="52">
        <v>9618</v>
      </c>
      <c r="U80" s="52">
        <v>5288</v>
      </c>
      <c r="V80" s="52">
        <v>1863</v>
      </c>
      <c r="W80" s="52">
        <v>7151</v>
      </c>
      <c r="X80" s="52">
        <v>2587</v>
      </c>
      <c r="Y80" s="52">
        <v>882</v>
      </c>
      <c r="Z80" s="52">
        <v>3469</v>
      </c>
      <c r="AA80" s="52">
        <v>-30</v>
      </c>
      <c r="AB80" s="52">
        <v>0</v>
      </c>
      <c r="AC80" s="52">
        <v>-30</v>
      </c>
      <c r="AD80" s="52">
        <v>-40</v>
      </c>
      <c r="AE80" s="52">
        <v>0</v>
      </c>
      <c r="AF80" s="52">
        <v>-40</v>
      </c>
      <c r="AG80" s="52">
        <v>-4</v>
      </c>
      <c r="AH80" s="52">
        <v>0</v>
      </c>
      <c r="AI80" s="52">
        <v>-4</v>
      </c>
      <c r="AJ80" s="52">
        <v>-33</v>
      </c>
      <c r="AK80" s="52">
        <v>0</v>
      </c>
      <c r="AL80" s="52">
        <v>-33</v>
      </c>
      <c r="AM80" s="52">
        <v>-335</v>
      </c>
      <c r="AN80" s="52">
        <v>0</v>
      </c>
      <c r="AO80" s="52">
        <v>-335</v>
      </c>
      <c r="AP80" s="52">
        <v>-51</v>
      </c>
      <c r="AQ80" s="52">
        <v>0</v>
      </c>
      <c r="AR80" s="52">
        <v>-51</v>
      </c>
      <c r="AS80" s="52">
        <v>-37</v>
      </c>
      <c r="AT80" s="52">
        <v>0</v>
      </c>
      <c r="AU80" s="52">
        <v>-37</v>
      </c>
      <c r="AV80" s="52">
        <v>-1</v>
      </c>
      <c r="AW80" s="52">
        <v>0</v>
      </c>
      <c r="AX80" s="52">
        <v>-1</v>
      </c>
      <c r="AY80" s="52">
        <v>-2</v>
      </c>
      <c r="AZ80" s="52">
        <v>0</v>
      </c>
      <c r="BA80" s="52">
        <v>-2</v>
      </c>
      <c r="BB80" s="52">
        <v>-3</v>
      </c>
      <c r="BC80" s="52">
        <v>0</v>
      </c>
      <c r="BD80" s="52">
        <v>-3</v>
      </c>
      <c r="BE80" s="52">
        <v>-1</v>
      </c>
      <c r="BF80" s="52">
        <v>0</v>
      </c>
      <c r="BG80" s="52">
        <v>-1</v>
      </c>
      <c r="BV80" s="52">
        <f t="shared" si="3"/>
        <v>-430</v>
      </c>
      <c r="BW80" s="52">
        <f t="shared" si="4"/>
        <v>0</v>
      </c>
      <c r="BX80" s="314">
        <f t="shared" si="5"/>
        <v>0</v>
      </c>
    </row>
    <row r="81" spans="1:76" x14ac:dyDescent="0.2">
      <c r="A81" s="52" t="s">
        <v>187</v>
      </c>
      <c r="B81" s="52">
        <v>13154</v>
      </c>
      <c r="C81" s="52">
        <v>0</v>
      </c>
      <c r="F81" s="52">
        <v>0</v>
      </c>
      <c r="I81" s="52">
        <v>0</v>
      </c>
      <c r="L81" s="52">
        <v>0</v>
      </c>
      <c r="O81" s="52">
        <v>0</v>
      </c>
      <c r="R81" s="52">
        <v>0</v>
      </c>
      <c r="U81" s="52">
        <v>2668</v>
      </c>
      <c r="V81" s="52">
        <v>370</v>
      </c>
      <c r="W81" s="52">
        <v>3038</v>
      </c>
      <c r="X81" s="52">
        <v>3289</v>
      </c>
      <c r="Y81" s="52">
        <v>780</v>
      </c>
      <c r="Z81" s="52">
        <v>4069</v>
      </c>
      <c r="AA81" s="52">
        <v>3895</v>
      </c>
      <c r="AB81" s="52">
        <v>671</v>
      </c>
      <c r="AC81" s="52">
        <v>4566</v>
      </c>
      <c r="AD81" s="52">
        <v>3965</v>
      </c>
      <c r="AE81" s="52">
        <v>1368</v>
      </c>
      <c r="AF81" s="52">
        <v>5333</v>
      </c>
      <c r="AG81" s="52">
        <v>2825</v>
      </c>
      <c r="AH81" s="52">
        <v>734</v>
      </c>
      <c r="AI81" s="52">
        <v>3559</v>
      </c>
      <c r="AJ81" s="52">
        <v>2961</v>
      </c>
      <c r="AK81" s="52">
        <v>642</v>
      </c>
      <c r="AL81" s="52">
        <v>3603</v>
      </c>
      <c r="AM81" s="52">
        <v>4244</v>
      </c>
      <c r="AN81" s="52">
        <v>798</v>
      </c>
      <c r="AO81" s="52">
        <v>5042</v>
      </c>
      <c r="AP81" s="52">
        <v>4321</v>
      </c>
      <c r="AQ81" s="52">
        <v>905</v>
      </c>
      <c r="AR81" s="52">
        <v>5226</v>
      </c>
      <c r="AS81" s="52">
        <v>6539</v>
      </c>
      <c r="AT81" s="52">
        <v>1427</v>
      </c>
      <c r="AU81" s="52">
        <v>7966</v>
      </c>
      <c r="AV81" s="52">
        <v>4260</v>
      </c>
      <c r="AW81" s="52">
        <v>973</v>
      </c>
      <c r="AX81" s="52">
        <v>5233</v>
      </c>
      <c r="AY81" s="52">
        <v>6309</v>
      </c>
      <c r="AZ81" s="52">
        <v>1659</v>
      </c>
      <c r="BA81" s="52">
        <v>7968</v>
      </c>
      <c r="BB81" s="52">
        <v>4455</v>
      </c>
      <c r="BC81" s="52">
        <v>1194</v>
      </c>
      <c r="BD81" s="52">
        <v>5649</v>
      </c>
      <c r="BE81" s="52">
        <v>3957</v>
      </c>
      <c r="BF81" s="52">
        <v>1164</v>
      </c>
      <c r="BG81" s="52">
        <v>5121</v>
      </c>
      <c r="BV81" s="52">
        <f t="shared" si="3"/>
        <v>34085</v>
      </c>
      <c r="BW81" s="52">
        <f t="shared" si="4"/>
        <v>8120</v>
      </c>
      <c r="BX81" s="314">
        <f t="shared" si="5"/>
        <v>0.23822795951298226</v>
      </c>
    </row>
    <row r="82" spans="1:76" x14ac:dyDescent="0.2">
      <c r="A82" s="52" t="s">
        <v>188</v>
      </c>
      <c r="B82" s="52">
        <v>13152</v>
      </c>
      <c r="C82" s="52">
        <v>0</v>
      </c>
      <c r="F82" s="52">
        <v>0</v>
      </c>
      <c r="I82" s="52">
        <v>0</v>
      </c>
      <c r="L82" s="52">
        <v>0</v>
      </c>
      <c r="O82" s="52">
        <v>0</v>
      </c>
      <c r="R82" s="52">
        <v>0</v>
      </c>
      <c r="U82" s="52">
        <v>2218</v>
      </c>
      <c r="V82" s="52">
        <v>327</v>
      </c>
      <c r="W82" s="52">
        <v>2545</v>
      </c>
      <c r="X82" s="52">
        <v>2784</v>
      </c>
      <c r="Y82" s="52">
        <v>679</v>
      </c>
      <c r="Z82" s="52">
        <v>3463</v>
      </c>
      <c r="AA82" s="52">
        <v>3926</v>
      </c>
      <c r="AB82" s="52">
        <v>676</v>
      </c>
      <c r="AC82" s="52">
        <v>4602</v>
      </c>
      <c r="AD82" s="52">
        <v>3345</v>
      </c>
      <c r="AE82" s="52">
        <v>1060</v>
      </c>
      <c r="AF82" s="52">
        <v>4405</v>
      </c>
      <c r="AG82" s="52">
        <v>2367</v>
      </c>
      <c r="AH82" s="52">
        <v>451</v>
      </c>
      <c r="AI82" s="52">
        <v>2818</v>
      </c>
      <c r="AJ82" s="52">
        <v>2069</v>
      </c>
      <c r="AK82" s="52">
        <v>510</v>
      </c>
      <c r="AL82" s="52">
        <v>2579</v>
      </c>
      <c r="AM82" s="52">
        <v>3981</v>
      </c>
      <c r="AN82" s="52">
        <v>628</v>
      </c>
      <c r="AO82" s="52">
        <v>4609</v>
      </c>
      <c r="AP82" s="52">
        <v>4200</v>
      </c>
      <c r="AQ82" s="52">
        <v>728</v>
      </c>
      <c r="AR82" s="52">
        <v>4928</v>
      </c>
      <c r="AS82" s="52">
        <v>6695</v>
      </c>
      <c r="AT82" s="52">
        <v>1541</v>
      </c>
      <c r="AU82" s="52">
        <v>8236</v>
      </c>
      <c r="AV82" s="52">
        <v>4051</v>
      </c>
      <c r="AW82" s="52">
        <v>1039</v>
      </c>
      <c r="AX82" s="52">
        <v>5090</v>
      </c>
      <c r="AY82" s="52">
        <v>5580</v>
      </c>
      <c r="AZ82" s="52">
        <v>1362</v>
      </c>
      <c r="BA82" s="52">
        <v>6942</v>
      </c>
      <c r="BB82" s="52">
        <v>4113</v>
      </c>
      <c r="BC82" s="52">
        <v>1185</v>
      </c>
      <c r="BD82" s="52">
        <v>5298</v>
      </c>
      <c r="BE82" s="52">
        <v>3633</v>
      </c>
      <c r="BF82" s="52">
        <v>963</v>
      </c>
      <c r="BG82" s="52">
        <v>4596</v>
      </c>
      <c r="BV82" s="52">
        <f t="shared" si="3"/>
        <v>32253</v>
      </c>
      <c r="BW82" s="52">
        <f t="shared" si="4"/>
        <v>7446</v>
      </c>
      <c r="BX82" s="314">
        <f t="shared" si="5"/>
        <v>0.23086224537252348</v>
      </c>
    </row>
    <row r="83" spans="1:76" x14ac:dyDescent="0.2">
      <c r="A83" s="52" t="s">
        <v>189</v>
      </c>
      <c r="B83" s="52">
        <v>13155</v>
      </c>
      <c r="C83" s="52">
        <v>0</v>
      </c>
      <c r="F83" s="52">
        <v>0</v>
      </c>
      <c r="I83" s="52">
        <v>0</v>
      </c>
      <c r="L83" s="52">
        <v>0</v>
      </c>
      <c r="O83" s="52">
        <v>0</v>
      </c>
      <c r="R83" s="52">
        <v>0</v>
      </c>
      <c r="U83" s="52">
        <v>1849</v>
      </c>
      <c r="V83" s="52">
        <v>289</v>
      </c>
      <c r="W83" s="52">
        <v>2138</v>
      </c>
      <c r="X83" s="52">
        <v>3177</v>
      </c>
      <c r="Y83" s="52">
        <v>791</v>
      </c>
      <c r="Z83" s="52">
        <v>3968</v>
      </c>
      <c r="AA83" s="52">
        <v>4628</v>
      </c>
      <c r="AB83" s="52">
        <v>926</v>
      </c>
      <c r="AC83" s="52">
        <v>5554</v>
      </c>
      <c r="AD83" s="52">
        <v>2699</v>
      </c>
      <c r="AE83" s="52">
        <v>1019</v>
      </c>
      <c r="AF83" s="52">
        <v>3718</v>
      </c>
      <c r="AG83" s="52">
        <v>2450</v>
      </c>
      <c r="AH83" s="52">
        <v>652</v>
      </c>
      <c r="AI83" s="52">
        <v>3102</v>
      </c>
      <c r="AJ83" s="52">
        <v>2902</v>
      </c>
      <c r="AK83" s="52">
        <v>826</v>
      </c>
      <c r="AL83" s="52">
        <v>3728</v>
      </c>
      <c r="AM83" s="52">
        <v>3308</v>
      </c>
      <c r="AN83" s="52">
        <v>619</v>
      </c>
      <c r="AO83" s="52">
        <v>3927</v>
      </c>
      <c r="AP83" s="52">
        <v>2794</v>
      </c>
      <c r="AQ83" s="52">
        <v>603</v>
      </c>
      <c r="AR83" s="52">
        <v>3397</v>
      </c>
      <c r="AS83" s="52">
        <v>5265</v>
      </c>
      <c r="AT83" s="52">
        <v>1353</v>
      </c>
      <c r="AU83" s="52">
        <v>6618</v>
      </c>
      <c r="AV83" s="52">
        <v>3312</v>
      </c>
      <c r="AW83" s="52">
        <v>1030</v>
      </c>
      <c r="AX83" s="52">
        <v>4342</v>
      </c>
      <c r="AY83" s="52">
        <v>3350</v>
      </c>
      <c r="AZ83" s="52">
        <v>923</v>
      </c>
      <c r="BA83" s="52">
        <v>4273</v>
      </c>
      <c r="BB83" s="52">
        <v>2855</v>
      </c>
      <c r="BC83" s="52">
        <v>924</v>
      </c>
      <c r="BD83" s="52">
        <v>3779</v>
      </c>
      <c r="BE83" s="52">
        <v>2597</v>
      </c>
      <c r="BF83" s="52">
        <v>758</v>
      </c>
      <c r="BG83" s="52">
        <v>3355</v>
      </c>
      <c r="BV83" s="52">
        <f t="shared" si="3"/>
        <v>23481</v>
      </c>
      <c r="BW83" s="52">
        <f t="shared" si="4"/>
        <v>6210</v>
      </c>
      <c r="BX83" s="314">
        <f t="shared" si="5"/>
        <v>0.2644691452663856</v>
      </c>
    </row>
    <row r="84" spans="1:76" x14ac:dyDescent="0.2">
      <c r="A84" s="52" t="s">
        <v>190</v>
      </c>
      <c r="B84" s="52">
        <v>13153</v>
      </c>
      <c r="C84" s="52">
        <v>0</v>
      </c>
      <c r="F84" s="52">
        <v>0</v>
      </c>
      <c r="I84" s="52">
        <v>0</v>
      </c>
      <c r="L84" s="52">
        <v>0</v>
      </c>
      <c r="O84" s="52">
        <v>0</v>
      </c>
      <c r="R84" s="52">
        <v>0</v>
      </c>
      <c r="U84" s="52">
        <v>1840</v>
      </c>
      <c r="V84" s="52">
        <v>1334</v>
      </c>
      <c r="W84" s="52">
        <v>3174</v>
      </c>
      <c r="X84" s="52">
        <v>2781</v>
      </c>
      <c r="Y84" s="52">
        <v>688</v>
      </c>
      <c r="Z84" s="52">
        <v>3469</v>
      </c>
      <c r="AA84" s="52">
        <v>4169</v>
      </c>
      <c r="AB84" s="52">
        <v>829</v>
      </c>
      <c r="AC84" s="52">
        <v>4998</v>
      </c>
      <c r="AD84" s="52">
        <v>3141</v>
      </c>
      <c r="AE84" s="52">
        <v>1045</v>
      </c>
      <c r="AF84" s="52">
        <v>4186</v>
      </c>
      <c r="AG84" s="52">
        <v>2260</v>
      </c>
      <c r="AH84" s="52">
        <v>808</v>
      </c>
      <c r="AI84" s="52">
        <v>3068</v>
      </c>
      <c r="AJ84" s="52">
        <v>2507</v>
      </c>
      <c r="AK84" s="52">
        <v>731</v>
      </c>
      <c r="AL84" s="52">
        <v>3238</v>
      </c>
      <c r="AM84" s="52">
        <v>3058</v>
      </c>
      <c r="AN84" s="52">
        <v>495</v>
      </c>
      <c r="AO84" s="52">
        <v>3553</v>
      </c>
      <c r="AP84" s="52">
        <v>2782</v>
      </c>
      <c r="AQ84" s="52">
        <v>628</v>
      </c>
      <c r="AR84" s="52">
        <v>3410</v>
      </c>
      <c r="AS84" s="52">
        <v>4718</v>
      </c>
      <c r="AT84" s="52">
        <v>1152</v>
      </c>
      <c r="AU84" s="52">
        <v>5870</v>
      </c>
      <c r="AV84" s="52">
        <v>2892</v>
      </c>
      <c r="AW84" s="52">
        <v>864</v>
      </c>
      <c r="AX84" s="52">
        <v>3756</v>
      </c>
      <c r="AY84" s="52">
        <v>3114</v>
      </c>
      <c r="AZ84" s="52">
        <v>859</v>
      </c>
      <c r="BA84" s="52">
        <v>3973</v>
      </c>
      <c r="BB84" s="52">
        <v>3258</v>
      </c>
      <c r="BC84" s="52">
        <v>960</v>
      </c>
      <c r="BD84" s="52">
        <v>4218</v>
      </c>
      <c r="BE84" s="52">
        <v>2149</v>
      </c>
      <c r="BF84" s="52">
        <v>700</v>
      </c>
      <c r="BG84" s="52">
        <v>2849</v>
      </c>
      <c r="BV84" s="52">
        <f t="shared" si="3"/>
        <v>21971</v>
      </c>
      <c r="BW84" s="52">
        <f t="shared" si="4"/>
        <v>5658</v>
      </c>
      <c r="BX84" s="314">
        <f t="shared" si="5"/>
        <v>0.25752127804833647</v>
      </c>
    </row>
    <row r="85" spans="1:76" x14ac:dyDescent="0.2">
      <c r="A85" s="52" t="s">
        <v>191</v>
      </c>
      <c r="B85" s="52">
        <v>13107</v>
      </c>
      <c r="C85" s="52">
        <v>7775</v>
      </c>
      <c r="D85" s="52">
        <v>2172</v>
      </c>
      <c r="E85" s="52">
        <v>9947</v>
      </c>
      <c r="F85" s="52">
        <v>8449</v>
      </c>
      <c r="G85" s="52">
        <v>2513</v>
      </c>
      <c r="H85" s="52">
        <v>10962</v>
      </c>
      <c r="I85" s="52">
        <v>8983</v>
      </c>
      <c r="J85" s="52">
        <v>2593</v>
      </c>
      <c r="K85" s="52">
        <v>11576</v>
      </c>
      <c r="L85" s="52">
        <v>13342</v>
      </c>
      <c r="M85" s="52">
        <v>3857</v>
      </c>
      <c r="N85" s="52">
        <v>17199</v>
      </c>
      <c r="O85" s="52">
        <v>6693</v>
      </c>
      <c r="P85" s="52">
        <v>2105</v>
      </c>
      <c r="Q85" s="52">
        <v>8798</v>
      </c>
      <c r="R85" s="52">
        <v>7587</v>
      </c>
      <c r="S85" s="52">
        <v>2407</v>
      </c>
      <c r="T85" s="52">
        <v>9994</v>
      </c>
      <c r="U85" s="52">
        <v>7784</v>
      </c>
      <c r="V85" s="52">
        <v>2760</v>
      </c>
      <c r="W85" s="52">
        <v>10544</v>
      </c>
      <c r="X85" s="52">
        <v>255</v>
      </c>
      <c r="Y85" s="52">
        <v>88</v>
      </c>
      <c r="Z85" s="52">
        <v>343</v>
      </c>
      <c r="AA85" s="52">
        <v>13</v>
      </c>
      <c r="AB85" s="52">
        <v>0</v>
      </c>
      <c r="AC85" s="52">
        <v>13</v>
      </c>
      <c r="AD85" s="52">
        <v>0</v>
      </c>
      <c r="AG85" s="52">
        <v>0</v>
      </c>
      <c r="AJ85" s="52">
        <v>1</v>
      </c>
      <c r="AK85" s="52">
        <v>0</v>
      </c>
      <c r="AL85" s="52">
        <v>1</v>
      </c>
      <c r="AM85" s="52">
        <v>-1</v>
      </c>
      <c r="AN85" s="52">
        <v>0</v>
      </c>
      <c r="AO85" s="52">
        <v>-1</v>
      </c>
      <c r="AP85" s="52">
        <v>-18</v>
      </c>
      <c r="AQ85" s="52">
        <v>0</v>
      </c>
      <c r="AR85" s="52">
        <v>-18</v>
      </c>
      <c r="AS85" s="52">
        <v>1</v>
      </c>
      <c r="AT85" s="52">
        <v>0</v>
      </c>
      <c r="AU85" s="52">
        <v>1</v>
      </c>
      <c r="AV85" s="52">
        <v>-22</v>
      </c>
      <c r="AW85" s="52">
        <v>0</v>
      </c>
      <c r="AX85" s="52">
        <v>-22</v>
      </c>
      <c r="AY85" s="52">
        <v>-36</v>
      </c>
      <c r="AZ85" s="52">
        <v>0</v>
      </c>
      <c r="BA85" s="52">
        <v>-36</v>
      </c>
      <c r="BB85" s="52">
        <v>-2</v>
      </c>
      <c r="BC85" s="52">
        <v>0</v>
      </c>
      <c r="BD85" s="52">
        <v>-2</v>
      </c>
      <c r="BE85" s="52">
        <v>-2</v>
      </c>
      <c r="BF85" s="52">
        <v>0</v>
      </c>
      <c r="BG85" s="52">
        <v>-2</v>
      </c>
      <c r="BV85" s="52">
        <f t="shared" si="3"/>
        <v>-80</v>
      </c>
      <c r="BW85" s="52">
        <f t="shared" si="4"/>
        <v>0</v>
      </c>
      <c r="BX85" s="314">
        <f t="shared" si="5"/>
        <v>0</v>
      </c>
    </row>
    <row r="86" spans="1:76" x14ac:dyDescent="0.2">
      <c r="A86" s="52" t="s">
        <v>192</v>
      </c>
      <c r="B86" s="52">
        <v>13157</v>
      </c>
      <c r="C86" s="52">
        <v>0</v>
      </c>
      <c r="F86" s="52">
        <v>0</v>
      </c>
      <c r="I86" s="52">
        <v>0</v>
      </c>
      <c r="L86" s="52">
        <v>0</v>
      </c>
      <c r="O86" s="52">
        <v>0</v>
      </c>
      <c r="R86" s="52">
        <v>0</v>
      </c>
      <c r="U86" s="52">
        <v>2053</v>
      </c>
      <c r="V86" s="52">
        <v>297</v>
      </c>
      <c r="W86" s="52">
        <v>2350</v>
      </c>
      <c r="X86" s="52">
        <v>2725</v>
      </c>
      <c r="Y86" s="52">
        <v>680</v>
      </c>
      <c r="Z86" s="52">
        <v>3405</v>
      </c>
      <c r="AA86" s="52">
        <v>3756</v>
      </c>
      <c r="AB86" s="52">
        <v>662</v>
      </c>
      <c r="AC86" s="52">
        <v>4418</v>
      </c>
      <c r="AD86" s="52">
        <v>3674</v>
      </c>
      <c r="AE86" s="52">
        <v>1475</v>
      </c>
      <c r="AF86" s="52">
        <v>5149</v>
      </c>
      <c r="AG86" s="52">
        <v>2427</v>
      </c>
      <c r="AH86" s="52">
        <v>603</v>
      </c>
      <c r="AI86" s="52">
        <v>3030</v>
      </c>
      <c r="AJ86" s="52">
        <v>2364</v>
      </c>
      <c r="AK86" s="52">
        <v>610</v>
      </c>
      <c r="AL86" s="52">
        <v>2974</v>
      </c>
      <c r="AM86" s="52">
        <v>4449</v>
      </c>
      <c r="AN86" s="52">
        <v>790</v>
      </c>
      <c r="AO86" s="52">
        <v>5239</v>
      </c>
      <c r="AP86" s="52">
        <v>4324</v>
      </c>
      <c r="AQ86" s="52">
        <v>1028</v>
      </c>
      <c r="AR86" s="52">
        <v>5352</v>
      </c>
      <c r="AS86" s="52">
        <v>5995</v>
      </c>
      <c r="AT86" s="52">
        <v>1486</v>
      </c>
      <c r="AU86" s="52">
        <v>7481</v>
      </c>
      <c r="AV86" s="52">
        <v>4094</v>
      </c>
      <c r="AW86" s="52">
        <v>1363</v>
      </c>
      <c r="AX86" s="52">
        <v>5457</v>
      </c>
      <c r="AY86" s="52">
        <v>5409</v>
      </c>
      <c r="AZ86" s="52">
        <v>1699</v>
      </c>
      <c r="BA86" s="52">
        <v>7108</v>
      </c>
      <c r="BB86" s="52">
        <v>4025</v>
      </c>
      <c r="BC86" s="52">
        <v>1452</v>
      </c>
      <c r="BD86" s="52">
        <v>5477</v>
      </c>
      <c r="BE86" s="52">
        <v>3559</v>
      </c>
      <c r="BF86" s="52">
        <v>1299</v>
      </c>
      <c r="BG86" s="52">
        <v>4858</v>
      </c>
      <c r="BV86" s="52">
        <f t="shared" si="3"/>
        <v>31855</v>
      </c>
      <c r="BW86" s="52">
        <f t="shared" si="4"/>
        <v>9117</v>
      </c>
      <c r="BX86" s="314">
        <f t="shared" si="5"/>
        <v>0.28620310783236541</v>
      </c>
    </row>
    <row r="87" spans="1:76" x14ac:dyDescent="0.2">
      <c r="A87" s="52" t="s">
        <v>193</v>
      </c>
      <c r="B87" s="52">
        <v>13066</v>
      </c>
      <c r="C87" s="52">
        <v>2341</v>
      </c>
      <c r="D87" s="52">
        <v>571</v>
      </c>
      <c r="E87" s="52">
        <v>2912</v>
      </c>
      <c r="F87" s="52">
        <v>2142</v>
      </c>
      <c r="G87" s="52">
        <v>273</v>
      </c>
      <c r="H87" s="52">
        <v>2415</v>
      </c>
      <c r="I87" s="52">
        <v>3357</v>
      </c>
      <c r="J87" s="52">
        <v>702</v>
      </c>
      <c r="K87" s="52">
        <v>4059</v>
      </c>
      <c r="L87" s="52">
        <v>3787</v>
      </c>
      <c r="M87" s="52">
        <v>873</v>
      </c>
      <c r="N87" s="52">
        <v>4660</v>
      </c>
      <c r="O87" s="52">
        <v>2442</v>
      </c>
      <c r="P87" s="52">
        <v>370</v>
      </c>
      <c r="Q87" s="52">
        <v>2812</v>
      </c>
      <c r="R87" s="52">
        <v>3022</v>
      </c>
      <c r="S87" s="52">
        <v>478</v>
      </c>
      <c r="T87" s="52">
        <v>3500</v>
      </c>
      <c r="U87" s="52">
        <v>3136</v>
      </c>
      <c r="V87" s="52">
        <v>458</v>
      </c>
      <c r="W87" s="52">
        <v>3594</v>
      </c>
      <c r="X87" s="52">
        <v>3295</v>
      </c>
      <c r="Y87" s="52">
        <v>574</v>
      </c>
      <c r="Z87" s="52">
        <v>3869</v>
      </c>
      <c r="AA87" s="52">
        <v>2801</v>
      </c>
      <c r="AB87" s="52">
        <v>486</v>
      </c>
      <c r="AC87" s="52">
        <v>3287</v>
      </c>
      <c r="AD87" s="52">
        <v>2833</v>
      </c>
      <c r="AE87" s="52">
        <v>533</v>
      </c>
      <c r="AF87" s="52">
        <v>3366</v>
      </c>
      <c r="AG87" s="52">
        <v>2766</v>
      </c>
      <c r="AH87" s="52">
        <v>668</v>
      </c>
      <c r="AI87" s="52">
        <v>3434</v>
      </c>
      <c r="AJ87" s="52">
        <v>3161</v>
      </c>
      <c r="AK87" s="52">
        <v>396</v>
      </c>
      <c r="AL87" s="52">
        <v>3557</v>
      </c>
      <c r="AM87" s="52">
        <v>3898</v>
      </c>
      <c r="AN87" s="52">
        <v>451</v>
      </c>
      <c r="AO87" s="52">
        <v>4349</v>
      </c>
      <c r="AP87" s="52">
        <v>2725</v>
      </c>
      <c r="AQ87" s="52">
        <v>381</v>
      </c>
      <c r="AR87" s="52">
        <v>3106</v>
      </c>
      <c r="AS87" s="52">
        <v>3919</v>
      </c>
      <c r="AT87" s="52">
        <v>505</v>
      </c>
      <c r="AU87" s="52">
        <v>4424</v>
      </c>
      <c r="AV87" s="52">
        <v>3433</v>
      </c>
      <c r="AW87" s="52">
        <v>445</v>
      </c>
      <c r="AX87" s="52">
        <v>3878</v>
      </c>
      <c r="AY87" s="52">
        <v>4063</v>
      </c>
      <c r="AZ87" s="52">
        <v>560</v>
      </c>
      <c r="BA87" s="52">
        <v>4623</v>
      </c>
      <c r="BB87" s="52">
        <v>3954</v>
      </c>
      <c r="BC87" s="52">
        <v>480</v>
      </c>
      <c r="BD87" s="52">
        <v>4434</v>
      </c>
      <c r="BE87" s="52">
        <v>3531</v>
      </c>
      <c r="BF87" s="52">
        <v>480</v>
      </c>
      <c r="BG87" s="52">
        <v>4011</v>
      </c>
      <c r="BV87" s="52">
        <f t="shared" si="3"/>
        <v>25523</v>
      </c>
      <c r="BW87" s="52">
        <f t="shared" si="4"/>
        <v>3302</v>
      </c>
      <c r="BX87" s="314">
        <f t="shared" si="5"/>
        <v>0.12937350624926536</v>
      </c>
    </row>
    <row r="88" spans="1:76" x14ac:dyDescent="0.2">
      <c r="A88" s="52" t="s">
        <v>194</v>
      </c>
      <c r="B88" s="52">
        <v>13011</v>
      </c>
      <c r="C88" s="52">
        <v>229</v>
      </c>
      <c r="D88" s="52">
        <v>151</v>
      </c>
      <c r="E88" s="52">
        <v>380</v>
      </c>
      <c r="F88" s="52">
        <v>1066</v>
      </c>
      <c r="G88" s="52">
        <v>943</v>
      </c>
      <c r="H88" s="52">
        <v>2009</v>
      </c>
      <c r="I88" s="52">
        <v>163</v>
      </c>
      <c r="J88" s="52">
        <v>284</v>
      </c>
      <c r="K88" s="52">
        <v>447</v>
      </c>
      <c r="L88" s="52">
        <v>7</v>
      </c>
      <c r="M88" s="52">
        <v>3</v>
      </c>
      <c r="N88" s="52">
        <v>10</v>
      </c>
      <c r="O88" s="52">
        <v>-153</v>
      </c>
      <c r="P88" s="52">
        <v>1</v>
      </c>
      <c r="Q88" s="52">
        <v>-152</v>
      </c>
      <c r="R88" s="52">
        <v>107</v>
      </c>
      <c r="S88" s="52">
        <v>5</v>
      </c>
      <c r="T88" s="52">
        <v>112</v>
      </c>
      <c r="U88" s="52">
        <v>-10</v>
      </c>
      <c r="V88" s="52">
        <v>49</v>
      </c>
      <c r="W88" s="52">
        <v>39</v>
      </c>
      <c r="X88" s="52">
        <v>-79</v>
      </c>
      <c r="Y88" s="52">
        <v>64</v>
      </c>
      <c r="Z88" s="52">
        <v>-15</v>
      </c>
      <c r="AA88" s="52">
        <v>-31</v>
      </c>
      <c r="AB88" s="52">
        <v>0</v>
      </c>
      <c r="AC88" s="52">
        <v>-31</v>
      </c>
      <c r="AD88" s="52">
        <v>0</v>
      </c>
      <c r="AG88" s="52">
        <v>-152</v>
      </c>
      <c r="AH88" s="52">
        <v>0</v>
      </c>
      <c r="AI88" s="52">
        <v>-152</v>
      </c>
      <c r="AJ88" s="52">
        <v>-115</v>
      </c>
      <c r="AK88" s="52">
        <v>0</v>
      </c>
      <c r="AL88" s="52">
        <v>-115</v>
      </c>
      <c r="AM88" s="52">
        <v>-78</v>
      </c>
      <c r="AN88" s="52">
        <v>0</v>
      </c>
      <c r="AO88" s="52">
        <v>-78</v>
      </c>
      <c r="AP88" s="52">
        <v>-20</v>
      </c>
      <c r="AQ88" s="52">
        <v>0</v>
      </c>
      <c r="AR88" s="52">
        <v>-20</v>
      </c>
      <c r="AS88" s="52">
        <v>0</v>
      </c>
      <c r="AV88" s="52">
        <v>0</v>
      </c>
      <c r="AY88" s="52">
        <v>0</v>
      </c>
      <c r="BB88" s="52">
        <v>0</v>
      </c>
      <c r="BE88" s="52">
        <v>0</v>
      </c>
      <c r="BV88" s="52">
        <f t="shared" si="3"/>
        <v>-98</v>
      </c>
      <c r="BW88" s="52">
        <f t="shared" si="4"/>
        <v>0</v>
      </c>
      <c r="BX88" s="314">
        <f t="shared" si="5"/>
        <v>0</v>
      </c>
    </row>
    <row r="89" spans="1:76" x14ac:dyDescent="0.2">
      <c r="A89" s="52" t="s">
        <v>195</v>
      </c>
      <c r="B89" s="52">
        <v>13040</v>
      </c>
      <c r="C89" s="52">
        <v>189</v>
      </c>
      <c r="D89" s="52">
        <v>8</v>
      </c>
      <c r="E89" s="52">
        <v>197</v>
      </c>
      <c r="F89" s="52">
        <v>154</v>
      </c>
      <c r="G89" s="52">
        <v>10</v>
      </c>
      <c r="H89" s="52">
        <v>164</v>
      </c>
      <c r="I89" s="52">
        <v>434</v>
      </c>
      <c r="J89" s="52">
        <v>103</v>
      </c>
      <c r="K89" s="52">
        <v>537</v>
      </c>
      <c r="L89" s="52">
        <v>208</v>
      </c>
      <c r="M89" s="52">
        <v>94</v>
      </c>
      <c r="N89" s="52">
        <v>302</v>
      </c>
      <c r="O89" s="52">
        <v>297</v>
      </c>
      <c r="P89" s="52">
        <v>131</v>
      </c>
      <c r="Q89" s="52">
        <v>428</v>
      </c>
      <c r="R89" s="52">
        <v>213</v>
      </c>
      <c r="S89" s="52">
        <v>125</v>
      </c>
      <c r="T89" s="52">
        <v>338</v>
      </c>
      <c r="U89" s="52">
        <v>36</v>
      </c>
      <c r="V89" s="52">
        <v>26</v>
      </c>
      <c r="W89" s="52">
        <v>62</v>
      </c>
      <c r="X89" s="52">
        <v>121</v>
      </c>
      <c r="Y89" s="52">
        <v>53</v>
      </c>
      <c r="Z89" s="52">
        <v>174</v>
      </c>
      <c r="AA89" s="52">
        <v>222</v>
      </c>
      <c r="AB89" s="52">
        <v>216</v>
      </c>
      <c r="AC89" s="52">
        <v>438</v>
      </c>
      <c r="AD89" s="52">
        <v>128</v>
      </c>
      <c r="AE89" s="52">
        <v>94</v>
      </c>
      <c r="AF89" s="52">
        <v>222</v>
      </c>
      <c r="AG89" s="52">
        <v>127</v>
      </c>
      <c r="AH89" s="52">
        <v>134</v>
      </c>
      <c r="AI89" s="52">
        <v>261</v>
      </c>
      <c r="AJ89" s="52">
        <v>-4</v>
      </c>
      <c r="AK89" s="52">
        <v>-5</v>
      </c>
      <c r="AL89" s="52">
        <v>-9</v>
      </c>
      <c r="AM89" s="52">
        <v>-14</v>
      </c>
      <c r="AN89" s="52">
        <v>1</v>
      </c>
      <c r="AO89" s="52">
        <v>-13</v>
      </c>
      <c r="AP89" s="52">
        <v>-123</v>
      </c>
      <c r="AQ89" s="52">
        <v>0</v>
      </c>
      <c r="AR89" s="52">
        <v>-123</v>
      </c>
      <c r="AS89" s="52">
        <v>-237</v>
      </c>
      <c r="AT89" s="52">
        <v>0</v>
      </c>
      <c r="AU89" s="52">
        <v>-237</v>
      </c>
      <c r="AV89" s="52">
        <v>-119</v>
      </c>
      <c r="AW89" s="52">
        <v>0</v>
      </c>
      <c r="AX89" s="52">
        <v>-119</v>
      </c>
      <c r="AY89" s="52">
        <v>-333</v>
      </c>
      <c r="AZ89" s="52">
        <v>0</v>
      </c>
      <c r="BA89" s="52">
        <v>-333</v>
      </c>
      <c r="BB89" s="52">
        <v>-15</v>
      </c>
      <c r="BC89" s="52">
        <v>0</v>
      </c>
      <c r="BD89" s="52">
        <v>-15</v>
      </c>
      <c r="BE89" s="52">
        <v>-8</v>
      </c>
      <c r="BF89" s="52">
        <v>0</v>
      </c>
      <c r="BG89" s="52">
        <v>-8</v>
      </c>
      <c r="BV89" s="52">
        <f t="shared" si="3"/>
        <v>-849</v>
      </c>
      <c r="BW89" s="52">
        <f t="shared" si="4"/>
        <v>1</v>
      </c>
      <c r="BX89" s="314">
        <f t="shared" si="5"/>
        <v>-1.1778563015312131E-3</v>
      </c>
    </row>
    <row r="90" spans="1:76" x14ac:dyDescent="0.2">
      <c r="A90" s="52" t="s">
        <v>196</v>
      </c>
      <c r="B90" s="52">
        <v>13139</v>
      </c>
      <c r="C90" s="52">
        <v>1093</v>
      </c>
      <c r="D90" s="52">
        <v>108</v>
      </c>
      <c r="E90" s="52">
        <v>1201</v>
      </c>
      <c r="F90" s="52">
        <v>1274</v>
      </c>
      <c r="G90" s="52">
        <v>155</v>
      </c>
      <c r="H90" s="52">
        <v>1429</v>
      </c>
      <c r="I90" s="52">
        <v>1375</v>
      </c>
      <c r="J90" s="52">
        <v>192</v>
      </c>
      <c r="K90" s="52">
        <v>1567</v>
      </c>
      <c r="L90" s="52">
        <v>977</v>
      </c>
      <c r="M90" s="52">
        <v>195</v>
      </c>
      <c r="N90" s="52">
        <v>1172</v>
      </c>
      <c r="O90" s="52">
        <v>961</v>
      </c>
      <c r="P90" s="52">
        <v>170</v>
      </c>
      <c r="Q90" s="52">
        <v>1131</v>
      </c>
      <c r="R90" s="52">
        <v>1456</v>
      </c>
      <c r="S90" s="52">
        <v>221</v>
      </c>
      <c r="T90" s="52">
        <v>1677</v>
      </c>
      <c r="U90" s="52">
        <v>1215</v>
      </c>
      <c r="V90" s="52">
        <v>146</v>
      </c>
      <c r="W90" s="52">
        <v>1361</v>
      </c>
      <c r="X90" s="52">
        <v>1625</v>
      </c>
      <c r="Y90" s="52">
        <v>262</v>
      </c>
      <c r="Z90" s="52">
        <v>1887</v>
      </c>
      <c r="AA90" s="52">
        <v>1104</v>
      </c>
      <c r="AB90" s="52">
        <v>196</v>
      </c>
      <c r="AC90" s="52">
        <v>1300</v>
      </c>
      <c r="AD90" s="52">
        <v>1643</v>
      </c>
      <c r="AE90" s="52">
        <v>246</v>
      </c>
      <c r="AF90" s="52">
        <v>1889</v>
      </c>
      <c r="AG90" s="52">
        <v>1438</v>
      </c>
      <c r="AH90" s="52">
        <v>126</v>
      </c>
      <c r="AI90" s="52">
        <v>1564</v>
      </c>
      <c r="AJ90" s="52">
        <v>1132</v>
      </c>
      <c r="AK90" s="52">
        <v>111</v>
      </c>
      <c r="AL90" s="52">
        <v>1243</v>
      </c>
      <c r="AM90" s="52">
        <v>1493</v>
      </c>
      <c r="AN90" s="52">
        <v>137</v>
      </c>
      <c r="AO90" s="52">
        <v>1630</v>
      </c>
      <c r="AP90" s="52">
        <v>1368</v>
      </c>
      <c r="AQ90" s="52">
        <v>170</v>
      </c>
      <c r="AR90" s="52">
        <v>1538</v>
      </c>
      <c r="AS90" s="52">
        <v>1746</v>
      </c>
      <c r="AT90" s="52">
        <v>179</v>
      </c>
      <c r="AU90" s="52">
        <v>1925</v>
      </c>
      <c r="AV90" s="52">
        <v>1180</v>
      </c>
      <c r="AW90" s="52">
        <v>125</v>
      </c>
      <c r="AX90" s="52">
        <v>1305</v>
      </c>
      <c r="AY90" s="52">
        <v>1315</v>
      </c>
      <c r="AZ90" s="52">
        <v>177</v>
      </c>
      <c r="BA90" s="52">
        <v>1492</v>
      </c>
      <c r="BB90" s="52">
        <v>1700</v>
      </c>
      <c r="BC90" s="52">
        <v>188</v>
      </c>
      <c r="BD90" s="52">
        <v>1888</v>
      </c>
      <c r="BE90" s="52">
        <v>1562</v>
      </c>
      <c r="BF90" s="52">
        <v>147</v>
      </c>
      <c r="BG90" s="52">
        <v>1709</v>
      </c>
      <c r="BV90" s="52">
        <f t="shared" si="3"/>
        <v>10364</v>
      </c>
      <c r="BW90" s="52">
        <f t="shared" si="4"/>
        <v>1123</v>
      </c>
      <c r="BX90" s="314">
        <f t="shared" si="5"/>
        <v>0.10835584716325743</v>
      </c>
    </row>
    <row r="91" spans="1:76" x14ac:dyDescent="0.2">
      <c r="A91" s="52" t="s">
        <v>197</v>
      </c>
      <c r="B91" s="52">
        <v>13083</v>
      </c>
      <c r="C91" s="52">
        <v>0</v>
      </c>
      <c r="F91" s="52">
        <v>0</v>
      </c>
      <c r="I91" s="52">
        <v>0</v>
      </c>
      <c r="L91" s="52">
        <v>0</v>
      </c>
      <c r="O91" s="52">
        <v>0</v>
      </c>
      <c r="R91" s="52">
        <v>0</v>
      </c>
      <c r="U91" s="52">
        <v>0</v>
      </c>
      <c r="X91" s="52">
        <v>0</v>
      </c>
      <c r="AA91" s="52">
        <v>0</v>
      </c>
      <c r="AD91" s="52">
        <v>0</v>
      </c>
      <c r="AG91" s="52">
        <v>0</v>
      </c>
      <c r="AJ91" s="52">
        <v>0</v>
      </c>
      <c r="AM91" s="52">
        <v>0</v>
      </c>
      <c r="AP91" s="52">
        <v>0</v>
      </c>
      <c r="AS91" s="52">
        <v>0</v>
      </c>
      <c r="AV91" s="52">
        <v>0</v>
      </c>
      <c r="AY91" s="52">
        <v>0</v>
      </c>
      <c r="BB91" s="52">
        <v>0</v>
      </c>
      <c r="BE91" s="52">
        <v>0</v>
      </c>
      <c r="BV91" s="52">
        <f t="shared" si="3"/>
        <v>0</v>
      </c>
      <c r="BW91" s="52">
        <f t="shared" si="4"/>
        <v>0</v>
      </c>
      <c r="BX91" s="314" t="e">
        <f t="shared" si="5"/>
        <v>#DIV/0!</v>
      </c>
    </row>
    <row r="92" spans="1:76" x14ac:dyDescent="0.2">
      <c r="A92" s="52" t="s">
        <v>198</v>
      </c>
      <c r="B92" s="52">
        <v>13082</v>
      </c>
      <c r="C92" s="52">
        <v>0</v>
      </c>
      <c r="F92" s="52">
        <v>0</v>
      </c>
      <c r="I92" s="52">
        <v>0</v>
      </c>
      <c r="L92" s="52">
        <v>0</v>
      </c>
      <c r="O92" s="52">
        <v>0</v>
      </c>
      <c r="R92" s="52">
        <v>0</v>
      </c>
      <c r="U92" s="52">
        <v>0</v>
      </c>
      <c r="X92" s="52">
        <v>735</v>
      </c>
      <c r="Y92" s="52">
        <v>96</v>
      </c>
      <c r="Z92" s="52">
        <v>831</v>
      </c>
      <c r="AA92" s="52">
        <v>17</v>
      </c>
      <c r="AB92" s="52">
        <v>3</v>
      </c>
      <c r="AC92" s="52">
        <v>20</v>
      </c>
      <c r="AD92" s="52">
        <v>25</v>
      </c>
      <c r="AE92" s="52">
        <v>4</v>
      </c>
      <c r="AF92" s="52">
        <v>29</v>
      </c>
      <c r="AG92" s="52">
        <v>88</v>
      </c>
      <c r="AH92" s="52">
        <v>3</v>
      </c>
      <c r="AI92" s="52">
        <v>91</v>
      </c>
      <c r="AJ92" s="52">
        <v>112</v>
      </c>
      <c r="AK92" s="52">
        <v>3</v>
      </c>
      <c r="AL92" s="52">
        <v>115</v>
      </c>
      <c r="AM92" s="52">
        <v>238</v>
      </c>
      <c r="AN92" s="52">
        <v>34</v>
      </c>
      <c r="AO92" s="52">
        <v>272</v>
      </c>
      <c r="AP92" s="52">
        <v>242</v>
      </c>
      <c r="AQ92" s="52">
        <v>11</v>
      </c>
      <c r="AR92" s="52">
        <v>253</v>
      </c>
      <c r="AS92" s="52">
        <v>62</v>
      </c>
      <c r="AT92" s="52">
        <v>0</v>
      </c>
      <c r="AU92" s="52">
        <v>62</v>
      </c>
      <c r="AV92" s="52">
        <v>5</v>
      </c>
      <c r="AW92" s="52">
        <v>0</v>
      </c>
      <c r="AX92" s="52">
        <v>5</v>
      </c>
      <c r="AY92" s="52">
        <v>0</v>
      </c>
      <c r="AZ92" s="52">
        <v>0</v>
      </c>
      <c r="BA92" s="52">
        <v>0</v>
      </c>
      <c r="BB92" s="52">
        <v>0</v>
      </c>
      <c r="BC92" s="52">
        <v>0</v>
      </c>
      <c r="BD92" s="52">
        <v>0</v>
      </c>
      <c r="BE92" s="52">
        <v>0</v>
      </c>
      <c r="BV92" s="52">
        <f t="shared" si="3"/>
        <v>547</v>
      </c>
      <c r="BW92" s="52">
        <f t="shared" si="4"/>
        <v>45</v>
      </c>
      <c r="BX92" s="314">
        <f t="shared" si="5"/>
        <v>8.226691042047532E-2</v>
      </c>
    </row>
    <row r="93" spans="1:76" x14ac:dyDescent="0.2">
      <c r="A93" s="52" t="s">
        <v>199</v>
      </c>
      <c r="B93" s="52">
        <v>13133</v>
      </c>
      <c r="C93" s="52">
        <v>795</v>
      </c>
      <c r="D93" s="52">
        <v>83</v>
      </c>
      <c r="E93" s="52">
        <v>878</v>
      </c>
      <c r="F93" s="52">
        <v>1182</v>
      </c>
      <c r="G93" s="52">
        <v>100</v>
      </c>
      <c r="H93" s="52">
        <v>1282</v>
      </c>
      <c r="I93" s="52">
        <v>675</v>
      </c>
      <c r="J93" s="52">
        <v>205</v>
      </c>
      <c r="K93" s="52">
        <v>880</v>
      </c>
      <c r="L93" s="52">
        <v>284</v>
      </c>
      <c r="M93" s="52">
        <v>75</v>
      </c>
      <c r="N93" s="52">
        <v>359</v>
      </c>
      <c r="O93" s="52">
        <v>1733</v>
      </c>
      <c r="P93" s="52">
        <v>373</v>
      </c>
      <c r="Q93" s="52">
        <v>2106</v>
      </c>
      <c r="R93" s="52">
        <v>1451</v>
      </c>
      <c r="S93" s="52">
        <v>171</v>
      </c>
      <c r="T93" s="52">
        <v>1622</v>
      </c>
      <c r="U93" s="52">
        <v>1257</v>
      </c>
      <c r="V93" s="52">
        <v>124</v>
      </c>
      <c r="W93" s="52">
        <v>1381</v>
      </c>
      <c r="X93" s="52">
        <v>1387</v>
      </c>
      <c r="Y93" s="52">
        <v>190</v>
      </c>
      <c r="Z93" s="52">
        <v>1577</v>
      </c>
      <c r="AA93" s="52">
        <v>1276</v>
      </c>
      <c r="AB93" s="52">
        <v>175</v>
      </c>
      <c r="AC93" s="52">
        <v>1451</v>
      </c>
      <c r="AD93" s="52">
        <v>1557</v>
      </c>
      <c r="AE93" s="52">
        <v>201</v>
      </c>
      <c r="AF93" s="52">
        <v>1758</v>
      </c>
      <c r="AG93" s="52">
        <v>1328</v>
      </c>
      <c r="AH93" s="52">
        <v>145</v>
      </c>
      <c r="AI93" s="52">
        <v>1473</v>
      </c>
      <c r="AJ93" s="52">
        <v>1321</v>
      </c>
      <c r="AK93" s="52">
        <v>139</v>
      </c>
      <c r="AL93" s="52">
        <v>1460</v>
      </c>
      <c r="AM93" s="52">
        <v>1517</v>
      </c>
      <c r="AN93" s="52">
        <v>102</v>
      </c>
      <c r="AO93" s="52">
        <v>1619</v>
      </c>
      <c r="AP93" s="52">
        <v>1483</v>
      </c>
      <c r="AQ93" s="52">
        <v>287</v>
      </c>
      <c r="AR93" s="52">
        <v>1770</v>
      </c>
      <c r="AS93" s="52">
        <v>1785</v>
      </c>
      <c r="AT93" s="52">
        <v>153</v>
      </c>
      <c r="AU93" s="52">
        <v>1938</v>
      </c>
      <c r="AV93" s="52">
        <v>1518</v>
      </c>
      <c r="AW93" s="52">
        <v>127</v>
      </c>
      <c r="AX93" s="52">
        <v>1645</v>
      </c>
      <c r="AY93" s="52">
        <v>1943</v>
      </c>
      <c r="AZ93" s="52">
        <v>166</v>
      </c>
      <c r="BA93" s="52">
        <v>2109</v>
      </c>
      <c r="BB93" s="52">
        <v>1704</v>
      </c>
      <c r="BC93" s="52">
        <v>126</v>
      </c>
      <c r="BD93" s="52">
        <v>1830</v>
      </c>
      <c r="BE93" s="52">
        <v>1997</v>
      </c>
      <c r="BF93" s="52">
        <v>166</v>
      </c>
      <c r="BG93" s="52">
        <v>2163</v>
      </c>
      <c r="BV93" s="52">
        <f t="shared" si="3"/>
        <v>11947</v>
      </c>
      <c r="BW93" s="52">
        <f t="shared" si="4"/>
        <v>1127</v>
      </c>
      <c r="BX93" s="314">
        <f t="shared" si="5"/>
        <v>9.4333305432326112E-2</v>
      </c>
    </row>
    <row r="94" spans="1:76" x14ac:dyDescent="0.2">
      <c r="A94" s="52" t="s">
        <v>276</v>
      </c>
      <c r="B94" s="52">
        <v>13134</v>
      </c>
      <c r="C94" s="52">
        <v>184</v>
      </c>
      <c r="D94" s="52">
        <v>15</v>
      </c>
      <c r="E94" s="52">
        <v>199</v>
      </c>
      <c r="F94" s="52">
        <v>257</v>
      </c>
      <c r="G94" s="52">
        <v>22</v>
      </c>
      <c r="H94" s="52">
        <v>279</v>
      </c>
      <c r="I94" s="52">
        <v>292</v>
      </c>
      <c r="J94" s="52">
        <v>42</v>
      </c>
      <c r="K94" s="52">
        <v>334</v>
      </c>
      <c r="L94" s="52">
        <v>469</v>
      </c>
      <c r="M94" s="52">
        <v>72</v>
      </c>
      <c r="N94" s="52">
        <v>541</v>
      </c>
      <c r="O94" s="52">
        <v>434</v>
      </c>
      <c r="P94" s="52">
        <v>64</v>
      </c>
      <c r="Q94" s="52">
        <v>498</v>
      </c>
      <c r="R94" s="52">
        <v>524</v>
      </c>
      <c r="S94" s="52">
        <v>49</v>
      </c>
      <c r="T94" s="52">
        <v>573</v>
      </c>
      <c r="U94" s="52">
        <v>534</v>
      </c>
      <c r="V94" s="52">
        <v>45</v>
      </c>
      <c r="W94" s="52">
        <v>579</v>
      </c>
      <c r="X94" s="52">
        <v>698</v>
      </c>
      <c r="Y94" s="52">
        <v>85</v>
      </c>
      <c r="Z94" s="52">
        <v>783</v>
      </c>
      <c r="AA94" s="52">
        <v>548</v>
      </c>
      <c r="AB94" s="52">
        <v>67</v>
      </c>
      <c r="AC94" s="52">
        <v>615</v>
      </c>
      <c r="AD94" s="52">
        <v>751</v>
      </c>
      <c r="AE94" s="52">
        <v>90</v>
      </c>
      <c r="AF94" s="52">
        <v>841</v>
      </c>
      <c r="AG94" s="52">
        <v>469</v>
      </c>
      <c r="AH94" s="52">
        <v>51</v>
      </c>
      <c r="AI94" s="52">
        <v>520</v>
      </c>
      <c r="AJ94" s="52">
        <v>518</v>
      </c>
      <c r="AK94" s="52">
        <v>96</v>
      </c>
      <c r="AL94" s="52">
        <v>614</v>
      </c>
      <c r="AM94" s="52">
        <v>308</v>
      </c>
      <c r="AN94" s="52">
        <v>75</v>
      </c>
      <c r="AO94" s="52">
        <v>383</v>
      </c>
      <c r="AP94" s="52">
        <v>729</v>
      </c>
      <c r="AQ94" s="52">
        <v>164</v>
      </c>
      <c r="AR94" s="52">
        <v>893</v>
      </c>
      <c r="AS94" s="52">
        <v>1365</v>
      </c>
      <c r="AT94" s="52">
        <v>133</v>
      </c>
      <c r="AU94" s="52">
        <v>1498</v>
      </c>
      <c r="AV94" s="52">
        <v>942</v>
      </c>
      <c r="AW94" s="52">
        <v>77</v>
      </c>
      <c r="AX94" s="52">
        <v>1019</v>
      </c>
      <c r="AY94" s="52">
        <v>993</v>
      </c>
      <c r="AZ94" s="52">
        <v>86</v>
      </c>
      <c r="BA94" s="52">
        <v>1079</v>
      </c>
      <c r="BB94" s="52">
        <v>562</v>
      </c>
      <c r="BC94" s="52">
        <v>39</v>
      </c>
      <c r="BD94" s="52">
        <v>601</v>
      </c>
      <c r="BE94" s="52">
        <v>55</v>
      </c>
      <c r="BF94" s="52">
        <v>2</v>
      </c>
      <c r="BG94" s="52">
        <v>57</v>
      </c>
      <c r="BV94" s="52">
        <f t="shared" si="3"/>
        <v>4954</v>
      </c>
      <c r="BW94" s="52">
        <f t="shared" si="4"/>
        <v>576</v>
      </c>
      <c r="BX94" s="314">
        <f t="shared" si="5"/>
        <v>0.11626968106580542</v>
      </c>
    </row>
    <row r="95" spans="1:76" x14ac:dyDescent="0.2">
      <c r="A95" s="52" t="s">
        <v>201</v>
      </c>
      <c r="B95" s="52">
        <v>13072</v>
      </c>
      <c r="C95" s="52">
        <v>2074</v>
      </c>
      <c r="D95" s="52">
        <v>287</v>
      </c>
      <c r="E95" s="52">
        <v>2361</v>
      </c>
      <c r="F95" s="52">
        <v>3284</v>
      </c>
      <c r="G95" s="52">
        <v>520</v>
      </c>
      <c r="H95" s="52">
        <v>3804</v>
      </c>
      <c r="I95" s="52">
        <v>3063</v>
      </c>
      <c r="J95" s="52">
        <v>435</v>
      </c>
      <c r="K95" s="52">
        <v>3498</v>
      </c>
      <c r="L95" s="52">
        <v>2607</v>
      </c>
      <c r="M95" s="52">
        <v>446</v>
      </c>
      <c r="N95" s="52">
        <v>3053</v>
      </c>
      <c r="O95" s="52">
        <v>1722</v>
      </c>
      <c r="P95" s="52">
        <v>321</v>
      </c>
      <c r="Q95" s="52">
        <v>2043</v>
      </c>
      <c r="R95" s="52">
        <v>3333</v>
      </c>
      <c r="S95" s="52">
        <v>539</v>
      </c>
      <c r="T95" s="52">
        <v>3872</v>
      </c>
      <c r="U95" s="52">
        <v>2663</v>
      </c>
      <c r="V95" s="52">
        <v>363</v>
      </c>
      <c r="W95" s="52">
        <v>3026</v>
      </c>
      <c r="X95" s="52">
        <v>2746</v>
      </c>
      <c r="Y95" s="52">
        <v>460</v>
      </c>
      <c r="Z95" s="52">
        <v>3206</v>
      </c>
      <c r="AA95" s="52">
        <v>2062</v>
      </c>
      <c r="AB95" s="52">
        <v>366</v>
      </c>
      <c r="AC95" s="52">
        <v>2428</v>
      </c>
      <c r="AD95" s="52">
        <v>2666</v>
      </c>
      <c r="AE95" s="52">
        <v>450</v>
      </c>
      <c r="AF95" s="52">
        <v>3116</v>
      </c>
      <c r="AG95" s="52">
        <v>3815</v>
      </c>
      <c r="AH95" s="52">
        <v>1035</v>
      </c>
      <c r="AI95" s="52">
        <v>4850</v>
      </c>
      <c r="AJ95" s="52">
        <v>2594</v>
      </c>
      <c r="AK95" s="52">
        <v>441</v>
      </c>
      <c r="AL95" s="52">
        <v>3035</v>
      </c>
      <c r="AM95" s="52">
        <v>2367</v>
      </c>
      <c r="AN95" s="52">
        <v>365</v>
      </c>
      <c r="AO95" s="52">
        <v>2732</v>
      </c>
      <c r="AP95" s="52">
        <v>2905</v>
      </c>
      <c r="AQ95" s="52">
        <v>688</v>
      </c>
      <c r="AR95" s="52">
        <v>3593</v>
      </c>
      <c r="AS95" s="52">
        <v>2732</v>
      </c>
      <c r="AT95" s="52">
        <v>411</v>
      </c>
      <c r="AU95" s="52">
        <v>3143</v>
      </c>
      <c r="AV95" s="52">
        <v>1714</v>
      </c>
      <c r="AW95" s="52">
        <v>131</v>
      </c>
      <c r="AX95" s="52">
        <v>1845</v>
      </c>
      <c r="AY95" s="52">
        <v>3393</v>
      </c>
      <c r="AZ95" s="52">
        <v>323</v>
      </c>
      <c r="BA95" s="52">
        <v>3716</v>
      </c>
      <c r="BB95" s="52">
        <v>1888</v>
      </c>
      <c r="BC95" s="52">
        <v>105</v>
      </c>
      <c r="BD95" s="52">
        <v>1993</v>
      </c>
      <c r="BE95" s="52">
        <v>2716</v>
      </c>
      <c r="BF95" s="52">
        <v>280</v>
      </c>
      <c r="BG95" s="52">
        <v>2996</v>
      </c>
      <c r="BV95" s="52">
        <f t="shared" si="3"/>
        <v>17715</v>
      </c>
      <c r="BW95" s="52">
        <f t="shared" si="4"/>
        <v>2303</v>
      </c>
      <c r="BX95" s="314">
        <f t="shared" si="5"/>
        <v>0.130002822466836</v>
      </c>
    </row>
    <row r="96" spans="1:76" x14ac:dyDescent="0.2">
      <c r="A96" s="52" t="s">
        <v>202</v>
      </c>
      <c r="B96" s="52">
        <v>13074</v>
      </c>
      <c r="C96" s="52">
        <v>3814</v>
      </c>
      <c r="D96" s="52">
        <v>474</v>
      </c>
      <c r="E96" s="52">
        <v>4288</v>
      </c>
      <c r="F96" s="52">
        <v>8200</v>
      </c>
      <c r="G96" s="52">
        <v>1367</v>
      </c>
      <c r="H96" s="52">
        <v>9567</v>
      </c>
      <c r="I96" s="52">
        <v>8216</v>
      </c>
      <c r="J96" s="52">
        <v>1394</v>
      </c>
      <c r="K96" s="52">
        <v>9610</v>
      </c>
      <c r="L96" s="52">
        <v>7175</v>
      </c>
      <c r="M96" s="52">
        <v>1278</v>
      </c>
      <c r="N96" s="52">
        <v>8453</v>
      </c>
      <c r="O96" s="52">
        <v>4972</v>
      </c>
      <c r="P96" s="52">
        <v>922</v>
      </c>
      <c r="Q96" s="52">
        <v>5894</v>
      </c>
      <c r="R96" s="52">
        <v>7340</v>
      </c>
      <c r="S96" s="52">
        <v>1240</v>
      </c>
      <c r="T96" s="52">
        <v>8580</v>
      </c>
      <c r="U96" s="52">
        <v>6536</v>
      </c>
      <c r="V96" s="52">
        <v>938</v>
      </c>
      <c r="W96" s="52">
        <v>7474</v>
      </c>
      <c r="X96" s="52">
        <v>7270</v>
      </c>
      <c r="Y96" s="52">
        <v>1294</v>
      </c>
      <c r="Z96" s="52">
        <v>8564</v>
      </c>
      <c r="AA96" s="52">
        <v>7113</v>
      </c>
      <c r="AB96" s="52">
        <v>1261</v>
      </c>
      <c r="AC96" s="52">
        <v>8374</v>
      </c>
      <c r="AD96" s="52">
        <v>7298</v>
      </c>
      <c r="AE96" s="52">
        <v>1344</v>
      </c>
      <c r="AF96" s="52">
        <v>8642</v>
      </c>
      <c r="AG96" s="52">
        <v>7410</v>
      </c>
      <c r="AH96" s="52">
        <v>1122</v>
      </c>
      <c r="AI96" s="52">
        <v>8532</v>
      </c>
      <c r="AJ96" s="52">
        <v>6284</v>
      </c>
      <c r="AK96" s="52">
        <v>853</v>
      </c>
      <c r="AL96" s="52">
        <v>7137</v>
      </c>
      <c r="AM96" s="52">
        <v>7499</v>
      </c>
      <c r="AN96" s="52">
        <v>982</v>
      </c>
      <c r="AO96" s="52">
        <v>8481</v>
      </c>
      <c r="AP96" s="52">
        <v>6440</v>
      </c>
      <c r="AQ96" s="52">
        <v>991</v>
      </c>
      <c r="AR96" s="52">
        <v>7431</v>
      </c>
      <c r="AS96" s="52">
        <v>8505</v>
      </c>
      <c r="AT96" s="52">
        <v>1158</v>
      </c>
      <c r="AU96" s="52">
        <v>9663</v>
      </c>
      <c r="AV96" s="52">
        <v>7290</v>
      </c>
      <c r="AW96" s="52">
        <v>1005</v>
      </c>
      <c r="AX96" s="52">
        <v>8295</v>
      </c>
      <c r="AY96" s="52">
        <v>8786</v>
      </c>
      <c r="AZ96" s="52">
        <v>1351</v>
      </c>
      <c r="BA96" s="52">
        <v>10137</v>
      </c>
      <c r="BB96" s="52">
        <v>6553</v>
      </c>
      <c r="BC96" s="52">
        <v>889</v>
      </c>
      <c r="BD96" s="52">
        <v>7442</v>
      </c>
      <c r="BE96" s="52">
        <v>7507</v>
      </c>
      <c r="BF96" s="52">
        <v>996</v>
      </c>
      <c r="BG96" s="52">
        <v>8503</v>
      </c>
      <c r="BV96" s="52">
        <f t="shared" si="3"/>
        <v>52580</v>
      </c>
      <c r="BW96" s="52">
        <f t="shared" si="4"/>
        <v>7372</v>
      </c>
      <c r="BX96" s="314">
        <f t="shared" si="5"/>
        <v>0.14020540129326739</v>
      </c>
    </row>
    <row r="97" spans="1:76" x14ac:dyDescent="0.2">
      <c r="A97" s="52" t="s">
        <v>203</v>
      </c>
      <c r="B97" s="52">
        <v>13071</v>
      </c>
      <c r="C97" s="52">
        <v>3009</v>
      </c>
      <c r="D97" s="52">
        <v>478</v>
      </c>
      <c r="E97" s="52">
        <v>3487</v>
      </c>
      <c r="F97" s="52">
        <v>4508</v>
      </c>
      <c r="G97" s="52">
        <v>791</v>
      </c>
      <c r="H97" s="52">
        <v>5299</v>
      </c>
      <c r="I97" s="52">
        <v>5579</v>
      </c>
      <c r="J97" s="52">
        <v>980</v>
      </c>
      <c r="K97" s="52">
        <v>6559</v>
      </c>
      <c r="L97" s="52">
        <v>4206</v>
      </c>
      <c r="M97" s="52">
        <v>703</v>
      </c>
      <c r="N97" s="52">
        <v>4909</v>
      </c>
      <c r="O97" s="52">
        <v>2878</v>
      </c>
      <c r="P97" s="52">
        <v>514</v>
      </c>
      <c r="Q97" s="52">
        <v>3392</v>
      </c>
      <c r="R97" s="52">
        <v>4308</v>
      </c>
      <c r="S97" s="52">
        <v>726</v>
      </c>
      <c r="T97" s="52">
        <v>5034</v>
      </c>
      <c r="U97" s="52">
        <v>3828</v>
      </c>
      <c r="V97" s="52">
        <v>615</v>
      </c>
      <c r="W97" s="52">
        <v>4443</v>
      </c>
      <c r="X97" s="52">
        <v>4093</v>
      </c>
      <c r="Y97" s="52">
        <v>714</v>
      </c>
      <c r="Z97" s="52">
        <v>4807</v>
      </c>
      <c r="AA97" s="52">
        <v>3906</v>
      </c>
      <c r="AB97" s="52">
        <v>701</v>
      </c>
      <c r="AC97" s="52">
        <v>4607</v>
      </c>
      <c r="AD97" s="52">
        <v>4607</v>
      </c>
      <c r="AE97" s="52">
        <v>835</v>
      </c>
      <c r="AF97" s="52">
        <v>5442</v>
      </c>
      <c r="AG97" s="52">
        <v>3417</v>
      </c>
      <c r="AH97" s="52">
        <v>514</v>
      </c>
      <c r="AI97" s="52">
        <v>3931</v>
      </c>
      <c r="AJ97" s="52">
        <v>3610</v>
      </c>
      <c r="AK97" s="52">
        <v>497</v>
      </c>
      <c r="AL97" s="52">
        <v>4107</v>
      </c>
      <c r="AM97" s="52">
        <v>5026</v>
      </c>
      <c r="AN97" s="52">
        <v>731</v>
      </c>
      <c r="AO97" s="52">
        <v>5757</v>
      </c>
      <c r="AP97" s="52">
        <v>3601</v>
      </c>
      <c r="AQ97" s="52">
        <v>593</v>
      </c>
      <c r="AR97" s="52">
        <v>4194</v>
      </c>
      <c r="AS97" s="52">
        <v>4921</v>
      </c>
      <c r="AT97" s="52">
        <v>659</v>
      </c>
      <c r="AU97" s="52">
        <v>5580</v>
      </c>
      <c r="AV97" s="52">
        <v>3532</v>
      </c>
      <c r="AW97" s="52">
        <v>502</v>
      </c>
      <c r="AX97" s="52">
        <v>4034</v>
      </c>
      <c r="AY97" s="52">
        <v>4682</v>
      </c>
      <c r="AZ97" s="52">
        <v>778</v>
      </c>
      <c r="BA97" s="52">
        <v>5460</v>
      </c>
      <c r="BB97" s="52">
        <v>3781</v>
      </c>
      <c r="BC97" s="52">
        <v>531</v>
      </c>
      <c r="BD97" s="52">
        <v>4312</v>
      </c>
      <c r="BE97" s="52">
        <v>3848</v>
      </c>
      <c r="BF97" s="52">
        <v>533</v>
      </c>
      <c r="BG97" s="52">
        <v>4381</v>
      </c>
      <c r="BV97" s="52">
        <f t="shared" si="3"/>
        <v>29391</v>
      </c>
      <c r="BW97" s="52">
        <f t="shared" si="4"/>
        <v>4327</v>
      </c>
      <c r="BX97" s="314">
        <f t="shared" si="5"/>
        <v>0.14722193868871422</v>
      </c>
    </row>
    <row r="98" spans="1:76" x14ac:dyDescent="0.2">
      <c r="A98" s="52" t="s">
        <v>204</v>
      </c>
      <c r="B98" s="52">
        <v>13037</v>
      </c>
      <c r="C98" s="52">
        <v>1338</v>
      </c>
      <c r="D98" s="52">
        <v>153</v>
      </c>
      <c r="E98" s="52">
        <v>1491</v>
      </c>
      <c r="F98" s="52">
        <v>2544</v>
      </c>
      <c r="G98" s="52">
        <v>502</v>
      </c>
      <c r="H98" s="52">
        <v>3046</v>
      </c>
      <c r="I98" s="52">
        <v>2935</v>
      </c>
      <c r="J98" s="52">
        <v>383</v>
      </c>
      <c r="K98" s="52">
        <v>3318</v>
      </c>
      <c r="L98" s="52">
        <v>3078</v>
      </c>
      <c r="M98" s="52">
        <v>494</v>
      </c>
      <c r="N98" s="52">
        <v>3572</v>
      </c>
      <c r="O98" s="52">
        <v>2481</v>
      </c>
      <c r="P98" s="52">
        <v>417</v>
      </c>
      <c r="Q98" s="52">
        <v>2898</v>
      </c>
      <c r="R98" s="52">
        <v>3217</v>
      </c>
      <c r="S98" s="52">
        <v>511</v>
      </c>
      <c r="T98" s="52">
        <v>3728</v>
      </c>
      <c r="U98" s="52">
        <v>2617</v>
      </c>
      <c r="V98" s="52">
        <v>367</v>
      </c>
      <c r="W98" s="52">
        <v>2984</v>
      </c>
      <c r="X98" s="52">
        <v>3324</v>
      </c>
      <c r="Y98" s="52">
        <v>588</v>
      </c>
      <c r="Z98" s="52">
        <v>3912</v>
      </c>
      <c r="AA98" s="52">
        <v>2711</v>
      </c>
      <c r="AB98" s="52">
        <v>455</v>
      </c>
      <c r="AC98" s="52">
        <v>3166</v>
      </c>
      <c r="AD98" s="52">
        <v>2543</v>
      </c>
      <c r="AE98" s="52">
        <v>432</v>
      </c>
      <c r="AF98" s="52">
        <v>2975</v>
      </c>
      <c r="AG98" s="52">
        <v>2315</v>
      </c>
      <c r="AH98" s="52">
        <v>534</v>
      </c>
      <c r="AI98" s="52">
        <v>2849</v>
      </c>
      <c r="AJ98" s="52">
        <v>1978</v>
      </c>
      <c r="AK98" s="52">
        <v>252</v>
      </c>
      <c r="AL98" s="52">
        <v>2230</v>
      </c>
      <c r="AM98" s="52">
        <v>1976</v>
      </c>
      <c r="AN98" s="52">
        <v>192</v>
      </c>
      <c r="AO98" s="52">
        <v>2168</v>
      </c>
      <c r="AP98" s="52">
        <v>2460</v>
      </c>
      <c r="AQ98" s="52">
        <v>358</v>
      </c>
      <c r="AR98" s="52">
        <v>2818</v>
      </c>
      <c r="AS98" s="52">
        <v>2690</v>
      </c>
      <c r="AT98" s="52">
        <v>403</v>
      </c>
      <c r="AU98" s="52">
        <v>3093</v>
      </c>
      <c r="AV98" s="52">
        <v>2923</v>
      </c>
      <c r="AW98" s="52">
        <v>521</v>
      </c>
      <c r="AX98" s="52">
        <v>3444</v>
      </c>
      <c r="AY98" s="52">
        <v>2444</v>
      </c>
      <c r="AZ98" s="52">
        <v>274</v>
      </c>
      <c r="BA98" s="52">
        <v>2718</v>
      </c>
      <c r="BB98" s="52">
        <v>4119</v>
      </c>
      <c r="BC98" s="52">
        <v>652</v>
      </c>
      <c r="BD98" s="52">
        <v>4771</v>
      </c>
      <c r="BE98" s="52">
        <v>2263</v>
      </c>
      <c r="BF98" s="52">
        <v>275</v>
      </c>
      <c r="BG98" s="52">
        <v>2538</v>
      </c>
      <c r="BV98" s="52">
        <f t="shared" si="3"/>
        <v>18875</v>
      </c>
      <c r="BW98" s="52">
        <f t="shared" si="4"/>
        <v>2675</v>
      </c>
      <c r="BX98" s="314">
        <f t="shared" si="5"/>
        <v>0.14172185430463577</v>
      </c>
    </row>
    <row r="99" spans="1:76" x14ac:dyDescent="0.2">
      <c r="A99" s="52" t="s">
        <v>205</v>
      </c>
      <c r="B99" s="52">
        <v>13032</v>
      </c>
      <c r="C99" s="52">
        <v>1614</v>
      </c>
      <c r="D99" s="52">
        <v>217</v>
      </c>
      <c r="E99" s="52">
        <v>1831</v>
      </c>
      <c r="F99" s="52">
        <v>3930</v>
      </c>
      <c r="G99" s="52">
        <v>723</v>
      </c>
      <c r="H99" s="52">
        <v>4653</v>
      </c>
      <c r="I99" s="52">
        <v>4256</v>
      </c>
      <c r="J99" s="52">
        <v>635</v>
      </c>
      <c r="K99" s="52">
        <v>4891</v>
      </c>
      <c r="L99" s="52">
        <v>4006</v>
      </c>
      <c r="M99" s="52">
        <v>678</v>
      </c>
      <c r="N99" s="52">
        <v>4684</v>
      </c>
      <c r="O99" s="52">
        <v>3832</v>
      </c>
      <c r="P99" s="52">
        <v>687</v>
      </c>
      <c r="Q99" s="52">
        <v>4519</v>
      </c>
      <c r="R99" s="52">
        <v>4462</v>
      </c>
      <c r="S99" s="52">
        <v>684</v>
      </c>
      <c r="T99" s="52">
        <v>5146</v>
      </c>
      <c r="U99" s="52">
        <v>3707</v>
      </c>
      <c r="V99" s="52">
        <v>496</v>
      </c>
      <c r="W99" s="52">
        <v>4203</v>
      </c>
      <c r="X99" s="52">
        <v>4522</v>
      </c>
      <c r="Y99" s="52">
        <v>792</v>
      </c>
      <c r="Z99" s="52">
        <v>5314</v>
      </c>
      <c r="AA99" s="52">
        <v>4314</v>
      </c>
      <c r="AB99" s="52">
        <v>805</v>
      </c>
      <c r="AC99" s="52">
        <v>5119</v>
      </c>
      <c r="AD99" s="52">
        <v>3754</v>
      </c>
      <c r="AE99" s="52">
        <v>674</v>
      </c>
      <c r="AF99" s="52">
        <v>4428</v>
      </c>
      <c r="AG99" s="52">
        <v>3162</v>
      </c>
      <c r="AH99" s="52">
        <v>452</v>
      </c>
      <c r="AI99" s="52">
        <v>3614</v>
      </c>
      <c r="AJ99" s="52">
        <v>3263</v>
      </c>
      <c r="AK99" s="52">
        <v>395</v>
      </c>
      <c r="AL99" s="52">
        <v>3658</v>
      </c>
      <c r="AM99" s="52">
        <v>3031</v>
      </c>
      <c r="AN99" s="52">
        <v>346</v>
      </c>
      <c r="AO99" s="52">
        <v>3377</v>
      </c>
      <c r="AP99" s="52">
        <v>3286</v>
      </c>
      <c r="AQ99" s="52">
        <v>473</v>
      </c>
      <c r="AR99" s="52">
        <v>3759</v>
      </c>
      <c r="AS99" s="52">
        <v>4139</v>
      </c>
      <c r="AT99" s="52">
        <v>580</v>
      </c>
      <c r="AU99" s="52">
        <v>4719</v>
      </c>
      <c r="AV99" s="52">
        <v>3358</v>
      </c>
      <c r="AW99" s="52">
        <v>484</v>
      </c>
      <c r="AX99" s="52">
        <v>3842</v>
      </c>
      <c r="AY99" s="52">
        <v>4227</v>
      </c>
      <c r="AZ99" s="52">
        <v>571</v>
      </c>
      <c r="BA99" s="52">
        <v>4798</v>
      </c>
      <c r="BB99" s="52">
        <v>4682</v>
      </c>
      <c r="BC99" s="52">
        <v>729</v>
      </c>
      <c r="BD99" s="52">
        <v>5411</v>
      </c>
      <c r="BE99" s="52">
        <v>3046</v>
      </c>
      <c r="BF99" s="52">
        <v>420</v>
      </c>
      <c r="BG99" s="52">
        <v>3466</v>
      </c>
      <c r="BV99" s="52">
        <f t="shared" si="3"/>
        <v>25769</v>
      </c>
      <c r="BW99" s="52">
        <f t="shared" si="4"/>
        <v>3603</v>
      </c>
      <c r="BX99" s="314">
        <f t="shared" si="5"/>
        <v>0.1398191625596647</v>
      </c>
    </row>
    <row r="100" spans="1:76" x14ac:dyDescent="0.2">
      <c r="A100" s="52" t="s">
        <v>206</v>
      </c>
      <c r="B100" s="52">
        <v>13036</v>
      </c>
      <c r="C100" s="52">
        <v>0</v>
      </c>
      <c r="F100" s="52">
        <v>0</v>
      </c>
      <c r="I100" s="52">
        <v>0</v>
      </c>
      <c r="L100" s="52">
        <v>0</v>
      </c>
      <c r="O100" s="52">
        <v>0</v>
      </c>
      <c r="R100" s="52">
        <v>0</v>
      </c>
      <c r="U100" s="52">
        <v>0</v>
      </c>
      <c r="X100" s="52">
        <v>0</v>
      </c>
      <c r="AA100" s="52">
        <v>0</v>
      </c>
      <c r="AD100" s="52">
        <v>0</v>
      </c>
      <c r="AG100" s="52">
        <v>0</v>
      </c>
      <c r="AJ100" s="52">
        <v>0</v>
      </c>
      <c r="AM100" s="52">
        <v>0</v>
      </c>
      <c r="AP100" s="52">
        <v>0</v>
      </c>
      <c r="AS100" s="52">
        <v>0</v>
      </c>
      <c r="AV100" s="52">
        <v>0</v>
      </c>
      <c r="AY100" s="52">
        <v>0</v>
      </c>
      <c r="BB100" s="52">
        <v>0</v>
      </c>
      <c r="BE100" s="52">
        <v>0</v>
      </c>
      <c r="BV100" s="52">
        <f t="shared" si="3"/>
        <v>0</v>
      </c>
      <c r="BW100" s="52">
        <f t="shared" si="4"/>
        <v>0</v>
      </c>
      <c r="BX100" s="314" t="e">
        <f t="shared" si="5"/>
        <v>#DIV/0!</v>
      </c>
    </row>
    <row r="101" spans="1:76" x14ac:dyDescent="0.2">
      <c r="A101" s="52" t="s">
        <v>207</v>
      </c>
      <c r="B101" s="52">
        <v>13064</v>
      </c>
      <c r="C101" s="52">
        <v>681</v>
      </c>
      <c r="D101" s="52">
        <v>94</v>
      </c>
      <c r="E101" s="52">
        <v>775</v>
      </c>
      <c r="F101" s="52">
        <v>1027</v>
      </c>
      <c r="G101" s="52">
        <v>167</v>
      </c>
      <c r="H101" s="52">
        <v>1194</v>
      </c>
      <c r="I101" s="52">
        <v>1138</v>
      </c>
      <c r="J101" s="52">
        <v>95</v>
      </c>
      <c r="K101" s="52">
        <v>1233</v>
      </c>
      <c r="L101" s="52">
        <v>855</v>
      </c>
      <c r="M101" s="52">
        <v>134</v>
      </c>
      <c r="N101" s="52">
        <v>989</v>
      </c>
      <c r="O101" s="52">
        <v>632</v>
      </c>
      <c r="P101" s="52">
        <v>106</v>
      </c>
      <c r="Q101" s="52">
        <v>738</v>
      </c>
      <c r="R101" s="52">
        <v>968</v>
      </c>
      <c r="S101" s="52">
        <v>131</v>
      </c>
      <c r="T101" s="52">
        <v>1099</v>
      </c>
      <c r="U101" s="52">
        <v>815</v>
      </c>
      <c r="V101" s="52">
        <v>87</v>
      </c>
      <c r="W101" s="52">
        <v>902</v>
      </c>
      <c r="X101" s="52">
        <v>1355</v>
      </c>
      <c r="Y101" s="52">
        <v>228</v>
      </c>
      <c r="Z101" s="52">
        <v>1583</v>
      </c>
      <c r="AA101" s="52">
        <v>1094</v>
      </c>
      <c r="AB101" s="52">
        <v>199</v>
      </c>
      <c r="AC101" s="52">
        <v>1293</v>
      </c>
      <c r="AD101" s="52">
        <v>786</v>
      </c>
      <c r="AE101" s="52">
        <v>133</v>
      </c>
      <c r="AF101" s="52">
        <v>919</v>
      </c>
      <c r="AG101" s="52">
        <v>598</v>
      </c>
      <c r="AH101" s="52">
        <v>196</v>
      </c>
      <c r="AI101" s="52">
        <v>794</v>
      </c>
      <c r="AJ101" s="52">
        <v>18</v>
      </c>
      <c r="AK101" s="52">
        <v>31</v>
      </c>
      <c r="AL101" s="52">
        <v>49</v>
      </c>
      <c r="AM101" s="52">
        <v>78</v>
      </c>
      <c r="AN101" s="52">
        <v>106</v>
      </c>
      <c r="AO101" s="52">
        <v>184</v>
      </c>
      <c r="AP101" s="52">
        <v>182</v>
      </c>
      <c r="AQ101" s="52">
        <v>106</v>
      </c>
      <c r="AR101" s="52">
        <v>288</v>
      </c>
      <c r="AS101" s="52">
        <v>80</v>
      </c>
      <c r="AT101" s="52">
        <v>70</v>
      </c>
      <c r="AU101" s="52">
        <v>150</v>
      </c>
      <c r="AV101" s="52">
        <v>-18</v>
      </c>
      <c r="AW101" s="52">
        <v>8</v>
      </c>
      <c r="AX101" s="52">
        <v>-10</v>
      </c>
      <c r="AY101" s="52">
        <v>-130</v>
      </c>
      <c r="AZ101" s="52">
        <v>0</v>
      </c>
      <c r="BA101" s="52">
        <v>-130</v>
      </c>
      <c r="BB101" s="52">
        <v>-106</v>
      </c>
      <c r="BC101" s="52">
        <v>0</v>
      </c>
      <c r="BD101" s="52">
        <v>-106</v>
      </c>
      <c r="BE101" s="52">
        <v>-18</v>
      </c>
      <c r="BF101" s="52">
        <v>0</v>
      </c>
      <c r="BG101" s="52">
        <v>-18</v>
      </c>
      <c r="BV101" s="52">
        <f t="shared" si="3"/>
        <v>68</v>
      </c>
      <c r="BW101" s="52">
        <f t="shared" si="4"/>
        <v>290</v>
      </c>
      <c r="BX101" s="314">
        <f t="shared" si="5"/>
        <v>4.2647058823529411</v>
      </c>
    </row>
    <row r="102" spans="1:76" x14ac:dyDescent="0.2">
      <c r="A102" s="52" t="s">
        <v>208</v>
      </c>
      <c r="B102" s="52">
        <v>13140</v>
      </c>
      <c r="C102" s="52">
        <v>497</v>
      </c>
      <c r="D102" s="52">
        <v>7</v>
      </c>
      <c r="E102" s="52">
        <v>504</v>
      </c>
      <c r="F102" s="52">
        <v>41</v>
      </c>
      <c r="G102" s="52">
        <v>1</v>
      </c>
      <c r="H102" s="52">
        <v>42</v>
      </c>
      <c r="I102" s="52">
        <v>157</v>
      </c>
      <c r="J102" s="52">
        <v>5</v>
      </c>
      <c r="K102" s="52">
        <v>162</v>
      </c>
      <c r="L102" s="52">
        <v>206</v>
      </c>
      <c r="M102" s="52">
        <v>115</v>
      </c>
      <c r="N102" s="52">
        <v>321</v>
      </c>
      <c r="O102" s="52">
        <v>117</v>
      </c>
      <c r="P102" s="52">
        <v>78</v>
      </c>
      <c r="Q102" s="52">
        <v>195</v>
      </c>
      <c r="R102" s="52">
        <v>104</v>
      </c>
      <c r="S102" s="52">
        <v>77</v>
      </c>
      <c r="T102" s="52">
        <v>181</v>
      </c>
      <c r="U102" s="52">
        <v>124</v>
      </c>
      <c r="V102" s="52">
        <v>143</v>
      </c>
      <c r="W102" s="52">
        <v>267</v>
      </c>
      <c r="X102" s="52">
        <v>131</v>
      </c>
      <c r="Y102" s="52">
        <v>95</v>
      </c>
      <c r="Z102" s="52">
        <v>226</v>
      </c>
      <c r="AA102" s="52">
        <v>172</v>
      </c>
      <c r="AB102" s="52">
        <v>88</v>
      </c>
      <c r="AC102" s="52">
        <v>260</v>
      </c>
      <c r="AD102" s="52">
        <v>231</v>
      </c>
      <c r="AE102" s="52">
        <v>164</v>
      </c>
      <c r="AF102" s="52">
        <v>395</v>
      </c>
      <c r="AG102" s="52">
        <v>146</v>
      </c>
      <c r="AH102" s="52">
        <v>127</v>
      </c>
      <c r="AI102" s="52">
        <v>273</v>
      </c>
      <c r="AJ102" s="52">
        <v>67</v>
      </c>
      <c r="AK102" s="52">
        <v>160</v>
      </c>
      <c r="AL102" s="52">
        <v>227</v>
      </c>
      <c r="AM102" s="52">
        <v>6</v>
      </c>
      <c r="AN102" s="52">
        <v>80</v>
      </c>
      <c r="AO102" s="52">
        <v>86</v>
      </c>
      <c r="AP102" s="52">
        <v>347</v>
      </c>
      <c r="AQ102" s="52">
        <v>125</v>
      </c>
      <c r="AR102" s="52">
        <v>472</v>
      </c>
      <c r="AS102" s="52">
        <v>50</v>
      </c>
      <c r="AT102" s="52">
        <v>72</v>
      </c>
      <c r="AU102" s="52">
        <v>122</v>
      </c>
      <c r="AV102" s="52">
        <v>149</v>
      </c>
      <c r="AW102" s="52">
        <v>9</v>
      </c>
      <c r="AX102" s="52">
        <v>158</v>
      </c>
      <c r="AY102" s="52">
        <v>249</v>
      </c>
      <c r="AZ102" s="52">
        <v>2</v>
      </c>
      <c r="BA102" s="52">
        <v>251</v>
      </c>
      <c r="BB102" s="52">
        <v>243</v>
      </c>
      <c r="BC102" s="52">
        <v>0</v>
      </c>
      <c r="BD102" s="52">
        <v>243</v>
      </c>
      <c r="BE102" s="52">
        <v>366</v>
      </c>
      <c r="BF102" s="52">
        <v>3</v>
      </c>
      <c r="BG102" s="52">
        <v>369</v>
      </c>
      <c r="BV102" s="52">
        <f t="shared" si="3"/>
        <v>1410</v>
      </c>
      <c r="BW102" s="52">
        <f t="shared" si="4"/>
        <v>291</v>
      </c>
      <c r="BX102" s="314">
        <f t="shared" si="5"/>
        <v>0.20638297872340425</v>
      </c>
    </row>
  </sheetData>
  <pageMargins left="0.7" right="0.7" top="0.75" bottom="0.75" header="0.3" footer="0.3"/>
  <pageSetup paperSize="9" scale="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CC122"/>
  <sheetViews>
    <sheetView workbookViewId="0">
      <pane xSplit="1" ySplit="4" topLeftCell="AO67" activePane="bottomRight" state="frozen"/>
      <selection pane="topRight" activeCell="B1" sqref="B1"/>
      <selection pane="bottomLeft" activeCell="A5" sqref="A5"/>
      <selection pane="bottomRight" activeCell="AU83" sqref="AU83"/>
    </sheetView>
  </sheetViews>
  <sheetFormatPr baseColWidth="10" defaultRowHeight="12" x14ac:dyDescent="0.2"/>
  <cols>
    <col min="1" max="1" width="21.7109375" style="52" customWidth="1"/>
    <col min="2" max="2" width="12.42578125" style="52" bestFit="1" customWidth="1"/>
    <col min="3" max="16384" width="11.42578125" style="52"/>
  </cols>
  <sheetData>
    <row r="1" spans="1:81" x14ac:dyDescent="0.2">
      <c r="C1" s="52">
        <f>C2*C3</f>
        <v>2016</v>
      </c>
      <c r="F1" s="52">
        <f>F2*F3</f>
        <v>4032</v>
      </c>
      <c r="I1" s="52">
        <f>I2*I3</f>
        <v>6048</v>
      </c>
      <c r="L1" s="52">
        <f>L2*L3</f>
        <v>8064</v>
      </c>
      <c r="O1" s="52">
        <f>O2*O3</f>
        <v>10080</v>
      </c>
      <c r="R1" s="52">
        <f>R2*R3</f>
        <v>12096</v>
      </c>
      <c r="U1" s="52">
        <f>U2*U3</f>
        <v>14112</v>
      </c>
      <c r="X1" s="52">
        <f>X2*X3</f>
        <v>16128</v>
      </c>
      <c r="AA1" s="52">
        <f>AA2*AA3</f>
        <v>18144</v>
      </c>
      <c r="AD1" s="52">
        <f>AD2*AD3</f>
        <v>20160</v>
      </c>
      <c r="AG1" s="52">
        <f>AG2*AG3</f>
        <v>22176</v>
      </c>
      <c r="AJ1" s="52">
        <f>AJ2*AJ3</f>
        <v>24192</v>
      </c>
      <c r="AM1" s="52">
        <f>AM2*AM3</f>
        <v>2017</v>
      </c>
      <c r="AP1" s="52">
        <f>AP2*AP3</f>
        <v>4034</v>
      </c>
      <c r="AS1" s="52">
        <f>AS2*AS3</f>
        <v>6051</v>
      </c>
      <c r="AV1" s="52">
        <f>AV2*AV3</f>
        <v>8068</v>
      </c>
      <c r="AY1" s="52">
        <f>AY2*AY3</f>
        <v>10085</v>
      </c>
      <c r="BB1" s="52">
        <f>BB2*BB3</f>
        <v>12102</v>
      </c>
      <c r="BE1" s="52">
        <f>BE2*BE3</f>
        <v>14119</v>
      </c>
      <c r="BH1" s="52">
        <f>BH2*BH3</f>
        <v>16136</v>
      </c>
      <c r="BK1" s="52">
        <f>BK2*BK3</f>
        <v>18153</v>
      </c>
      <c r="BN1" s="52">
        <f>BN2*BN3</f>
        <v>20170</v>
      </c>
      <c r="BQ1" s="52">
        <f>BQ2*BQ3</f>
        <v>22187</v>
      </c>
      <c r="BT1" s="52">
        <f>BT2*BT3</f>
        <v>24204</v>
      </c>
    </row>
    <row r="2" spans="1:81" x14ac:dyDescent="0.2">
      <c r="C2" s="52">
        <v>2016</v>
      </c>
      <c r="F2" s="52">
        <v>2016</v>
      </c>
      <c r="I2" s="52">
        <v>2016</v>
      </c>
      <c r="L2" s="52">
        <v>2016</v>
      </c>
      <c r="O2" s="52">
        <v>2016</v>
      </c>
      <c r="R2" s="52">
        <v>2016</v>
      </c>
      <c r="U2" s="52">
        <v>2016</v>
      </c>
      <c r="X2" s="52">
        <v>2016</v>
      </c>
      <c r="AA2" s="52">
        <v>2016</v>
      </c>
      <c r="AD2" s="52">
        <v>2016</v>
      </c>
      <c r="AG2" s="52">
        <v>2016</v>
      </c>
      <c r="AJ2" s="52">
        <v>2016</v>
      </c>
      <c r="AM2" s="52">
        <v>2017</v>
      </c>
      <c r="AP2" s="52">
        <v>2017</v>
      </c>
      <c r="AS2" s="52">
        <v>2017</v>
      </c>
      <c r="AV2" s="52">
        <v>2017</v>
      </c>
      <c r="AY2" s="52">
        <v>2017</v>
      </c>
      <c r="BB2" s="52">
        <v>2017</v>
      </c>
      <c r="BE2" s="52">
        <v>2017</v>
      </c>
      <c r="BH2" s="52">
        <v>2017</v>
      </c>
      <c r="BK2" s="52">
        <v>2017</v>
      </c>
      <c r="BN2" s="52">
        <v>2017</v>
      </c>
      <c r="BQ2" s="52">
        <v>2017</v>
      </c>
      <c r="BT2" s="52">
        <v>2017</v>
      </c>
    </row>
    <row r="3" spans="1:81" x14ac:dyDescent="0.2">
      <c r="C3" s="52">
        <v>1</v>
      </c>
      <c r="F3" s="52">
        <v>2</v>
      </c>
      <c r="I3" s="52">
        <v>3</v>
      </c>
      <c r="L3" s="52">
        <v>4</v>
      </c>
      <c r="O3" s="52">
        <v>5</v>
      </c>
      <c r="R3" s="52">
        <v>6</v>
      </c>
      <c r="U3" s="52">
        <v>7</v>
      </c>
      <c r="X3" s="52">
        <v>8</v>
      </c>
      <c r="AA3" s="52">
        <v>9</v>
      </c>
      <c r="AD3" s="52">
        <v>10</v>
      </c>
      <c r="AG3" s="52">
        <v>11</v>
      </c>
      <c r="AJ3" s="52">
        <v>12</v>
      </c>
      <c r="AM3" s="52">
        <v>1</v>
      </c>
      <c r="AP3" s="52">
        <v>2</v>
      </c>
      <c r="AS3" s="52">
        <v>3</v>
      </c>
      <c r="AV3" s="52">
        <v>4</v>
      </c>
      <c r="AY3" s="52">
        <v>5</v>
      </c>
      <c r="BB3" s="52">
        <v>6</v>
      </c>
      <c r="BE3" s="52">
        <v>7</v>
      </c>
      <c r="BH3" s="52">
        <v>8</v>
      </c>
      <c r="BK3" s="52">
        <v>9</v>
      </c>
      <c r="BN3" s="52">
        <v>10</v>
      </c>
      <c r="BQ3" s="52">
        <v>11</v>
      </c>
      <c r="BT3" s="52">
        <v>12</v>
      </c>
    </row>
    <row r="4" spans="1:81" x14ac:dyDescent="0.2">
      <c r="A4" s="52" t="s">
        <v>153</v>
      </c>
      <c r="B4" s="52" t="s">
        <v>154</v>
      </c>
      <c r="C4" s="52" t="s">
        <v>155</v>
      </c>
      <c r="D4" s="52" t="s">
        <v>156</v>
      </c>
      <c r="E4" s="52" t="s">
        <v>157</v>
      </c>
      <c r="F4" s="52" t="s">
        <v>155</v>
      </c>
      <c r="G4" s="52" t="s">
        <v>156</v>
      </c>
      <c r="H4" s="52" t="s">
        <v>157</v>
      </c>
      <c r="I4" s="52" t="s">
        <v>155</v>
      </c>
      <c r="J4" s="52" t="s">
        <v>156</v>
      </c>
      <c r="K4" s="52" t="s">
        <v>157</v>
      </c>
      <c r="L4" s="52" t="s">
        <v>155</v>
      </c>
      <c r="M4" s="52" t="s">
        <v>156</v>
      </c>
      <c r="N4" s="52" t="s">
        <v>157</v>
      </c>
      <c r="O4" s="52" t="s">
        <v>155</v>
      </c>
      <c r="P4" s="52" t="s">
        <v>156</v>
      </c>
      <c r="Q4" s="52" t="s">
        <v>157</v>
      </c>
      <c r="R4" s="52" t="s">
        <v>155</v>
      </c>
      <c r="S4" s="52" t="s">
        <v>156</v>
      </c>
      <c r="T4" s="52" t="s">
        <v>157</v>
      </c>
      <c r="U4" s="52" t="s">
        <v>155</v>
      </c>
      <c r="V4" s="52" t="s">
        <v>156</v>
      </c>
      <c r="W4" s="52" t="s">
        <v>157</v>
      </c>
      <c r="X4" s="52" t="s">
        <v>155</v>
      </c>
      <c r="Y4" s="52" t="s">
        <v>156</v>
      </c>
      <c r="Z4" s="52" t="s">
        <v>157</v>
      </c>
      <c r="AA4" s="52" t="s">
        <v>155</v>
      </c>
      <c r="AB4" s="52" t="s">
        <v>156</v>
      </c>
      <c r="AC4" s="52" t="s">
        <v>157</v>
      </c>
      <c r="AD4" s="52" t="s">
        <v>155</v>
      </c>
      <c r="AE4" s="52" t="s">
        <v>156</v>
      </c>
      <c r="AF4" s="52" t="s">
        <v>157</v>
      </c>
      <c r="AG4" s="52" t="s">
        <v>155</v>
      </c>
      <c r="AH4" s="52" t="s">
        <v>156</v>
      </c>
      <c r="AI4" s="52" t="s">
        <v>157</v>
      </c>
      <c r="AJ4" s="52" t="s">
        <v>155</v>
      </c>
      <c r="AK4" s="52" t="s">
        <v>156</v>
      </c>
      <c r="AL4" s="52" t="s">
        <v>157</v>
      </c>
      <c r="AM4" s="52" t="s">
        <v>155</v>
      </c>
      <c r="AN4" s="52" t="s">
        <v>156</v>
      </c>
      <c r="AO4" s="52" t="s">
        <v>157</v>
      </c>
      <c r="AP4" s="52" t="s">
        <v>155</v>
      </c>
      <c r="AQ4" s="52" t="s">
        <v>156</v>
      </c>
      <c r="AR4" s="52" t="s">
        <v>157</v>
      </c>
      <c r="AS4" s="52" t="s">
        <v>155</v>
      </c>
      <c r="AT4" s="52" t="s">
        <v>156</v>
      </c>
      <c r="AU4" s="52" t="s">
        <v>157</v>
      </c>
      <c r="AV4" s="52" t="s">
        <v>155</v>
      </c>
      <c r="AW4" s="52" t="s">
        <v>156</v>
      </c>
      <c r="AX4" s="52" t="s">
        <v>157</v>
      </c>
      <c r="AY4" s="52" t="s">
        <v>155</v>
      </c>
      <c r="AZ4" s="52" t="s">
        <v>156</v>
      </c>
      <c r="BA4" s="52" t="s">
        <v>157</v>
      </c>
      <c r="BB4" s="52" t="s">
        <v>155</v>
      </c>
      <c r="BC4" s="52" t="s">
        <v>156</v>
      </c>
      <c r="BD4" s="52" t="s">
        <v>157</v>
      </c>
      <c r="BE4" s="52" t="s">
        <v>155</v>
      </c>
      <c r="BF4" s="52" t="s">
        <v>156</v>
      </c>
      <c r="BG4" s="52" t="s">
        <v>157</v>
      </c>
      <c r="BH4" s="52" t="s">
        <v>155</v>
      </c>
      <c r="BI4" s="52" t="s">
        <v>156</v>
      </c>
      <c r="BJ4" s="52" t="s">
        <v>157</v>
      </c>
      <c r="BK4" s="52" t="s">
        <v>155</v>
      </c>
      <c r="BL4" s="52" t="s">
        <v>156</v>
      </c>
      <c r="BM4" s="52" t="s">
        <v>157</v>
      </c>
      <c r="BN4" s="52" t="s">
        <v>155</v>
      </c>
      <c r="BO4" s="52" t="s">
        <v>156</v>
      </c>
      <c r="BP4" s="52" t="s">
        <v>157</v>
      </c>
      <c r="BQ4" s="52" t="s">
        <v>155</v>
      </c>
      <c r="BR4" s="52" t="s">
        <v>156</v>
      </c>
      <c r="BS4" s="52" t="s">
        <v>157</v>
      </c>
      <c r="BT4" s="52" t="s">
        <v>155</v>
      </c>
      <c r="BU4" s="52" t="s">
        <v>156</v>
      </c>
      <c r="BV4" s="52" t="s">
        <v>157</v>
      </c>
      <c r="BW4" s="52" t="s">
        <v>637</v>
      </c>
      <c r="BX4" s="52" t="s">
        <v>638</v>
      </c>
      <c r="BY4" s="52" t="s">
        <v>639</v>
      </c>
    </row>
    <row r="5" spans="1:81" x14ac:dyDescent="0.2">
      <c r="A5" s="52" t="s">
        <v>158</v>
      </c>
      <c r="B5" s="52">
        <v>13085</v>
      </c>
      <c r="C5" s="52">
        <v>-165</v>
      </c>
      <c r="D5" s="52">
        <v>0</v>
      </c>
      <c r="E5" s="52">
        <v>-165</v>
      </c>
      <c r="F5" s="52">
        <v>944</v>
      </c>
      <c r="G5" s="52">
        <v>107</v>
      </c>
      <c r="H5" s="52">
        <v>1051</v>
      </c>
      <c r="I5" s="52">
        <v>168</v>
      </c>
      <c r="J5" s="52">
        <v>72</v>
      </c>
      <c r="K5" s="52">
        <v>240</v>
      </c>
      <c r="L5" s="52">
        <v>540</v>
      </c>
      <c r="M5" s="52">
        <v>87</v>
      </c>
      <c r="N5" s="52">
        <v>627</v>
      </c>
      <c r="O5" s="52">
        <v>449</v>
      </c>
      <c r="P5" s="52">
        <v>76</v>
      </c>
      <c r="Q5" s="52">
        <v>525</v>
      </c>
      <c r="R5" s="52">
        <v>1129</v>
      </c>
      <c r="S5" s="52">
        <v>257</v>
      </c>
      <c r="T5" s="52">
        <v>1386</v>
      </c>
      <c r="U5" s="86">
        <v>1340</v>
      </c>
      <c r="V5" s="86">
        <v>262</v>
      </c>
      <c r="W5" s="52">
        <v>1602</v>
      </c>
      <c r="X5" s="52">
        <v>1410</v>
      </c>
      <c r="Y5" s="52">
        <v>298</v>
      </c>
      <c r="Z5" s="52">
        <v>1708</v>
      </c>
      <c r="AA5" s="54">
        <v>2489</v>
      </c>
      <c r="AB5" s="54">
        <v>214</v>
      </c>
      <c r="AC5" s="52">
        <v>2703</v>
      </c>
      <c r="AD5" s="52">
        <v>2399</v>
      </c>
      <c r="AE5" s="52">
        <v>340</v>
      </c>
      <c r="AF5" s="52">
        <v>2739</v>
      </c>
      <c r="AG5" s="52">
        <v>1120</v>
      </c>
      <c r="AH5" s="52">
        <v>144</v>
      </c>
      <c r="AI5" s="52">
        <v>1264</v>
      </c>
      <c r="AJ5" s="52">
        <v>420</v>
      </c>
      <c r="AK5" s="52">
        <v>323</v>
      </c>
      <c r="AL5" s="52">
        <v>743</v>
      </c>
      <c r="AM5" s="52">
        <v>-2</v>
      </c>
      <c r="AN5" s="52">
        <v>93</v>
      </c>
      <c r="AO5" s="52">
        <v>91</v>
      </c>
      <c r="AP5" s="52">
        <v>0</v>
      </c>
      <c r="AQ5" s="52">
        <v>71</v>
      </c>
      <c r="AR5" s="52">
        <v>71</v>
      </c>
      <c r="AS5" s="52">
        <v>-138</v>
      </c>
      <c r="AT5" s="52">
        <v>82</v>
      </c>
      <c r="AU5" s="52">
        <v>-56</v>
      </c>
      <c r="AV5" s="52">
        <v>-1</v>
      </c>
      <c r="AW5" s="52">
        <v>57</v>
      </c>
      <c r="AX5" s="52">
        <v>56</v>
      </c>
      <c r="AY5" s="52">
        <v>0</v>
      </c>
      <c r="AZ5" s="52">
        <v>50</v>
      </c>
      <c r="BA5" s="52">
        <v>50</v>
      </c>
      <c r="BB5" s="52">
        <v>895</v>
      </c>
      <c r="BC5" s="52">
        <v>117</v>
      </c>
      <c r="BD5" s="52">
        <v>1012</v>
      </c>
      <c r="BE5" s="52">
        <v>1106</v>
      </c>
      <c r="BF5" s="52">
        <v>75</v>
      </c>
      <c r="BG5" s="52">
        <v>1181</v>
      </c>
      <c r="BW5" s="52">
        <f>AM5+AP5+AS5+AV5+AY5+BB5+BE5+BH5+BK5+BN5+BQ5+BT5</f>
        <v>1860</v>
      </c>
      <c r="BX5" s="52">
        <f>AN5+AQ5+AT5+AW5+AZ5+BC5+BF5+BI5+BL5+BO5+BR5+BU5</f>
        <v>545</v>
      </c>
      <c r="BY5" s="314">
        <f>+BX5/BW5</f>
        <v>0.29301075268817206</v>
      </c>
      <c r="CC5" s="52">
        <f>SUM(C5,F5,I5,L5,O5,R5,U5,X5,AA5,AD5,AG5,AJ5)</f>
        <v>12243</v>
      </c>
    </row>
    <row r="6" spans="1:81" x14ac:dyDescent="0.2">
      <c r="A6" s="52" t="s">
        <v>159</v>
      </c>
      <c r="B6" s="52">
        <v>13087</v>
      </c>
      <c r="C6" s="52">
        <v>73</v>
      </c>
      <c r="D6" s="52">
        <v>172</v>
      </c>
      <c r="E6" s="52">
        <v>245</v>
      </c>
      <c r="F6" s="52">
        <v>3</v>
      </c>
      <c r="G6" s="52">
        <v>483</v>
      </c>
      <c r="H6" s="52">
        <v>486</v>
      </c>
      <c r="I6" s="52">
        <v>230</v>
      </c>
      <c r="J6" s="52">
        <v>666</v>
      </c>
      <c r="K6" s="52">
        <v>896</v>
      </c>
      <c r="L6" s="52">
        <v>174</v>
      </c>
      <c r="M6" s="52">
        <v>687</v>
      </c>
      <c r="N6" s="52">
        <v>861</v>
      </c>
      <c r="O6" s="52">
        <v>2993</v>
      </c>
      <c r="P6" s="52">
        <v>619</v>
      </c>
      <c r="Q6" s="52">
        <v>3612</v>
      </c>
      <c r="R6" s="52">
        <v>3742</v>
      </c>
      <c r="S6" s="52">
        <v>732</v>
      </c>
      <c r="T6" s="52">
        <v>4474</v>
      </c>
      <c r="U6" s="86">
        <v>7682</v>
      </c>
      <c r="V6" s="86">
        <v>1077</v>
      </c>
      <c r="W6" s="52">
        <v>8759</v>
      </c>
      <c r="X6" s="52">
        <v>2466</v>
      </c>
      <c r="Y6" s="52">
        <v>1362</v>
      </c>
      <c r="Z6" s="52">
        <v>3828</v>
      </c>
      <c r="AA6" s="54">
        <v>4723</v>
      </c>
      <c r="AB6" s="54">
        <v>993</v>
      </c>
      <c r="AC6" s="52">
        <v>5716</v>
      </c>
      <c r="AD6" s="52">
        <v>5928</v>
      </c>
      <c r="AE6" s="52">
        <v>1219</v>
      </c>
      <c r="AF6" s="52">
        <v>7147</v>
      </c>
      <c r="AG6" s="52">
        <v>2347</v>
      </c>
      <c r="AH6" s="52">
        <v>678</v>
      </c>
      <c r="AI6" s="52">
        <v>3025</v>
      </c>
      <c r="AJ6" s="52">
        <v>1925</v>
      </c>
      <c r="AK6" s="52">
        <v>1495</v>
      </c>
      <c r="AL6" s="52">
        <v>3420</v>
      </c>
      <c r="AM6" s="52">
        <v>-728</v>
      </c>
      <c r="AN6" s="52">
        <v>109</v>
      </c>
      <c r="AO6" s="52">
        <v>-619</v>
      </c>
      <c r="AP6" s="52">
        <v>-92</v>
      </c>
      <c r="AQ6" s="52">
        <v>183</v>
      </c>
      <c r="AR6" s="52">
        <v>91</v>
      </c>
      <c r="AS6" s="52">
        <v>-131</v>
      </c>
      <c r="AT6" s="52">
        <v>195</v>
      </c>
      <c r="AU6" s="52">
        <v>64</v>
      </c>
      <c r="AV6" s="52">
        <v>-190</v>
      </c>
      <c r="AW6" s="52">
        <v>433</v>
      </c>
      <c r="AX6" s="52">
        <v>243</v>
      </c>
      <c r="AY6" s="52">
        <v>3644</v>
      </c>
      <c r="AZ6" s="52">
        <v>551</v>
      </c>
      <c r="BA6" s="52">
        <v>4195</v>
      </c>
      <c r="BB6" s="52">
        <v>3023</v>
      </c>
      <c r="BC6" s="52">
        <v>491</v>
      </c>
      <c r="BD6" s="52">
        <v>3514</v>
      </c>
      <c r="BE6" s="52">
        <v>2783</v>
      </c>
      <c r="BF6" s="52">
        <v>353</v>
      </c>
      <c r="BG6" s="52">
        <v>3136</v>
      </c>
      <c r="BW6" s="52">
        <f t="shared" ref="BW6:BW69" si="0">AM6+AP6+AS6+AV6+AY6+BB6+BE6+BH6+BK6+BN6+BQ6+BT6</f>
        <v>8309</v>
      </c>
      <c r="BX6" s="52">
        <f t="shared" ref="BX6:BX69" si="1">AN6+AQ6+AT6+AW6+AZ6+BC6+BF6+BI6+BL6+BO6+BR6+BU6</f>
        <v>2315</v>
      </c>
      <c r="BY6" s="314">
        <f t="shared" ref="BY6:BY69" si="2">+BX6/BW6</f>
        <v>0.27861355157058609</v>
      </c>
      <c r="CC6" s="52">
        <f t="shared" ref="CC6:CC69" si="3">SUM(C6,F6,I6,L6,O6,R6,U6,X6,AA6,AD6,AG6,AJ6)</f>
        <v>32286</v>
      </c>
    </row>
    <row r="7" spans="1:81" x14ac:dyDescent="0.2">
      <c r="A7" s="52" t="s">
        <v>160</v>
      </c>
      <c r="B7" s="52">
        <v>13069</v>
      </c>
      <c r="C7" s="52">
        <v>-241</v>
      </c>
      <c r="D7" s="52">
        <v>61</v>
      </c>
      <c r="E7" s="52">
        <v>-180</v>
      </c>
      <c r="F7" s="52">
        <v>1519</v>
      </c>
      <c r="G7" s="52">
        <v>239</v>
      </c>
      <c r="H7" s="52">
        <v>1758</v>
      </c>
      <c r="I7" s="52">
        <v>1482</v>
      </c>
      <c r="J7" s="52">
        <v>383</v>
      </c>
      <c r="K7" s="52">
        <v>1865</v>
      </c>
      <c r="L7" s="52">
        <v>900</v>
      </c>
      <c r="M7" s="52">
        <v>189</v>
      </c>
      <c r="N7" s="52">
        <v>1089</v>
      </c>
      <c r="O7" s="52">
        <v>1250</v>
      </c>
      <c r="P7" s="52">
        <v>104</v>
      </c>
      <c r="Q7" s="52">
        <v>1354</v>
      </c>
      <c r="R7" s="52">
        <v>629</v>
      </c>
      <c r="S7" s="52">
        <v>266</v>
      </c>
      <c r="T7" s="52">
        <v>895</v>
      </c>
      <c r="U7" s="86">
        <v>-1</v>
      </c>
      <c r="V7" s="86">
        <v>0</v>
      </c>
      <c r="W7" s="52">
        <v>-1</v>
      </c>
      <c r="X7" s="52">
        <v>2597</v>
      </c>
      <c r="Y7" s="52">
        <v>251</v>
      </c>
      <c r="Z7" s="52">
        <v>2848</v>
      </c>
      <c r="AA7" s="54">
        <v>1363</v>
      </c>
      <c r="AB7" s="54">
        <v>281</v>
      </c>
      <c r="AC7" s="52">
        <v>1644</v>
      </c>
      <c r="AD7" s="52">
        <v>799</v>
      </c>
      <c r="AE7" s="52">
        <v>155</v>
      </c>
      <c r="AF7" s="52">
        <v>954</v>
      </c>
      <c r="AG7" s="52">
        <v>1437</v>
      </c>
      <c r="AH7" s="52">
        <v>90</v>
      </c>
      <c r="AI7" s="52">
        <v>1527</v>
      </c>
      <c r="AJ7" s="52">
        <v>1300</v>
      </c>
      <c r="AK7" s="52">
        <v>216</v>
      </c>
      <c r="AL7" s="52">
        <v>1516</v>
      </c>
      <c r="AM7" s="52">
        <v>531</v>
      </c>
      <c r="AN7" s="52">
        <v>0</v>
      </c>
      <c r="AO7" s="52">
        <v>531</v>
      </c>
      <c r="AP7" s="52">
        <v>1089</v>
      </c>
      <c r="AQ7" s="52">
        <v>128</v>
      </c>
      <c r="AR7" s="52">
        <v>1217</v>
      </c>
      <c r="AS7" s="52">
        <v>1424</v>
      </c>
      <c r="AT7" s="52">
        <v>139</v>
      </c>
      <c r="AU7" s="52">
        <v>1563</v>
      </c>
      <c r="AV7" s="52">
        <v>1325</v>
      </c>
      <c r="AW7" s="52">
        <v>112</v>
      </c>
      <c r="AX7" s="52">
        <v>1437</v>
      </c>
      <c r="AY7" s="52">
        <v>1296</v>
      </c>
      <c r="AZ7" s="52">
        <v>124</v>
      </c>
      <c r="BA7" s="52">
        <v>1420</v>
      </c>
      <c r="BB7" s="52">
        <v>1179</v>
      </c>
      <c r="BC7" s="52">
        <v>152</v>
      </c>
      <c r="BD7" s="52">
        <v>1331</v>
      </c>
      <c r="BE7" s="52">
        <v>900</v>
      </c>
      <c r="BF7" s="52">
        <v>95</v>
      </c>
      <c r="BG7" s="52">
        <v>995</v>
      </c>
      <c r="BW7" s="52">
        <f t="shared" si="0"/>
        <v>7744</v>
      </c>
      <c r="BX7" s="52">
        <f t="shared" si="1"/>
        <v>750</v>
      </c>
      <c r="BY7" s="314">
        <f t="shared" si="2"/>
        <v>9.6849173553719012E-2</v>
      </c>
      <c r="CC7" s="52">
        <f t="shared" si="3"/>
        <v>13034</v>
      </c>
    </row>
    <row r="8" spans="1:81" x14ac:dyDescent="0.2">
      <c r="A8" s="52" t="s">
        <v>161</v>
      </c>
      <c r="B8" s="52">
        <v>13051</v>
      </c>
      <c r="C8" s="52">
        <v>837</v>
      </c>
      <c r="D8" s="52">
        <v>84</v>
      </c>
      <c r="E8" s="52">
        <v>921</v>
      </c>
      <c r="F8" s="52">
        <v>1458</v>
      </c>
      <c r="G8" s="52">
        <v>126</v>
      </c>
      <c r="H8" s="52">
        <v>1584</v>
      </c>
      <c r="I8" s="52">
        <v>186</v>
      </c>
      <c r="J8" s="52">
        <v>35</v>
      </c>
      <c r="K8" s="52">
        <v>221</v>
      </c>
      <c r="L8" s="52">
        <v>1567</v>
      </c>
      <c r="M8" s="52">
        <v>230</v>
      </c>
      <c r="N8" s="52">
        <v>1797</v>
      </c>
      <c r="O8" s="52">
        <v>2100</v>
      </c>
      <c r="P8" s="52">
        <v>208</v>
      </c>
      <c r="Q8" s="52">
        <v>2308</v>
      </c>
      <c r="R8" s="52">
        <v>1199</v>
      </c>
      <c r="S8" s="52">
        <v>213</v>
      </c>
      <c r="T8" s="52">
        <v>1412</v>
      </c>
      <c r="U8" s="86">
        <v>1849</v>
      </c>
      <c r="V8" s="86">
        <v>169</v>
      </c>
      <c r="W8" s="52">
        <v>2018</v>
      </c>
      <c r="X8" s="52">
        <v>1260</v>
      </c>
      <c r="Y8" s="52">
        <v>258</v>
      </c>
      <c r="Z8" s="52">
        <v>1518</v>
      </c>
      <c r="AA8" s="54">
        <v>1790</v>
      </c>
      <c r="AB8" s="54">
        <v>185</v>
      </c>
      <c r="AC8" s="52">
        <v>1975</v>
      </c>
      <c r="AD8" s="52">
        <v>1912</v>
      </c>
      <c r="AE8" s="52">
        <v>182</v>
      </c>
      <c r="AF8" s="52">
        <v>2094</v>
      </c>
      <c r="AG8" s="52">
        <v>782</v>
      </c>
      <c r="AH8" s="52">
        <v>7</v>
      </c>
      <c r="AI8" s="52">
        <v>789</v>
      </c>
      <c r="AJ8" s="52">
        <v>1570</v>
      </c>
      <c r="AK8" s="52">
        <v>237</v>
      </c>
      <c r="AL8" s="52">
        <v>1807</v>
      </c>
      <c r="AM8" s="52">
        <v>1141</v>
      </c>
      <c r="AN8" s="52">
        <v>117</v>
      </c>
      <c r="AO8" s="52">
        <v>1258</v>
      </c>
      <c r="AP8" s="52">
        <v>1387</v>
      </c>
      <c r="AQ8" s="52">
        <v>176</v>
      </c>
      <c r="AR8" s="52">
        <v>1563</v>
      </c>
      <c r="AS8" s="52">
        <v>200</v>
      </c>
      <c r="AT8" s="52">
        <v>128</v>
      </c>
      <c r="AU8" s="52">
        <v>328</v>
      </c>
      <c r="AV8" s="52">
        <v>-29</v>
      </c>
      <c r="AW8" s="52">
        <v>134</v>
      </c>
      <c r="AX8" s="52">
        <v>105</v>
      </c>
      <c r="AY8" s="52">
        <v>2945</v>
      </c>
      <c r="AZ8" s="52">
        <v>2</v>
      </c>
      <c r="BA8" s="52">
        <v>2947</v>
      </c>
      <c r="BB8" s="52">
        <v>1123</v>
      </c>
      <c r="BC8" s="52">
        <v>340</v>
      </c>
      <c r="BD8" s="52">
        <v>1463</v>
      </c>
      <c r="BE8" s="52">
        <v>2545</v>
      </c>
      <c r="BF8" s="52">
        <v>201</v>
      </c>
      <c r="BG8" s="52">
        <v>2746</v>
      </c>
      <c r="BW8" s="52">
        <f t="shared" si="0"/>
        <v>9312</v>
      </c>
      <c r="BX8" s="52">
        <f t="shared" si="1"/>
        <v>1098</v>
      </c>
      <c r="BY8" s="314">
        <f t="shared" si="2"/>
        <v>0.11791237113402062</v>
      </c>
      <c r="CC8" s="52">
        <f t="shared" si="3"/>
        <v>16510</v>
      </c>
    </row>
    <row r="9" spans="1:81" x14ac:dyDescent="0.2">
      <c r="A9" s="52" t="s">
        <v>162</v>
      </c>
      <c r="B9" s="52">
        <v>13065</v>
      </c>
      <c r="C9" s="52">
        <v>-224</v>
      </c>
      <c r="D9" s="52">
        <v>477</v>
      </c>
      <c r="E9" s="52">
        <v>253</v>
      </c>
      <c r="F9" s="52">
        <v>1958</v>
      </c>
      <c r="G9" s="52">
        <v>811</v>
      </c>
      <c r="H9" s="52">
        <v>2769</v>
      </c>
      <c r="I9" s="52">
        <v>2902</v>
      </c>
      <c r="J9" s="52">
        <v>639</v>
      </c>
      <c r="K9" s="52">
        <v>3541</v>
      </c>
      <c r="L9" s="52">
        <v>920</v>
      </c>
      <c r="M9" s="52">
        <v>1005</v>
      </c>
      <c r="N9" s="52">
        <v>1925</v>
      </c>
      <c r="O9" s="52">
        <v>-2</v>
      </c>
      <c r="P9" s="52">
        <v>0</v>
      </c>
      <c r="Q9" s="52">
        <v>-2</v>
      </c>
      <c r="R9" s="52">
        <v>-24</v>
      </c>
      <c r="S9" s="52">
        <v>313</v>
      </c>
      <c r="T9" s="52">
        <v>289</v>
      </c>
      <c r="U9" s="86">
        <v>-67</v>
      </c>
      <c r="V9" s="86">
        <v>0</v>
      </c>
      <c r="W9" s="52">
        <v>-67</v>
      </c>
      <c r="X9" s="52">
        <v>-171</v>
      </c>
      <c r="Y9" s="52">
        <v>0</v>
      </c>
      <c r="Z9" s="52">
        <v>-171</v>
      </c>
      <c r="AA9" s="54">
        <v>-179</v>
      </c>
      <c r="AB9" s="54">
        <v>0</v>
      </c>
      <c r="AC9" s="52">
        <v>-179</v>
      </c>
      <c r="AD9" s="52">
        <v>-8</v>
      </c>
      <c r="AE9" s="52">
        <v>0</v>
      </c>
      <c r="AF9" s="52">
        <v>-8</v>
      </c>
      <c r="AG9" s="52">
        <v>0</v>
      </c>
      <c r="AH9" s="52">
        <v>0</v>
      </c>
      <c r="AI9" s="52">
        <v>0</v>
      </c>
      <c r="AJ9" s="52">
        <v>0</v>
      </c>
      <c r="AK9" s="52">
        <v>0</v>
      </c>
      <c r="AL9" s="52">
        <v>0</v>
      </c>
      <c r="AM9" s="52">
        <v>-8</v>
      </c>
      <c r="AN9" s="52">
        <v>0</v>
      </c>
      <c r="AO9" s="52">
        <v>-8</v>
      </c>
      <c r="AP9" s="52">
        <v>0</v>
      </c>
      <c r="AQ9" s="52">
        <v>0</v>
      </c>
      <c r="AR9" s="52">
        <v>0</v>
      </c>
      <c r="AS9" s="52">
        <v>-2</v>
      </c>
      <c r="AT9" s="52">
        <v>0</v>
      </c>
      <c r="AU9" s="52">
        <v>-2</v>
      </c>
      <c r="AV9" s="52">
        <v>0</v>
      </c>
      <c r="AW9" s="52">
        <v>0</v>
      </c>
      <c r="AX9" s="52">
        <v>0</v>
      </c>
      <c r="AY9" s="52">
        <v>-10</v>
      </c>
      <c r="AZ9" s="52">
        <v>0</v>
      </c>
      <c r="BA9" s="52">
        <v>-10</v>
      </c>
      <c r="BB9" s="52">
        <v>-91</v>
      </c>
      <c r="BC9" s="52">
        <v>0</v>
      </c>
      <c r="BD9" s="52">
        <v>-91</v>
      </c>
      <c r="BE9" s="52">
        <v>-53</v>
      </c>
      <c r="BF9" s="52">
        <v>0</v>
      </c>
      <c r="BG9" s="52">
        <v>-53</v>
      </c>
      <c r="BW9" s="52">
        <f t="shared" si="0"/>
        <v>-164</v>
      </c>
      <c r="BX9" s="52">
        <f t="shared" si="1"/>
        <v>0</v>
      </c>
      <c r="BY9" s="314">
        <f t="shared" si="2"/>
        <v>0</v>
      </c>
      <c r="CC9" s="52">
        <f t="shared" si="3"/>
        <v>5105</v>
      </c>
    </row>
    <row r="10" spans="1:81" x14ac:dyDescent="0.2">
      <c r="A10" s="52" t="s">
        <v>163</v>
      </c>
      <c r="B10" s="52">
        <v>13145</v>
      </c>
      <c r="C10" s="52">
        <v>0</v>
      </c>
      <c r="D10" s="52">
        <v>0</v>
      </c>
      <c r="E10" s="52">
        <v>0</v>
      </c>
      <c r="F10" s="52">
        <v>0</v>
      </c>
      <c r="G10" s="52">
        <v>0</v>
      </c>
      <c r="H10" s="52">
        <v>0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12500</v>
      </c>
      <c r="P10" s="52">
        <v>114</v>
      </c>
      <c r="Q10" s="52">
        <v>12614</v>
      </c>
      <c r="R10" s="52">
        <v>1200</v>
      </c>
      <c r="S10" s="52">
        <v>395</v>
      </c>
      <c r="T10" s="52">
        <v>1595</v>
      </c>
      <c r="U10" s="86">
        <v>500</v>
      </c>
      <c r="V10" s="86">
        <v>1114</v>
      </c>
      <c r="W10" s="52">
        <v>1614</v>
      </c>
      <c r="X10" s="52">
        <v>0</v>
      </c>
      <c r="Y10" s="52">
        <v>567</v>
      </c>
      <c r="Z10" s="52">
        <v>567</v>
      </c>
      <c r="AA10" s="54">
        <v>1900</v>
      </c>
      <c r="AB10" s="54">
        <v>518</v>
      </c>
      <c r="AC10" s="52">
        <v>2418</v>
      </c>
      <c r="AD10" s="52">
        <v>2400</v>
      </c>
      <c r="AE10" s="52">
        <v>434</v>
      </c>
      <c r="AF10" s="52">
        <v>2834</v>
      </c>
      <c r="AG10" s="52">
        <v>3050</v>
      </c>
      <c r="AH10" s="52">
        <v>56</v>
      </c>
      <c r="AI10" s="52">
        <v>3106</v>
      </c>
      <c r="AJ10" s="52">
        <v>3530</v>
      </c>
      <c r="AK10" s="52">
        <v>589</v>
      </c>
      <c r="AL10" s="52">
        <v>4119</v>
      </c>
      <c r="AM10" s="52">
        <v>450</v>
      </c>
      <c r="AN10" s="52">
        <v>231</v>
      </c>
      <c r="AO10" s="52">
        <v>681</v>
      </c>
      <c r="AP10" s="52">
        <v>3230</v>
      </c>
      <c r="AQ10" s="52">
        <v>353</v>
      </c>
      <c r="AR10" s="52">
        <v>3583</v>
      </c>
      <c r="AS10" s="52">
        <v>1650</v>
      </c>
      <c r="AT10" s="52">
        <v>2157</v>
      </c>
      <c r="AU10" s="52">
        <v>3807</v>
      </c>
      <c r="AV10" s="52">
        <v>4302</v>
      </c>
      <c r="AW10" s="52">
        <v>231</v>
      </c>
      <c r="AX10" s="52">
        <v>4533</v>
      </c>
      <c r="AY10" s="52">
        <v>0</v>
      </c>
      <c r="AZ10" s="52">
        <v>280</v>
      </c>
      <c r="BA10" s="52">
        <v>280</v>
      </c>
      <c r="BB10" s="52">
        <v>1260</v>
      </c>
      <c r="BC10" s="52">
        <v>464</v>
      </c>
      <c r="BD10" s="52">
        <v>1724</v>
      </c>
      <c r="BE10" s="52">
        <v>2386</v>
      </c>
      <c r="BF10" s="52">
        <v>393</v>
      </c>
      <c r="BG10" s="52">
        <v>2779</v>
      </c>
      <c r="BW10" s="52">
        <f t="shared" si="0"/>
        <v>13278</v>
      </c>
      <c r="BX10" s="52">
        <f t="shared" si="1"/>
        <v>4109</v>
      </c>
      <c r="BY10" s="314">
        <f t="shared" si="2"/>
        <v>0.30945925591203494</v>
      </c>
      <c r="CC10" s="52">
        <f t="shared" si="3"/>
        <v>25080</v>
      </c>
    </row>
    <row r="11" spans="1:81" x14ac:dyDescent="0.2">
      <c r="A11" s="52" t="s">
        <v>164</v>
      </c>
      <c r="B11" s="52">
        <v>13023</v>
      </c>
      <c r="C11" s="52">
        <v>0</v>
      </c>
      <c r="D11" s="52">
        <v>85</v>
      </c>
      <c r="E11" s="52">
        <v>85</v>
      </c>
      <c r="F11" s="52">
        <v>0</v>
      </c>
      <c r="G11" s="52">
        <v>125</v>
      </c>
      <c r="H11" s="52">
        <v>125</v>
      </c>
      <c r="I11" s="52">
        <v>700</v>
      </c>
      <c r="J11" s="52">
        <v>179</v>
      </c>
      <c r="K11" s="52">
        <v>879</v>
      </c>
      <c r="L11" s="52">
        <v>700</v>
      </c>
      <c r="M11" s="52">
        <v>164</v>
      </c>
      <c r="N11" s="52">
        <v>864</v>
      </c>
      <c r="O11" s="52">
        <v>800</v>
      </c>
      <c r="P11" s="52">
        <v>158</v>
      </c>
      <c r="Q11" s="52">
        <v>958</v>
      </c>
      <c r="R11" s="52">
        <v>850</v>
      </c>
      <c r="S11" s="52">
        <v>218</v>
      </c>
      <c r="T11" s="52">
        <v>1068</v>
      </c>
      <c r="U11" s="86">
        <v>1162</v>
      </c>
      <c r="V11" s="86">
        <v>134</v>
      </c>
      <c r="W11" s="52">
        <v>1296</v>
      </c>
      <c r="X11" s="52">
        <v>1206</v>
      </c>
      <c r="Y11" s="52">
        <v>238</v>
      </c>
      <c r="Z11" s="52">
        <v>1444</v>
      </c>
      <c r="AA11" s="54">
        <v>1246</v>
      </c>
      <c r="AB11" s="54">
        <v>184</v>
      </c>
      <c r="AC11" s="52">
        <v>1430</v>
      </c>
      <c r="AD11" s="52">
        <v>851</v>
      </c>
      <c r="AE11" s="52">
        <v>160</v>
      </c>
      <c r="AF11" s="52">
        <v>1011</v>
      </c>
      <c r="AG11" s="52">
        <v>2169</v>
      </c>
      <c r="AH11" s="52">
        <v>241</v>
      </c>
      <c r="AI11" s="52">
        <v>2410</v>
      </c>
      <c r="AJ11" s="52">
        <v>1200</v>
      </c>
      <c r="AK11" s="52">
        <v>544</v>
      </c>
      <c r="AL11" s="52">
        <v>1744</v>
      </c>
      <c r="AM11" s="52">
        <v>447</v>
      </c>
      <c r="AN11" s="52">
        <v>7</v>
      </c>
      <c r="AO11" s="52">
        <v>454</v>
      </c>
      <c r="AP11" s="52">
        <v>-76</v>
      </c>
      <c r="AQ11" s="52">
        <v>153</v>
      </c>
      <c r="AR11" s="52">
        <v>77</v>
      </c>
      <c r="AS11" s="52">
        <v>-158</v>
      </c>
      <c r="AT11" s="52">
        <v>227</v>
      </c>
      <c r="AU11" s="52">
        <v>69</v>
      </c>
      <c r="AV11" s="52">
        <v>-51</v>
      </c>
      <c r="AW11" s="52">
        <v>25</v>
      </c>
      <c r="AX11" s="52">
        <v>-26</v>
      </c>
      <c r="AY11" s="52">
        <v>1748</v>
      </c>
      <c r="AZ11" s="52">
        <v>1</v>
      </c>
      <c r="BA11" s="52">
        <v>1749</v>
      </c>
      <c r="BB11" s="52">
        <v>2076</v>
      </c>
      <c r="BC11" s="52">
        <v>334</v>
      </c>
      <c r="BD11" s="52">
        <v>2410</v>
      </c>
      <c r="BE11" s="52">
        <v>2375</v>
      </c>
      <c r="BF11" s="52">
        <v>143</v>
      </c>
      <c r="BG11" s="52">
        <v>2518</v>
      </c>
      <c r="BW11" s="52">
        <f t="shared" si="0"/>
        <v>6361</v>
      </c>
      <c r="BX11" s="52">
        <f t="shared" si="1"/>
        <v>890</v>
      </c>
      <c r="BY11" s="314">
        <f t="shared" si="2"/>
        <v>0.13991510768747054</v>
      </c>
      <c r="CC11" s="52">
        <f t="shared" si="3"/>
        <v>10884</v>
      </c>
    </row>
    <row r="12" spans="1:81" x14ac:dyDescent="0.2">
      <c r="A12" s="52" t="s">
        <v>165</v>
      </c>
      <c r="B12" s="52">
        <v>13015</v>
      </c>
      <c r="C12" s="52">
        <v>-3</v>
      </c>
      <c r="D12" s="52">
        <v>108</v>
      </c>
      <c r="E12" s="52">
        <v>105</v>
      </c>
      <c r="F12" s="52">
        <v>1210</v>
      </c>
      <c r="G12" s="52">
        <v>95</v>
      </c>
      <c r="H12" s="52">
        <v>1305</v>
      </c>
      <c r="I12" s="52">
        <v>948</v>
      </c>
      <c r="J12" s="52">
        <v>114</v>
      </c>
      <c r="K12" s="52">
        <v>1062</v>
      </c>
      <c r="L12" s="52">
        <v>300</v>
      </c>
      <c r="M12" s="52">
        <v>138</v>
      </c>
      <c r="N12" s="52">
        <v>438</v>
      </c>
      <c r="O12" s="52">
        <v>1200</v>
      </c>
      <c r="P12" s="52">
        <v>133</v>
      </c>
      <c r="Q12" s="52">
        <v>1333</v>
      </c>
      <c r="R12" s="52">
        <v>1090</v>
      </c>
      <c r="S12" s="52">
        <v>185</v>
      </c>
      <c r="T12" s="52">
        <v>1275</v>
      </c>
      <c r="U12" s="86">
        <v>359</v>
      </c>
      <c r="V12" s="86">
        <v>171</v>
      </c>
      <c r="W12" s="52">
        <v>530</v>
      </c>
      <c r="X12" s="52">
        <v>778</v>
      </c>
      <c r="Y12" s="52">
        <v>167</v>
      </c>
      <c r="Z12" s="52">
        <v>945</v>
      </c>
      <c r="AA12" s="54">
        <v>1469</v>
      </c>
      <c r="AB12" s="54">
        <v>186</v>
      </c>
      <c r="AC12" s="52">
        <v>1655</v>
      </c>
      <c r="AD12" s="52">
        <v>900</v>
      </c>
      <c r="AE12" s="52">
        <v>162</v>
      </c>
      <c r="AF12" s="52">
        <v>1062</v>
      </c>
      <c r="AG12" s="52">
        <v>1343</v>
      </c>
      <c r="AH12" s="52">
        <v>119</v>
      </c>
      <c r="AI12" s="52">
        <v>1462</v>
      </c>
      <c r="AJ12" s="52">
        <v>960</v>
      </c>
      <c r="AK12" s="52">
        <v>530</v>
      </c>
      <c r="AL12" s="52">
        <v>1490</v>
      </c>
      <c r="AM12" s="52">
        <v>154</v>
      </c>
      <c r="AN12" s="52">
        <v>114</v>
      </c>
      <c r="AO12" s="52">
        <v>268</v>
      </c>
      <c r="AP12" s="52">
        <v>1214</v>
      </c>
      <c r="AQ12" s="52">
        <v>156</v>
      </c>
      <c r="AR12" s="52">
        <v>1370</v>
      </c>
      <c r="AS12" s="52">
        <v>640</v>
      </c>
      <c r="AT12" s="52">
        <v>111</v>
      </c>
      <c r="AU12" s="52">
        <v>751</v>
      </c>
      <c r="AV12" s="52">
        <v>1086</v>
      </c>
      <c r="AW12" s="52">
        <v>108</v>
      </c>
      <c r="AX12" s="52">
        <v>1194</v>
      </c>
      <c r="AY12" s="52">
        <v>920</v>
      </c>
      <c r="AZ12" s="52">
        <v>97</v>
      </c>
      <c r="BA12" s="52">
        <v>1017</v>
      </c>
      <c r="BB12" s="52">
        <v>898</v>
      </c>
      <c r="BC12" s="52">
        <v>158</v>
      </c>
      <c r="BD12" s="52">
        <v>1056</v>
      </c>
      <c r="BE12" s="52">
        <v>922</v>
      </c>
      <c r="BF12" s="52">
        <v>113</v>
      </c>
      <c r="BG12" s="52">
        <v>1035</v>
      </c>
      <c r="BW12" s="52">
        <f t="shared" si="0"/>
        <v>5834</v>
      </c>
      <c r="BX12" s="52">
        <f t="shared" si="1"/>
        <v>857</v>
      </c>
      <c r="BY12" s="314">
        <f t="shared" si="2"/>
        <v>0.14689749742886526</v>
      </c>
      <c r="CC12" s="52">
        <f t="shared" si="3"/>
        <v>10554</v>
      </c>
    </row>
    <row r="13" spans="1:81" x14ac:dyDescent="0.2">
      <c r="A13" s="52" t="s">
        <v>166</v>
      </c>
      <c r="B13" s="52">
        <v>13132</v>
      </c>
      <c r="C13" s="52">
        <v>0</v>
      </c>
      <c r="D13" s="52">
        <v>0</v>
      </c>
      <c r="E13" s="52">
        <v>0</v>
      </c>
      <c r="F13" s="52">
        <v>-7</v>
      </c>
      <c r="G13" s="52">
        <v>0</v>
      </c>
      <c r="H13" s="52">
        <v>-7</v>
      </c>
      <c r="I13" s="52">
        <v>-12</v>
      </c>
      <c r="J13" s="52">
        <v>0</v>
      </c>
      <c r="K13" s="52">
        <v>-12</v>
      </c>
      <c r="L13" s="52">
        <v>-1</v>
      </c>
      <c r="M13" s="52">
        <v>0</v>
      </c>
      <c r="N13" s="52">
        <v>-1</v>
      </c>
      <c r="O13" s="52">
        <v>0</v>
      </c>
      <c r="P13" s="52">
        <v>0</v>
      </c>
      <c r="Q13" s="52">
        <v>0</v>
      </c>
      <c r="R13" s="52">
        <v>0</v>
      </c>
      <c r="S13" s="52">
        <v>0</v>
      </c>
      <c r="T13" s="52">
        <v>0</v>
      </c>
      <c r="U13" s="86">
        <v>0</v>
      </c>
      <c r="V13" s="86">
        <v>0</v>
      </c>
      <c r="W13" s="52">
        <v>0</v>
      </c>
      <c r="X13" s="52">
        <v>0</v>
      </c>
      <c r="Y13" s="52">
        <v>0</v>
      </c>
      <c r="Z13" s="52">
        <v>0</v>
      </c>
      <c r="AA13" s="54">
        <v>0</v>
      </c>
      <c r="AB13" s="54">
        <v>0</v>
      </c>
      <c r="AC13" s="52">
        <v>0</v>
      </c>
      <c r="AD13" s="52">
        <v>0</v>
      </c>
      <c r="AE13" s="52">
        <v>0</v>
      </c>
      <c r="AF13" s="52">
        <v>0</v>
      </c>
      <c r="AG13" s="52">
        <v>0</v>
      </c>
      <c r="AH13" s="52">
        <v>0</v>
      </c>
      <c r="AI13" s="52">
        <v>0</v>
      </c>
      <c r="AJ13" s="52">
        <v>0</v>
      </c>
      <c r="AK13" s="52">
        <v>0</v>
      </c>
      <c r="AL13" s="52">
        <v>0</v>
      </c>
      <c r="AM13" s="52">
        <v>0</v>
      </c>
      <c r="AN13" s="52">
        <v>0</v>
      </c>
      <c r="AO13" s="52">
        <v>0</v>
      </c>
      <c r="AP13" s="52">
        <v>0</v>
      </c>
      <c r="AQ13" s="52">
        <v>0</v>
      </c>
      <c r="AR13" s="52">
        <v>0</v>
      </c>
      <c r="AS13" s="52">
        <v>0</v>
      </c>
      <c r="AT13" s="52">
        <v>0</v>
      </c>
      <c r="AU13" s="52">
        <v>0</v>
      </c>
      <c r="AV13" s="52">
        <v>0</v>
      </c>
      <c r="AW13" s="52">
        <v>0</v>
      </c>
      <c r="AX13" s="52">
        <v>0</v>
      </c>
      <c r="AY13" s="52">
        <v>0</v>
      </c>
      <c r="AZ13" s="52">
        <v>0</v>
      </c>
      <c r="BA13" s="52">
        <v>0</v>
      </c>
      <c r="BB13" s="52">
        <v>0</v>
      </c>
      <c r="BC13" s="52">
        <v>0</v>
      </c>
      <c r="BD13" s="52">
        <v>0</v>
      </c>
      <c r="BE13" s="52">
        <v>0</v>
      </c>
      <c r="BF13" s="52">
        <v>0</v>
      </c>
      <c r="BG13" s="52">
        <v>0</v>
      </c>
      <c r="BW13" s="52">
        <f t="shared" si="0"/>
        <v>0</v>
      </c>
      <c r="BX13" s="52">
        <f t="shared" si="1"/>
        <v>0</v>
      </c>
      <c r="BY13" s="314" t="e">
        <f t="shared" si="2"/>
        <v>#DIV/0!</v>
      </c>
      <c r="CC13" s="52">
        <f t="shared" si="3"/>
        <v>-20</v>
      </c>
    </row>
    <row r="14" spans="1:81" x14ac:dyDescent="0.2">
      <c r="A14" s="52" t="s">
        <v>167</v>
      </c>
      <c r="B14" s="52">
        <v>13131</v>
      </c>
      <c r="C14" s="52">
        <v>0</v>
      </c>
      <c r="D14" s="52">
        <v>0</v>
      </c>
      <c r="E14" s="52">
        <v>0</v>
      </c>
      <c r="F14" s="52">
        <v>0</v>
      </c>
      <c r="G14" s="52">
        <v>0</v>
      </c>
      <c r="H14" s="52">
        <v>0</v>
      </c>
      <c r="I14" s="52">
        <v>-12</v>
      </c>
      <c r="J14" s="52">
        <v>0</v>
      </c>
      <c r="K14" s="52">
        <v>-12</v>
      </c>
      <c r="L14" s="52">
        <v>-2</v>
      </c>
      <c r="M14" s="52">
        <v>0</v>
      </c>
      <c r="N14" s="52">
        <v>-2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86">
        <v>0</v>
      </c>
      <c r="V14" s="86">
        <v>0</v>
      </c>
      <c r="W14" s="52">
        <v>0</v>
      </c>
      <c r="X14" s="52">
        <v>0</v>
      </c>
      <c r="Y14" s="52">
        <v>0</v>
      </c>
      <c r="Z14" s="52">
        <v>0</v>
      </c>
      <c r="AA14" s="54">
        <v>0</v>
      </c>
      <c r="AB14" s="54">
        <v>0</v>
      </c>
      <c r="AC14" s="52">
        <v>0</v>
      </c>
      <c r="AD14" s="52">
        <v>0</v>
      </c>
      <c r="AE14" s="52">
        <v>0</v>
      </c>
      <c r="AF14" s="52">
        <v>0</v>
      </c>
      <c r="AG14" s="52">
        <v>0</v>
      </c>
      <c r="AH14" s="52">
        <v>0</v>
      </c>
      <c r="AI14" s="52">
        <v>0</v>
      </c>
      <c r="AJ14" s="52">
        <v>0</v>
      </c>
      <c r="AK14" s="52">
        <v>0</v>
      </c>
      <c r="AL14" s="52">
        <v>0</v>
      </c>
      <c r="AM14" s="52">
        <v>0</v>
      </c>
      <c r="AN14" s="52">
        <v>0</v>
      </c>
      <c r="AO14" s="52">
        <v>0</v>
      </c>
      <c r="AP14" s="52">
        <v>0</v>
      </c>
      <c r="AQ14" s="52">
        <v>0</v>
      </c>
      <c r="AR14" s="52">
        <v>0</v>
      </c>
      <c r="AS14" s="52">
        <v>0</v>
      </c>
      <c r="AT14" s="52">
        <v>0</v>
      </c>
      <c r="AU14" s="52">
        <v>0</v>
      </c>
      <c r="AV14" s="52">
        <v>0</v>
      </c>
      <c r="AW14" s="52">
        <v>0</v>
      </c>
      <c r="AX14" s="52">
        <v>0</v>
      </c>
      <c r="AY14" s="52">
        <v>0</v>
      </c>
      <c r="AZ14" s="52">
        <v>0</v>
      </c>
      <c r="BA14" s="52">
        <v>0</v>
      </c>
      <c r="BB14" s="52">
        <v>0</v>
      </c>
      <c r="BC14" s="52">
        <v>0</v>
      </c>
      <c r="BD14" s="52">
        <v>0</v>
      </c>
      <c r="BE14" s="52">
        <v>0</v>
      </c>
      <c r="BF14" s="52">
        <v>0</v>
      </c>
      <c r="BG14" s="52">
        <v>0</v>
      </c>
      <c r="BW14" s="52">
        <f t="shared" si="0"/>
        <v>0</v>
      </c>
      <c r="BX14" s="52">
        <f t="shared" si="1"/>
        <v>0</v>
      </c>
      <c r="BY14" s="314" t="e">
        <f t="shared" si="2"/>
        <v>#DIV/0!</v>
      </c>
      <c r="CC14" s="52">
        <f t="shared" si="3"/>
        <v>-14</v>
      </c>
    </row>
    <row r="15" spans="1:81" x14ac:dyDescent="0.2">
      <c r="A15" s="52" t="s">
        <v>168</v>
      </c>
      <c r="B15" s="52">
        <v>13006</v>
      </c>
      <c r="C15" s="52">
        <v>2168</v>
      </c>
      <c r="D15" s="52">
        <v>710</v>
      </c>
      <c r="E15" s="52">
        <v>2878</v>
      </c>
      <c r="F15" s="52">
        <v>1211</v>
      </c>
      <c r="G15" s="52">
        <v>573</v>
      </c>
      <c r="H15" s="52">
        <v>1784</v>
      </c>
      <c r="I15" s="52">
        <v>-157</v>
      </c>
      <c r="J15" s="52">
        <v>0</v>
      </c>
      <c r="K15" s="52">
        <v>-157</v>
      </c>
      <c r="L15" s="52">
        <v>0</v>
      </c>
      <c r="M15" s="52">
        <v>0</v>
      </c>
      <c r="N15" s="52">
        <v>0</v>
      </c>
      <c r="O15" s="52">
        <v>-21</v>
      </c>
      <c r="P15" s="52">
        <v>0</v>
      </c>
      <c r="Q15" s="52">
        <v>-21</v>
      </c>
      <c r="R15" s="52">
        <v>-2500</v>
      </c>
      <c r="S15" s="52">
        <v>521</v>
      </c>
      <c r="T15" s="52">
        <v>-1979</v>
      </c>
      <c r="U15" s="86">
        <v>0</v>
      </c>
      <c r="V15" s="86">
        <v>0</v>
      </c>
      <c r="W15" s="52">
        <v>0</v>
      </c>
      <c r="X15" s="52">
        <v>0</v>
      </c>
      <c r="Y15" s="52">
        <v>0</v>
      </c>
      <c r="Z15" s="52">
        <v>0</v>
      </c>
      <c r="AA15" s="54">
        <v>-361</v>
      </c>
      <c r="AB15" s="54">
        <v>0</v>
      </c>
      <c r="AC15" s="52">
        <v>-361</v>
      </c>
      <c r="AD15" s="52">
        <v>-391</v>
      </c>
      <c r="AE15" s="52">
        <v>0</v>
      </c>
      <c r="AF15" s="52">
        <v>-391</v>
      </c>
      <c r="AG15" s="52">
        <v>-184</v>
      </c>
      <c r="AH15" s="52">
        <v>0</v>
      </c>
      <c r="AI15" s="52">
        <v>-184</v>
      </c>
      <c r="AJ15" s="52">
        <v>0</v>
      </c>
      <c r="AK15" s="52">
        <v>0</v>
      </c>
      <c r="AL15" s="52">
        <v>0</v>
      </c>
      <c r="AM15" s="52">
        <v>-10</v>
      </c>
      <c r="AN15" s="52">
        <v>0</v>
      </c>
      <c r="AO15" s="52">
        <v>-10</v>
      </c>
      <c r="AP15" s="52">
        <v>-1</v>
      </c>
      <c r="AQ15" s="52">
        <v>0</v>
      </c>
      <c r="AR15" s="52">
        <v>-1</v>
      </c>
      <c r="AS15" s="52">
        <v>0</v>
      </c>
      <c r="AT15" s="52">
        <v>0</v>
      </c>
      <c r="AU15" s="52">
        <v>0</v>
      </c>
      <c r="AV15" s="52">
        <v>0</v>
      </c>
      <c r="AW15" s="52">
        <v>0</v>
      </c>
      <c r="AX15" s="52">
        <v>0</v>
      </c>
      <c r="AY15" s="52">
        <v>0</v>
      </c>
      <c r="AZ15" s="52">
        <v>0</v>
      </c>
      <c r="BA15" s="52">
        <v>0</v>
      </c>
      <c r="BB15" s="52">
        <v>0</v>
      </c>
      <c r="BC15" s="52">
        <v>0</v>
      </c>
      <c r="BD15" s="52">
        <v>0</v>
      </c>
      <c r="BE15" s="52">
        <v>-7</v>
      </c>
      <c r="BF15" s="52">
        <v>0</v>
      </c>
      <c r="BG15" s="52">
        <v>-7</v>
      </c>
      <c r="BW15" s="52">
        <f t="shared" si="0"/>
        <v>-18</v>
      </c>
      <c r="BX15" s="52">
        <f t="shared" si="1"/>
        <v>0</v>
      </c>
      <c r="BY15" s="314">
        <f t="shared" si="2"/>
        <v>0</v>
      </c>
      <c r="CC15" s="52">
        <f t="shared" si="3"/>
        <v>-235</v>
      </c>
    </row>
    <row r="16" spans="1:81" x14ac:dyDescent="0.2">
      <c r="A16" s="52" t="s">
        <v>169</v>
      </c>
      <c r="B16" s="52">
        <v>13005</v>
      </c>
      <c r="C16" s="52">
        <v>1493</v>
      </c>
      <c r="D16" s="52">
        <v>411</v>
      </c>
      <c r="E16" s="52">
        <v>1904</v>
      </c>
      <c r="F16" s="52">
        <v>1740</v>
      </c>
      <c r="G16" s="52">
        <v>313</v>
      </c>
      <c r="H16" s="52">
        <v>2053</v>
      </c>
      <c r="I16" s="52">
        <v>-232</v>
      </c>
      <c r="J16" s="52">
        <v>40</v>
      </c>
      <c r="K16" s="52">
        <v>-192</v>
      </c>
      <c r="L16" s="52">
        <v>2793</v>
      </c>
      <c r="M16" s="52">
        <v>373</v>
      </c>
      <c r="N16" s="52">
        <v>3166</v>
      </c>
      <c r="O16" s="52">
        <v>1863</v>
      </c>
      <c r="P16" s="52">
        <v>7645</v>
      </c>
      <c r="Q16" s="52">
        <v>9508</v>
      </c>
      <c r="R16" s="52">
        <v>222</v>
      </c>
      <c r="S16" s="52">
        <v>190</v>
      </c>
      <c r="T16" s="52">
        <v>412</v>
      </c>
      <c r="U16" s="86">
        <v>270</v>
      </c>
      <c r="V16" s="86">
        <v>728</v>
      </c>
      <c r="W16" s="52">
        <v>998</v>
      </c>
      <c r="X16" s="52">
        <v>262</v>
      </c>
      <c r="Y16" s="52">
        <v>704</v>
      </c>
      <c r="Z16" s="52">
        <v>966</v>
      </c>
      <c r="AA16" s="54">
        <v>312</v>
      </c>
      <c r="AB16" s="54">
        <v>806</v>
      </c>
      <c r="AC16" s="52">
        <v>1118</v>
      </c>
      <c r="AD16" s="52">
        <v>266</v>
      </c>
      <c r="AE16" s="52">
        <v>172</v>
      </c>
      <c r="AF16" s="52">
        <v>438</v>
      </c>
      <c r="AG16" s="52">
        <v>14</v>
      </c>
      <c r="AH16" s="52">
        <v>432</v>
      </c>
      <c r="AI16" s="52">
        <v>446</v>
      </c>
      <c r="AJ16" s="52">
        <v>21</v>
      </c>
      <c r="AK16" s="52">
        <v>2210</v>
      </c>
      <c r="AL16" s="52">
        <v>2231</v>
      </c>
      <c r="AM16" s="52">
        <v>6</v>
      </c>
      <c r="AN16" s="52">
        <v>95</v>
      </c>
      <c r="AO16" s="52">
        <v>101</v>
      </c>
      <c r="AP16" s="52">
        <v>-1</v>
      </c>
      <c r="AQ16" s="52">
        <v>0</v>
      </c>
      <c r="AR16" s="52">
        <v>-1</v>
      </c>
      <c r="AS16" s="52">
        <v>-1</v>
      </c>
      <c r="AT16" s="52">
        <v>0</v>
      </c>
      <c r="AU16" s="52">
        <v>-1</v>
      </c>
      <c r="AV16" s="52">
        <v>0</v>
      </c>
      <c r="AW16" s="52">
        <v>0</v>
      </c>
      <c r="AX16" s="52">
        <v>0</v>
      </c>
      <c r="AY16" s="52">
        <v>0</v>
      </c>
      <c r="AZ16" s="52">
        <v>0</v>
      </c>
      <c r="BA16" s="52">
        <v>0</v>
      </c>
      <c r="BB16" s="52">
        <v>-1</v>
      </c>
      <c r="BC16" s="52">
        <v>0</v>
      </c>
      <c r="BD16" s="52">
        <v>-1</v>
      </c>
      <c r="BE16" s="52">
        <v>-1</v>
      </c>
      <c r="BF16" s="52">
        <v>0</v>
      </c>
      <c r="BG16" s="52">
        <v>-1</v>
      </c>
      <c r="BW16" s="52">
        <f t="shared" si="0"/>
        <v>2</v>
      </c>
      <c r="BX16" s="52">
        <f t="shared" si="1"/>
        <v>95</v>
      </c>
      <c r="BY16" s="314">
        <f t="shared" si="2"/>
        <v>47.5</v>
      </c>
      <c r="CC16" s="52">
        <f t="shared" si="3"/>
        <v>9024</v>
      </c>
    </row>
    <row r="17" spans="1:81" x14ac:dyDescent="0.2">
      <c r="A17" s="52" t="s">
        <v>170</v>
      </c>
      <c r="B17" s="52">
        <v>13004</v>
      </c>
      <c r="C17" s="52">
        <v>-1</v>
      </c>
      <c r="D17" s="52">
        <v>0</v>
      </c>
      <c r="E17" s="52">
        <v>-1</v>
      </c>
      <c r="F17" s="52">
        <v>0</v>
      </c>
      <c r="G17" s="52">
        <v>0</v>
      </c>
      <c r="H17" s="52">
        <v>0</v>
      </c>
      <c r="I17" s="52">
        <v>0</v>
      </c>
      <c r="J17" s="52">
        <v>0</v>
      </c>
      <c r="K17" s="52">
        <v>0</v>
      </c>
      <c r="L17" s="52">
        <v>0</v>
      </c>
      <c r="M17" s="52">
        <v>0</v>
      </c>
      <c r="N17" s="52">
        <v>0</v>
      </c>
      <c r="O17" s="52">
        <v>0</v>
      </c>
      <c r="P17" s="52">
        <v>0</v>
      </c>
      <c r="Q17" s="52">
        <v>0</v>
      </c>
      <c r="R17" s="52">
        <v>0</v>
      </c>
      <c r="S17" s="52">
        <v>0</v>
      </c>
      <c r="T17" s="52">
        <v>0</v>
      </c>
      <c r="U17" s="86">
        <v>0</v>
      </c>
      <c r="V17" s="86">
        <v>0</v>
      </c>
      <c r="W17" s="52">
        <v>0</v>
      </c>
      <c r="X17" s="52">
        <v>0</v>
      </c>
      <c r="Y17" s="52">
        <v>0</v>
      </c>
      <c r="Z17" s="52">
        <v>0</v>
      </c>
      <c r="AA17" s="54">
        <v>-28</v>
      </c>
      <c r="AB17" s="54">
        <v>0</v>
      </c>
      <c r="AC17" s="52">
        <v>-28</v>
      </c>
      <c r="AD17" s="52">
        <v>-64</v>
      </c>
      <c r="AE17" s="52">
        <v>0</v>
      </c>
      <c r="AF17" s="52">
        <v>-64</v>
      </c>
      <c r="AG17" s="52">
        <v>-37</v>
      </c>
      <c r="AH17" s="52">
        <v>0</v>
      </c>
      <c r="AI17" s="52">
        <v>-37</v>
      </c>
      <c r="AJ17" s="52">
        <v>0</v>
      </c>
      <c r="AK17" s="52">
        <v>0</v>
      </c>
      <c r="AL17" s="52">
        <v>0</v>
      </c>
      <c r="AM17" s="52">
        <v>0</v>
      </c>
      <c r="AN17" s="52">
        <v>0</v>
      </c>
      <c r="AO17" s="52">
        <v>0</v>
      </c>
      <c r="AP17" s="52">
        <v>0</v>
      </c>
      <c r="AQ17" s="52">
        <v>0</v>
      </c>
      <c r="AR17" s="52">
        <v>0</v>
      </c>
      <c r="AS17" s="52">
        <v>0</v>
      </c>
      <c r="AT17" s="52">
        <v>0</v>
      </c>
      <c r="AU17" s="52">
        <v>0</v>
      </c>
      <c r="AV17" s="52">
        <v>0</v>
      </c>
      <c r="AW17" s="52">
        <v>0</v>
      </c>
      <c r="AX17" s="52">
        <v>0</v>
      </c>
      <c r="AY17" s="52">
        <v>0</v>
      </c>
      <c r="AZ17" s="52">
        <v>0</v>
      </c>
      <c r="BA17" s="52">
        <v>0</v>
      </c>
      <c r="BB17" s="52">
        <v>0</v>
      </c>
      <c r="BC17" s="52">
        <v>0</v>
      </c>
      <c r="BD17" s="52">
        <v>0</v>
      </c>
      <c r="BE17" s="52">
        <v>0</v>
      </c>
      <c r="BF17" s="52">
        <v>0</v>
      </c>
      <c r="BG17" s="52">
        <v>0</v>
      </c>
      <c r="BW17" s="52">
        <f t="shared" si="0"/>
        <v>0</v>
      </c>
      <c r="BX17" s="52">
        <f t="shared" si="1"/>
        <v>0</v>
      </c>
      <c r="BY17" s="314" t="e">
        <f t="shared" si="2"/>
        <v>#DIV/0!</v>
      </c>
      <c r="CC17" s="52">
        <f t="shared" si="3"/>
        <v>-130</v>
      </c>
    </row>
    <row r="18" spans="1:81" x14ac:dyDescent="0.2">
      <c r="A18" s="52" t="s">
        <v>171</v>
      </c>
      <c r="B18" s="52">
        <v>13089</v>
      </c>
      <c r="C18" s="52">
        <v>8087</v>
      </c>
      <c r="D18" s="52">
        <v>378</v>
      </c>
      <c r="E18" s="52">
        <v>8465</v>
      </c>
      <c r="F18" s="52">
        <v>1797</v>
      </c>
      <c r="G18" s="52">
        <v>791</v>
      </c>
      <c r="H18" s="52">
        <v>2588</v>
      </c>
      <c r="I18" s="52">
        <v>4449</v>
      </c>
      <c r="J18" s="52">
        <v>988</v>
      </c>
      <c r="K18" s="52">
        <v>5437</v>
      </c>
      <c r="L18" s="52">
        <v>3840</v>
      </c>
      <c r="M18" s="52">
        <v>995</v>
      </c>
      <c r="N18" s="52">
        <v>4835</v>
      </c>
      <c r="O18" s="52">
        <v>6510</v>
      </c>
      <c r="P18" s="52">
        <v>1256</v>
      </c>
      <c r="Q18" s="52">
        <v>7766</v>
      </c>
      <c r="R18" s="52">
        <v>2650</v>
      </c>
      <c r="S18" s="52">
        <v>745</v>
      </c>
      <c r="T18" s="52">
        <v>3395</v>
      </c>
      <c r="U18" s="86">
        <v>683</v>
      </c>
      <c r="V18" s="86">
        <v>497</v>
      </c>
      <c r="W18" s="52">
        <v>1180</v>
      </c>
      <c r="X18" s="52">
        <v>2298</v>
      </c>
      <c r="Y18" s="52">
        <v>556</v>
      </c>
      <c r="Z18" s="52">
        <v>2854</v>
      </c>
      <c r="AA18" s="54">
        <v>609</v>
      </c>
      <c r="AB18" s="54">
        <v>472</v>
      </c>
      <c r="AC18" s="52">
        <v>1081</v>
      </c>
      <c r="AD18" s="52">
        <v>3259</v>
      </c>
      <c r="AE18" s="52">
        <v>0</v>
      </c>
      <c r="AF18" s="52">
        <v>3259</v>
      </c>
      <c r="AG18" s="52">
        <v>0</v>
      </c>
      <c r="AH18" s="52">
        <v>0</v>
      </c>
      <c r="AI18" s="52">
        <v>0</v>
      </c>
      <c r="AJ18" s="52">
        <v>686</v>
      </c>
      <c r="AK18" s="52">
        <v>0</v>
      </c>
      <c r="AL18" s="52">
        <v>686</v>
      </c>
      <c r="AM18" s="52">
        <v>4847</v>
      </c>
      <c r="AN18" s="52">
        <v>688</v>
      </c>
      <c r="AO18" s="52">
        <v>5535</v>
      </c>
      <c r="AP18" s="52">
        <v>5300</v>
      </c>
      <c r="AQ18" s="52">
        <v>152</v>
      </c>
      <c r="AR18" s="52">
        <v>5452</v>
      </c>
      <c r="AS18" s="52">
        <v>5547</v>
      </c>
      <c r="AT18" s="52">
        <v>1050</v>
      </c>
      <c r="AU18" s="52">
        <v>6597</v>
      </c>
      <c r="AV18" s="52">
        <v>400</v>
      </c>
      <c r="AW18" s="52">
        <v>938</v>
      </c>
      <c r="AX18" s="52">
        <v>1338</v>
      </c>
      <c r="AY18" s="52">
        <v>9992</v>
      </c>
      <c r="AZ18" s="52">
        <v>221</v>
      </c>
      <c r="BA18" s="52">
        <v>10213</v>
      </c>
      <c r="BB18" s="52">
        <v>5450</v>
      </c>
      <c r="BC18" s="52">
        <v>1276</v>
      </c>
      <c r="BD18" s="52">
        <v>6726</v>
      </c>
      <c r="BE18" s="52">
        <v>7228</v>
      </c>
      <c r="BF18" s="52">
        <v>787</v>
      </c>
      <c r="BG18" s="52">
        <v>8015</v>
      </c>
      <c r="BW18" s="52">
        <f t="shared" si="0"/>
        <v>38764</v>
      </c>
      <c r="BX18" s="52">
        <f t="shared" si="1"/>
        <v>5112</v>
      </c>
      <c r="BY18" s="314">
        <f t="shared" si="2"/>
        <v>0.13187493550717161</v>
      </c>
      <c r="CC18" s="52">
        <f t="shared" si="3"/>
        <v>34868</v>
      </c>
    </row>
    <row r="19" spans="1:81" x14ac:dyDescent="0.2">
      <c r="A19" s="52" t="s">
        <v>172</v>
      </c>
      <c r="B19" s="52">
        <v>13091</v>
      </c>
      <c r="C19" s="52">
        <v>873</v>
      </c>
      <c r="D19" s="52">
        <v>629</v>
      </c>
      <c r="E19" s="52">
        <v>1502</v>
      </c>
      <c r="F19" s="52">
        <v>5709</v>
      </c>
      <c r="G19" s="52">
        <v>803</v>
      </c>
      <c r="H19" s="52">
        <v>6512</v>
      </c>
      <c r="I19" s="52">
        <v>2549</v>
      </c>
      <c r="J19" s="52">
        <v>403</v>
      </c>
      <c r="K19" s="52">
        <v>2952</v>
      </c>
      <c r="L19" s="52">
        <v>7645</v>
      </c>
      <c r="M19" s="52">
        <v>1264</v>
      </c>
      <c r="N19" s="52">
        <v>8909</v>
      </c>
      <c r="O19" s="52">
        <v>4333</v>
      </c>
      <c r="P19" s="52">
        <v>1129</v>
      </c>
      <c r="Q19" s="52">
        <v>5462</v>
      </c>
      <c r="R19" s="52">
        <v>6098</v>
      </c>
      <c r="S19" s="52">
        <v>903</v>
      </c>
      <c r="T19" s="52">
        <v>7001</v>
      </c>
      <c r="U19" s="86">
        <v>1653</v>
      </c>
      <c r="V19" s="86">
        <v>515</v>
      </c>
      <c r="W19" s="52">
        <v>2168</v>
      </c>
      <c r="X19" s="52">
        <v>800</v>
      </c>
      <c r="Y19" s="52">
        <v>600</v>
      </c>
      <c r="Z19" s="52">
        <v>1400</v>
      </c>
      <c r="AA19" s="54">
        <v>499</v>
      </c>
      <c r="AB19" s="54">
        <v>451</v>
      </c>
      <c r="AC19" s="52">
        <v>950</v>
      </c>
      <c r="AD19" s="52">
        <v>2722</v>
      </c>
      <c r="AE19" s="52">
        <v>703</v>
      </c>
      <c r="AF19" s="52">
        <v>3425</v>
      </c>
      <c r="AG19" s="52">
        <v>2841</v>
      </c>
      <c r="AH19" s="52">
        <v>764</v>
      </c>
      <c r="AI19" s="52">
        <v>3605</v>
      </c>
      <c r="AJ19" s="52">
        <v>2650</v>
      </c>
      <c r="AK19" s="52">
        <v>1126</v>
      </c>
      <c r="AL19" s="52">
        <v>3776</v>
      </c>
      <c r="AM19" s="52">
        <v>2640</v>
      </c>
      <c r="AN19" s="52">
        <v>431</v>
      </c>
      <c r="AO19" s="52">
        <v>3071</v>
      </c>
      <c r="AP19" s="52">
        <v>3900</v>
      </c>
      <c r="AQ19" s="52">
        <v>715</v>
      </c>
      <c r="AR19" s="52">
        <v>4615</v>
      </c>
      <c r="AS19" s="52">
        <v>4687</v>
      </c>
      <c r="AT19" s="52">
        <v>1117</v>
      </c>
      <c r="AU19" s="52">
        <v>5804</v>
      </c>
      <c r="AV19" s="52">
        <v>9525</v>
      </c>
      <c r="AW19" s="52">
        <v>1017</v>
      </c>
      <c r="AX19" s="52">
        <v>10542</v>
      </c>
      <c r="AY19" s="52">
        <v>7460</v>
      </c>
      <c r="AZ19" s="52">
        <v>1503</v>
      </c>
      <c r="BA19" s="52">
        <v>8963</v>
      </c>
      <c r="BB19" s="52">
        <v>1185</v>
      </c>
      <c r="BC19" s="52">
        <v>801</v>
      </c>
      <c r="BD19" s="52">
        <v>1986</v>
      </c>
      <c r="BE19" s="52">
        <v>6600</v>
      </c>
      <c r="BF19" s="52">
        <v>600</v>
      </c>
      <c r="BG19" s="52">
        <v>7200</v>
      </c>
      <c r="BW19" s="52">
        <f t="shared" si="0"/>
        <v>35997</v>
      </c>
      <c r="BX19" s="52">
        <f t="shared" si="1"/>
        <v>6184</v>
      </c>
      <c r="BY19" s="314">
        <f t="shared" si="2"/>
        <v>0.17179209378559324</v>
      </c>
      <c r="CC19" s="52">
        <f t="shared" si="3"/>
        <v>38372</v>
      </c>
    </row>
    <row r="20" spans="1:81" x14ac:dyDescent="0.2">
      <c r="A20" s="52" t="s">
        <v>173</v>
      </c>
      <c r="B20" s="52">
        <v>13093</v>
      </c>
      <c r="C20" s="52">
        <v>-4</v>
      </c>
      <c r="D20" s="52">
        <v>381</v>
      </c>
      <c r="E20" s="52">
        <v>377</v>
      </c>
      <c r="F20" s="52">
        <v>0</v>
      </c>
      <c r="G20" s="52">
        <v>995</v>
      </c>
      <c r="H20" s="52">
        <v>995</v>
      </c>
      <c r="I20" s="52">
        <v>4812</v>
      </c>
      <c r="J20" s="52">
        <v>819</v>
      </c>
      <c r="K20" s="52">
        <v>5631</v>
      </c>
      <c r="L20" s="52">
        <v>1643</v>
      </c>
      <c r="M20" s="52">
        <v>1063</v>
      </c>
      <c r="N20" s="52">
        <v>2706</v>
      </c>
      <c r="O20" s="52">
        <v>5478</v>
      </c>
      <c r="P20" s="52">
        <v>766</v>
      </c>
      <c r="Q20" s="52">
        <v>6244</v>
      </c>
      <c r="R20" s="52">
        <v>1258</v>
      </c>
      <c r="S20" s="52">
        <v>741</v>
      </c>
      <c r="T20" s="52">
        <v>1999</v>
      </c>
      <c r="U20" s="86">
        <v>2153</v>
      </c>
      <c r="V20" s="86">
        <v>392</v>
      </c>
      <c r="W20" s="52">
        <v>2545</v>
      </c>
      <c r="X20" s="52">
        <v>1699</v>
      </c>
      <c r="Y20" s="52">
        <v>478</v>
      </c>
      <c r="Z20" s="52">
        <v>2177</v>
      </c>
      <c r="AA20" s="54">
        <v>856</v>
      </c>
      <c r="AB20" s="54">
        <v>403</v>
      </c>
      <c r="AC20" s="52">
        <v>1259</v>
      </c>
      <c r="AD20" s="52">
        <v>1993</v>
      </c>
      <c r="AE20" s="52">
        <v>1194</v>
      </c>
      <c r="AF20" s="52">
        <v>3187</v>
      </c>
      <c r="AG20" s="52">
        <v>2645</v>
      </c>
      <c r="AH20" s="52">
        <v>324</v>
      </c>
      <c r="AI20" s="52">
        <v>2969</v>
      </c>
      <c r="AJ20" s="52">
        <v>1550</v>
      </c>
      <c r="AK20" s="52">
        <v>1036</v>
      </c>
      <c r="AL20" s="52">
        <v>2586</v>
      </c>
      <c r="AM20" s="52">
        <v>1775</v>
      </c>
      <c r="AN20" s="52">
        <v>418</v>
      </c>
      <c r="AO20" s="52">
        <v>2193</v>
      </c>
      <c r="AP20" s="52">
        <v>3547</v>
      </c>
      <c r="AQ20" s="52">
        <v>554</v>
      </c>
      <c r="AR20" s="52">
        <v>4101</v>
      </c>
      <c r="AS20" s="52">
        <v>5520</v>
      </c>
      <c r="AT20" s="52">
        <v>262</v>
      </c>
      <c r="AU20" s="52">
        <v>5782</v>
      </c>
      <c r="AV20" s="52">
        <v>3922</v>
      </c>
      <c r="AW20" s="52">
        <v>882</v>
      </c>
      <c r="AX20" s="52">
        <v>4804</v>
      </c>
      <c r="AY20" s="52">
        <v>10722</v>
      </c>
      <c r="AZ20" s="52">
        <v>958</v>
      </c>
      <c r="BA20" s="52">
        <v>11680</v>
      </c>
      <c r="BB20" s="52">
        <v>2514</v>
      </c>
      <c r="BC20" s="52">
        <v>690</v>
      </c>
      <c r="BD20" s="52">
        <v>3204</v>
      </c>
      <c r="BE20" s="52">
        <v>1200</v>
      </c>
      <c r="BF20" s="52">
        <v>486</v>
      </c>
      <c r="BG20" s="52">
        <v>1686</v>
      </c>
      <c r="BW20" s="52">
        <f t="shared" si="0"/>
        <v>29200</v>
      </c>
      <c r="BX20" s="52">
        <f t="shared" si="1"/>
        <v>4250</v>
      </c>
      <c r="BY20" s="314">
        <f t="shared" si="2"/>
        <v>0.14554794520547945</v>
      </c>
      <c r="CC20" s="52">
        <f t="shared" si="3"/>
        <v>24083</v>
      </c>
    </row>
    <row r="21" spans="1:81" x14ac:dyDescent="0.2">
      <c r="A21" s="52" t="s">
        <v>175</v>
      </c>
      <c r="B21" s="52">
        <v>13149</v>
      </c>
      <c r="C21" s="52">
        <v>0</v>
      </c>
      <c r="D21" s="52">
        <v>0</v>
      </c>
      <c r="E21" s="52">
        <v>0</v>
      </c>
      <c r="F21" s="52">
        <v>0</v>
      </c>
      <c r="G21" s="52">
        <v>0</v>
      </c>
      <c r="H21" s="52">
        <v>0</v>
      </c>
      <c r="I21" s="52">
        <v>0</v>
      </c>
      <c r="J21" s="52">
        <v>0</v>
      </c>
      <c r="K21" s="52">
        <v>0</v>
      </c>
      <c r="L21" s="52">
        <v>0</v>
      </c>
      <c r="M21" s="52">
        <v>0</v>
      </c>
      <c r="N21" s="52">
        <v>0</v>
      </c>
      <c r="O21" s="52">
        <v>0</v>
      </c>
      <c r="P21" s="52">
        <v>0</v>
      </c>
      <c r="Q21" s="52">
        <v>0</v>
      </c>
      <c r="R21" s="52">
        <v>8999</v>
      </c>
      <c r="S21" s="52">
        <v>0</v>
      </c>
      <c r="T21" s="52">
        <v>8999</v>
      </c>
      <c r="U21" s="86">
        <v>12000</v>
      </c>
      <c r="V21" s="86">
        <v>4278</v>
      </c>
      <c r="W21" s="52">
        <v>16278</v>
      </c>
      <c r="X21" s="52">
        <v>1149</v>
      </c>
      <c r="Y21" s="52">
        <v>2268</v>
      </c>
      <c r="Z21" s="52">
        <v>3417</v>
      </c>
      <c r="AA21" s="54">
        <v>-3</v>
      </c>
      <c r="AB21" s="54">
        <v>0</v>
      </c>
      <c r="AC21" s="52">
        <v>-3</v>
      </c>
      <c r="AD21" s="52">
        <v>8000</v>
      </c>
      <c r="AE21" s="52">
        <v>715</v>
      </c>
      <c r="AF21" s="52">
        <v>8715</v>
      </c>
      <c r="AG21" s="52">
        <v>4600</v>
      </c>
      <c r="AH21" s="52">
        <v>1374</v>
      </c>
      <c r="AI21" s="52">
        <v>5974</v>
      </c>
      <c r="AJ21" s="52">
        <v>50</v>
      </c>
      <c r="AK21" s="52">
        <v>1452</v>
      </c>
      <c r="AL21" s="52">
        <v>1502</v>
      </c>
      <c r="AM21" s="52">
        <v>0</v>
      </c>
      <c r="AN21" s="52">
        <v>760</v>
      </c>
      <c r="AO21" s="52">
        <v>760</v>
      </c>
      <c r="AP21" s="52">
        <v>0</v>
      </c>
      <c r="AQ21" s="52">
        <v>916</v>
      </c>
      <c r="AR21" s="52">
        <v>916</v>
      </c>
      <c r="AS21" s="52">
        <v>10800</v>
      </c>
      <c r="AT21" s="52">
        <v>1640</v>
      </c>
      <c r="AU21" s="52">
        <v>12440</v>
      </c>
      <c r="AV21" s="52">
        <v>9312</v>
      </c>
      <c r="AW21" s="52">
        <v>1393</v>
      </c>
      <c r="AX21" s="52">
        <v>10705</v>
      </c>
      <c r="AY21" s="52">
        <v>6552</v>
      </c>
      <c r="AZ21" s="52">
        <v>1447</v>
      </c>
      <c r="BA21" s="52">
        <v>7999</v>
      </c>
      <c r="BB21" s="52">
        <v>384</v>
      </c>
      <c r="BC21" s="52">
        <v>1298</v>
      </c>
      <c r="BD21" s="52">
        <v>1682</v>
      </c>
      <c r="BE21" s="52">
        <v>3286</v>
      </c>
      <c r="BF21" s="52">
        <v>1495</v>
      </c>
      <c r="BG21" s="52">
        <v>4781</v>
      </c>
      <c r="BW21" s="52">
        <f t="shared" si="0"/>
        <v>30334</v>
      </c>
      <c r="BX21" s="52">
        <f t="shared" si="1"/>
        <v>8949</v>
      </c>
      <c r="BY21" s="314">
        <f t="shared" si="2"/>
        <v>0.29501549416496342</v>
      </c>
      <c r="CC21" s="52">
        <f t="shared" si="3"/>
        <v>34795</v>
      </c>
    </row>
    <row r="22" spans="1:81" x14ac:dyDescent="0.2">
      <c r="A22" s="52" t="s">
        <v>176</v>
      </c>
      <c r="B22" s="52">
        <v>13150</v>
      </c>
      <c r="C22" s="52">
        <v>0</v>
      </c>
      <c r="D22" s="52">
        <v>0</v>
      </c>
      <c r="E22" s="52">
        <v>0</v>
      </c>
      <c r="F22" s="52">
        <v>0</v>
      </c>
      <c r="G22" s="52">
        <v>0</v>
      </c>
      <c r="H22" s="52">
        <v>0</v>
      </c>
      <c r="I22" s="52">
        <v>0</v>
      </c>
      <c r="J22" s="52">
        <v>0</v>
      </c>
      <c r="K22" s="52">
        <v>0</v>
      </c>
      <c r="L22" s="52">
        <v>0</v>
      </c>
      <c r="M22" s="52">
        <v>0</v>
      </c>
      <c r="N22" s="52">
        <v>0</v>
      </c>
      <c r="O22" s="52">
        <v>0</v>
      </c>
      <c r="P22" s="52">
        <v>0</v>
      </c>
      <c r="Q22" s="52">
        <v>0</v>
      </c>
      <c r="R22" s="52">
        <v>0</v>
      </c>
      <c r="S22" s="52">
        <v>0</v>
      </c>
      <c r="T22" s="52">
        <v>0</v>
      </c>
      <c r="U22" s="86">
        <v>0</v>
      </c>
      <c r="V22" s="86">
        <v>0</v>
      </c>
      <c r="W22" s="52">
        <v>0</v>
      </c>
      <c r="X22" s="52">
        <v>7500</v>
      </c>
      <c r="Y22" s="52">
        <v>240</v>
      </c>
      <c r="Z22" s="52">
        <v>7740</v>
      </c>
      <c r="AA22" s="54">
        <v>7901</v>
      </c>
      <c r="AB22" s="54">
        <v>965</v>
      </c>
      <c r="AC22" s="52">
        <v>8866</v>
      </c>
      <c r="AD22" s="52">
        <v>2000</v>
      </c>
      <c r="AE22" s="52">
        <v>0</v>
      </c>
      <c r="AF22" s="52">
        <v>2000</v>
      </c>
      <c r="AG22" s="52">
        <v>3550</v>
      </c>
      <c r="AH22" s="52">
        <v>379</v>
      </c>
      <c r="AI22" s="52">
        <v>3929</v>
      </c>
      <c r="AJ22" s="52">
        <v>3050</v>
      </c>
      <c r="AK22" s="52">
        <v>958</v>
      </c>
      <c r="AL22" s="52">
        <v>4008</v>
      </c>
      <c r="AM22" s="52">
        <v>4120</v>
      </c>
      <c r="AN22" s="52">
        <v>544</v>
      </c>
      <c r="AO22" s="52">
        <v>4664</v>
      </c>
      <c r="AP22" s="52">
        <v>1800</v>
      </c>
      <c r="AQ22" s="52">
        <v>440</v>
      </c>
      <c r="AR22" s="52">
        <v>2240</v>
      </c>
      <c r="AS22" s="52">
        <v>7540</v>
      </c>
      <c r="AT22" s="52">
        <v>1080</v>
      </c>
      <c r="AU22" s="52">
        <v>8620</v>
      </c>
      <c r="AV22" s="52">
        <v>0</v>
      </c>
      <c r="AW22" s="52">
        <v>849</v>
      </c>
      <c r="AX22" s="52">
        <v>849</v>
      </c>
      <c r="AY22" s="52">
        <v>5207</v>
      </c>
      <c r="AZ22" s="52">
        <v>821</v>
      </c>
      <c r="BA22" s="52">
        <v>6028</v>
      </c>
      <c r="BB22" s="52">
        <v>0</v>
      </c>
      <c r="BC22" s="52">
        <v>941</v>
      </c>
      <c r="BD22" s="52">
        <v>941</v>
      </c>
      <c r="BE22" s="52">
        <v>384</v>
      </c>
      <c r="BF22" s="52">
        <v>1015</v>
      </c>
      <c r="BG22" s="52">
        <v>1399</v>
      </c>
      <c r="BW22" s="52">
        <f t="shared" si="0"/>
        <v>19051</v>
      </c>
      <c r="BX22" s="52">
        <f t="shared" si="1"/>
        <v>5690</v>
      </c>
      <c r="BY22" s="314">
        <f t="shared" si="2"/>
        <v>0.29867198572253423</v>
      </c>
      <c r="CC22" s="52">
        <f t="shared" si="3"/>
        <v>24001</v>
      </c>
    </row>
    <row r="23" spans="1:81" x14ac:dyDescent="0.2">
      <c r="A23" s="52" t="s">
        <v>177</v>
      </c>
      <c r="B23" s="52">
        <v>13108</v>
      </c>
      <c r="C23" s="52">
        <v>0</v>
      </c>
      <c r="D23" s="52">
        <v>0</v>
      </c>
      <c r="E23" s="52">
        <v>0</v>
      </c>
      <c r="F23" s="52">
        <v>0</v>
      </c>
      <c r="G23" s="52">
        <v>0</v>
      </c>
      <c r="H23" s="52">
        <v>0</v>
      </c>
      <c r="I23" s="52">
        <v>0</v>
      </c>
      <c r="J23" s="52">
        <v>0</v>
      </c>
      <c r="K23" s="52">
        <v>0</v>
      </c>
      <c r="L23" s="52">
        <v>0</v>
      </c>
      <c r="M23" s="52">
        <v>0</v>
      </c>
      <c r="N23" s="52">
        <v>0</v>
      </c>
      <c r="O23" s="52">
        <v>0</v>
      </c>
      <c r="P23" s="52">
        <v>0</v>
      </c>
      <c r="Q23" s="52">
        <v>0</v>
      </c>
      <c r="R23" s="52">
        <v>9026</v>
      </c>
      <c r="S23" s="52">
        <v>0</v>
      </c>
      <c r="T23" s="52">
        <v>9026</v>
      </c>
      <c r="U23" s="86">
        <v>8002</v>
      </c>
      <c r="V23" s="86">
        <v>109</v>
      </c>
      <c r="W23" s="52">
        <v>8111</v>
      </c>
      <c r="X23" s="52">
        <v>3947</v>
      </c>
      <c r="Y23" s="52">
        <v>822</v>
      </c>
      <c r="Z23" s="52">
        <v>4769</v>
      </c>
      <c r="AA23" s="54">
        <v>3999</v>
      </c>
      <c r="AB23" s="54">
        <v>1850</v>
      </c>
      <c r="AC23" s="52">
        <v>5849</v>
      </c>
      <c r="AD23" s="52">
        <v>0</v>
      </c>
      <c r="AE23" s="52">
        <v>0</v>
      </c>
      <c r="AF23" s="52">
        <v>0</v>
      </c>
      <c r="AG23" s="52">
        <v>0</v>
      </c>
      <c r="AH23" s="52">
        <v>1</v>
      </c>
      <c r="AI23" s="52">
        <v>1</v>
      </c>
      <c r="AJ23" s="52">
        <v>1000</v>
      </c>
      <c r="AK23" s="52">
        <v>665</v>
      </c>
      <c r="AL23" s="52">
        <v>1665</v>
      </c>
      <c r="AM23" s="52">
        <v>0</v>
      </c>
      <c r="AN23" s="52">
        <v>346</v>
      </c>
      <c r="AO23" s="52">
        <v>346</v>
      </c>
      <c r="AP23" s="52">
        <v>-12</v>
      </c>
      <c r="AQ23" s="52">
        <v>468</v>
      </c>
      <c r="AR23" s="52">
        <v>456</v>
      </c>
      <c r="AS23" s="52">
        <v>2400</v>
      </c>
      <c r="AT23" s="52">
        <v>858</v>
      </c>
      <c r="AU23" s="52">
        <v>3258</v>
      </c>
      <c r="AV23" s="52">
        <v>4450</v>
      </c>
      <c r="AW23" s="52">
        <v>563</v>
      </c>
      <c r="AX23" s="52">
        <v>5013</v>
      </c>
      <c r="AY23" s="52">
        <v>1008</v>
      </c>
      <c r="AZ23" s="52">
        <v>473</v>
      </c>
      <c r="BA23" s="52">
        <v>1481</v>
      </c>
      <c r="BB23" s="52">
        <v>0</v>
      </c>
      <c r="BC23" s="52">
        <v>483</v>
      </c>
      <c r="BD23" s="52">
        <v>483</v>
      </c>
      <c r="BE23" s="52">
        <v>360</v>
      </c>
      <c r="BF23" s="52">
        <v>800</v>
      </c>
      <c r="BG23" s="52">
        <v>1160</v>
      </c>
      <c r="BW23" s="52">
        <f t="shared" si="0"/>
        <v>8206</v>
      </c>
      <c r="BX23" s="52">
        <f t="shared" si="1"/>
        <v>3991</v>
      </c>
      <c r="BY23" s="314">
        <f t="shared" si="2"/>
        <v>0.48635145015842068</v>
      </c>
      <c r="CC23" s="52">
        <f t="shared" si="3"/>
        <v>25974</v>
      </c>
    </row>
    <row r="24" spans="1:81" x14ac:dyDescent="0.2">
      <c r="A24" s="52" t="s">
        <v>178</v>
      </c>
      <c r="B24" s="52">
        <v>13151</v>
      </c>
      <c r="C24" s="52">
        <v>0</v>
      </c>
      <c r="D24" s="52">
        <v>0</v>
      </c>
      <c r="E24" s="52">
        <v>0</v>
      </c>
      <c r="F24" s="52">
        <v>0</v>
      </c>
      <c r="G24" s="52">
        <v>0</v>
      </c>
      <c r="H24" s="52">
        <v>0</v>
      </c>
      <c r="I24" s="52">
        <v>0</v>
      </c>
      <c r="J24" s="52">
        <v>0</v>
      </c>
      <c r="K24" s="52">
        <v>0</v>
      </c>
      <c r="L24" s="52">
        <v>0</v>
      </c>
      <c r="M24" s="52">
        <v>0</v>
      </c>
      <c r="N24" s="52">
        <v>0</v>
      </c>
      <c r="O24" s="52">
        <v>0</v>
      </c>
      <c r="P24" s="52">
        <v>0</v>
      </c>
      <c r="Q24" s="52">
        <v>0</v>
      </c>
      <c r="R24" s="52">
        <v>0</v>
      </c>
      <c r="S24" s="52">
        <v>0</v>
      </c>
      <c r="T24" s="52">
        <v>0</v>
      </c>
      <c r="U24" s="86">
        <v>0</v>
      </c>
      <c r="V24" s="86">
        <v>0</v>
      </c>
      <c r="W24" s="52">
        <v>0</v>
      </c>
      <c r="X24" s="52">
        <v>7800</v>
      </c>
      <c r="Y24" s="52">
        <v>0</v>
      </c>
      <c r="Z24" s="52">
        <v>7800</v>
      </c>
      <c r="AA24" s="54">
        <v>0</v>
      </c>
      <c r="AB24" s="54">
        <v>773</v>
      </c>
      <c r="AC24" s="52">
        <v>773</v>
      </c>
      <c r="AD24" s="52">
        <v>3500</v>
      </c>
      <c r="AE24" s="52">
        <v>762</v>
      </c>
      <c r="AF24" s="52">
        <v>4262</v>
      </c>
      <c r="AG24" s="52">
        <v>1998</v>
      </c>
      <c r="AH24" s="52">
        <v>0</v>
      </c>
      <c r="AI24" s="52">
        <v>1998</v>
      </c>
      <c r="AJ24" s="52">
        <v>1850</v>
      </c>
      <c r="AK24" s="52">
        <v>617</v>
      </c>
      <c r="AL24" s="52">
        <v>2467</v>
      </c>
      <c r="AM24" s="52">
        <v>0</v>
      </c>
      <c r="AN24" s="52">
        <v>291</v>
      </c>
      <c r="AO24" s="52">
        <v>291</v>
      </c>
      <c r="AP24" s="52">
        <v>-1</v>
      </c>
      <c r="AQ24" s="52">
        <v>378</v>
      </c>
      <c r="AR24" s="52">
        <v>377</v>
      </c>
      <c r="AS24" s="52">
        <v>1530</v>
      </c>
      <c r="AT24" s="52">
        <v>313</v>
      </c>
      <c r="AU24" s="52">
        <v>1843</v>
      </c>
      <c r="AV24" s="52">
        <v>0</v>
      </c>
      <c r="AW24" s="52">
        <v>288</v>
      </c>
      <c r="AX24" s="52">
        <v>288</v>
      </c>
      <c r="AY24" s="52">
        <v>4800</v>
      </c>
      <c r="AZ24" s="52">
        <v>309</v>
      </c>
      <c r="BA24" s="52">
        <v>5109</v>
      </c>
      <c r="BB24" s="52">
        <v>0</v>
      </c>
      <c r="BC24" s="52">
        <v>443</v>
      </c>
      <c r="BD24" s="52">
        <v>443</v>
      </c>
      <c r="BE24" s="52">
        <v>0</v>
      </c>
      <c r="BF24" s="52">
        <v>414</v>
      </c>
      <c r="BG24" s="52">
        <v>414</v>
      </c>
      <c r="BW24" s="52">
        <f t="shared" si="0"/>
        <v>6329</v>
      </c>
      <c r="BX24" s="52">
        <f t="shared" si="1"/>
        <v>2436</v>
      </c>
      <c r="BY24" s="314">
        <f t="shared" si="2"/>
        <v>0.38489492810870596</v>
      </c>
      <c r="CC24" s="52">
        <f t="shared" si="3"/>
        <v>15148</v>
      </c>
    </row>
    <row r="25" spans="1:81" x14ac:dyDescent="0.2">
      <c r="A25" s="52" t="s">
        <v>179</v>
      </c>
      <c r="B25" s="52">
        <v>13095</v>
      </c>
      <c r="C25" s="52">
        <v>-15</v>
      </c>
      <c r="D25" s="52">
        <v>0</v>
      </c>
      <c r="E25" s="52">
        <v>-15</v>
      </c>
      <c r="F25" s="52">
        <v>-1224</v>
      </c>
      <c r="G25" s="52">
        <v>1478</v>
      </c>
      <c r="H25" s="52">
        <v>254</v>
      </c>
      <c r="I25" s="52">
        <v>6780</v>
      </c>
      <c r="J25" s="52">
        <v>1089</v>
      </c>
      <c r="K25" s="52">
        <v>7869</v>
      </c>
      <c r="L25" s="52">
        <v>3404</v>
      </c>
      <c r="M25" s="52">
        <v>0</v>
      </c>
      <c r="N25" s="52">
        <v>3404</v>
      </c>
      <c r="O25" s="52">
        <v>3892</v>
      </c>
      <c r="P25" s="52">
        <v>0</v>
      </c>
      <c r="Q25" s="52">
        <v>3892</v>
      </c>
      <c r="R25" s="52">
        <v>-7</v>
      </c>
      <c r="S25" s="52">
        <v>708</v>
      </c>
      <c r="T25" s="52">
        <v>701</v>
      </c>
      <c r="U25" s="86">
        <v>-50</v>
      </c>
      <c r="V25" s="86">
        <v>0</v>
      </c>
      <c r="W25" s="52">
        <v>-50</v>
      </c>
      <c r="X25" s="52">
        <v>-54</v>
      </c>
      <c r="Y25" s="52">
        <v>0</v>
      </c>
      <c r="Z25" s="52">
        <v>-54</v>
      </c>
      <c r="AA25" s="54">
        <v>-105</v>
      </c>
      <c r="AB25" s="54">
        <v>0</v>
      </c>
      <c r="AC25" s="52">
        <v>-105</v>
      </c>
      <c r="AD25" s="52">
        <v>-31</v>
      </c>
      <c r="AE25" s="52">
        <v>0</v>
      </c>
      <c r="AF25" s="52">
        <v>-31</v>
      </c>
      <c r="AG25" s="52">
        <v>-141</v>
      </c>
      <c r="AH25" s="52">
        <v>0</v>
      </c>
      <c r="AI25" s="52">
        <v>-141</v>
      </c>
      <c r="AJ25" s="52">
        <v>0</v>
      </c>
      <c r="AK25" s="52">
        <v>0</v>
      </c>
      <c r="AL25" s="52">
        <v>0</v>
      </c>
      <c r="AM25" s="52">
        <v>-78</v>
      </c>
      <c r="AN25" s="52">
        <v>0</v>
      </c>
      <c r="AO25" s="52">
        <v>-78</v>
      </c>
      <c r="AP25" s="52">
        <v>-43</v>
      </c>
      <c r="AQ25" s="52">
        <v>0</v>
      </c>
      <c r="AR25" s="52">
        <v>-43</v>
      </c>
      <c r="AS25" s="52">
        <v>-1</v>
      </c>
      <c r="AT25" s="52">
        <v>0</v>
      </c>
      <c r="AU25" s="52">
        <v>-1</v>
      </c>
      <c r="AV25" s="52">
        <v>-2</v>
      </c>
      <c r="AW25" s="52">
        <v>0</v>
      </c>
      <c r="AX25" s="52">
        <v>-2</v>
      </c>
      <c r="AY25" s="52">
        <v>-3</v>
      </c>
      <c r="AZ25" s="52">
        <v>0</v>
      </c>
      <c r="BA25" s="52">
        <v>-3</v>
      </c>
      <c r="BB25" s="52">
        <v>-18</v>
      </c>
      <c r="BC25" s="52">
        <v>0</v>
      </c>
      <c r="BD25" s="52">
        <v>-18</v>
      </c>
      <c r="BE25" s="52">
        <v>-30</v>
      </c>
      <c r="BF25" s="52">
        <v>0</v>
      </c>
      <c r="BG25" s="52">
        <v>-30</v>
      </c>
      <c r="BW25" s="52">
        <f t="shared" si="0"/>
        <v>-175</v>
      </c>
      <c r="BX25" s="52">
        <f t="shared" si="1"/>
        <v>0</v>
      </c>
      <c r="BY25" s="314">
        <f t="shared" si="2"/>
        <v>0</v>
      </c>
      <c r="CC25" s="52">
        <f t="shared" si="3"/>
        <v>12449</v>
      </c>
    </row>
    <row r="26" spans="1:81" x14ac:dyDescent="0.2">
      <c r="A26" s="52" t="s">
        <v>180</v>
      </c>
      <c r="B26" s="52">
        <v>13098</v>
      </c>
      <c r="C26" s="52">
        <v>-107</v>
      </c>
      <c r="D26" s="52">
        <v>1771</v>
      </c>
      <c r="E26" s="52">
        <v>1664</v>
      </c>
      <c r="F26" s="52">
        <v>6939</v>
      </c>
      <c r="G26" s="52">
        <v>2668</v>
      </c>
      <c r="H26" s="52">
        <v>9607</v>
      </c>
      <c r="I26" s="52">
        <v>4952</v>
      </c>
      <c r="J26" s="52">
        <v>2011</v>
      </c>
      <c r="K26" s="52">
        <v>6963</v>
      </c>
      <c r="L26" s="52">
        <v>14680</v>
      </c>
      <c r="M26" s="52">
        <v>3472</v>
      </c>
      <c r="N26" s="52">
        <v>18152</v>
      </c>
      <c r="O26" s="52">
        <v>7239</v>
      </c>
      <c r="P26" s="52">
        <v>1877</v>
      </c>
      <c r="Q26" s="52">
        <v>9116</v>
      </c>
      <c r="R26" s="52">
        <v>-1</v>
      </c>
      <c r="S26" s="52">
        <v>1554</v>
      </c>
      <c r="T26" s="52">
        <v>1553</v>
      </c>
      <c r="U26" s="86">
        <v>-16</v>
      </c>
      <c r="V26" s="86">
        <v>0</v>
      </c>
      <c r="W26" s="52">
        <v>-16</v>
      </c>
      <c r="X26" s="52">
        <v>-29</v>
      </c>
      <c r="Y26" s="52">
        <v>0</v>
      </c>
      <c r="Z26" s="52">
        <v>-29</v>
      </c>
      <c r="AA26" s="54">
        <v>-40</v>
      </c>
      <c r="AB26" s="54">
        <v>0</v>
      </c>
      <c r="AC26" s="52">
        <v>-40</v>
      </c>
      <c r="AD26" s="52">
        <v>-4</v>
      </c>
      <c r="AE26" s="52">
        <v>0</v>
      </c>
      <c r="AF26" s="52">
        <v>-4</v>
      </c>
      <c r="AG26" s="52">
        <v>-30</v>
      </c>
      <c r="AH26" s="52">
        <v>0</v>
      </c>
      <c r="AI26" s="52">
        <v>-30</v>
      </c>
      <c r="AJ26" s="52">
        <v>0</v>
      </c>
      <c r="AK26" s="52">
        <v>0</v>
      </c>
      <c r="AL26" s="52">
        <v>0</v>
      </c>
      <c r="AM26" s="52">
        <v>-164</v>
      </c>
      <c r="AN26" s="52">
        <v>0</v>
      </c>
      <c r="AO26" s="52">
        <v>-164</v>
      </c>
      <c r="AP26" s="52">
        <v>-77</v>
      </c>
      <c r="AQ26" s="52">
        <v>0</v>
      </c>
      <c r="AR26" s="52">
        <v>-77</v>
      </c>
      <c r="AS26" s="52">
        <v>-71</v>
      </c>
      <c r="AT26" s="52">
        <v>0</v>
      </c>
      <c r="AU26" s="52">
        <v>-71</v>
      </c>
      <c r="AV26" s="52">
        <v>0</v>
      </c>
      <c r="AW26" s="52">
        <v>0</v>
      </c>
      <c r="AX26" s="52">
        <v>0</v>
      </c>
      <c r="AY26" s="52">
        <v>-74</v>
      </c>
      <c r="AZ26" s="52">
        <v>0</v>
      </c>
      <c r="BA26" s="52">
        <v>-74</v>
      </c>
      <c r="BB26" s="52">
        <v>-48</v>
      </c>
      <c r="BC26" s="52">
        <v>0</v>
      </c>
      <c r="BD26" s="52">
        <v>-48</v>
      </c>
      <c r="BE26" s="52">
        <v>-32</v>
      </c>
      <c r="BF26" s="52">
        <v>0</v>
      </c>
      <c r="BG26" s="52">
        <v>-32</v>
      </c>
      <c r="BW26" s="52">
        <f t="shared" si="0"/>
        <v>-466</v>
      </c>
      <c r="BX26" s="52">
        <f t="shared" si="1"/>
        <v>0</v>
      </c>
      <c r="BY26" s="314">
        <f t="shared" si="2"/>
        <v>0</v>
      </c>
      <c r="CC26" s="52">
        <f t="shared" si="3"/>
        <v>33583</v>
      </c>
    </row>
    <row r="27" spans="1:81" x14ac:dyDescent="0.2">
      <c r="A27" s="52" t="s">
        <v>181</v>
      </c>
      <c r="B27" s="52">
        <v>13104</v>
      </c>
      <c r="C27" s="52">
        <v>-53</v>
      </c>
      <c r="D27" s="52">
        <v>1447</v>
      </c>
      <c r="E27" s="52">
        <v>1394</v>
      </c>
      <c r="F27" s="52">
        <v>2965</v>
      </c>
      <c r="G27" s="52">
        <v>2509</v>
      </c>
      <c r="H27" s="52">
        <v>5474</v>
      </c>
      <c r="I27" s="52">
        <v>6267</v>
      </c>
      <c r="J27" s="52">
        <v>2754</v>
      </c>
      <c r="K27" s="52">
        <v>9021</v>
      </c>
      <c r="L27" s="52">
        <v>7022</v>
      </c>
      <c r="M27" s="52">
        <v>1951</v>
      </c>
      <c r="N27" s="52">
        <v>8973</v>
      </c>
      <c r="O27" s="52">
        <v>8978</v>
      </c>
      <c r="P27" s="52">
        <v>2243</v>
      </c>
      <c r="Q27" s="52">
        <v>11221</v>
      </c>
      <c r="R27" s="52">
        <v>681</v>
      </c>
      <c r="S27" s="52">
        <v>1418</v>
      </c>
      <c r="T27" s="52">
        <v>2099</v>
      </c>
      <c r="U27" s="86">
        <v>-56</v>
      </c>
      <c r="V27" s="86">
        <v>0</v>
      </c>
      <c r="W27" s="52">
        <v>-56</v>
      </c>
      <c r="X27" s="52">
        <v>-43</v>
      </c>
      <c r="Y27" s="52">
        <v>0</v>
      </c>
      <c r="Z27" s="52">
        <v>-43</v>
      </c>
      <c r="AA27" s="54">
        <v>-45</v>
      </c>
      <c r="AB27" s="54">
        <v>0</v>
      </c>
      <c r="AC27" s="52">
        <v>-45</v>
      </c>
      <c r="AD27" s="52">
        <v>0</v>
      </c>
      <c r="AE27" s="52">
        <v>0</v>
      </c>
      <c r="AF27" s="52">
        <v>0</v>
      </c>
      <c r="AG27" s="52">
        <v>-72</v>
      </c>
      <c r="AH27" s="52">
        <v>0</v>
      </c>
      <c r="AI27" s="52">
        <v>-72</v>
      </c>
      <c r="AJ27" s="52">
        <v>0</v>
      </c>
      <c r="AK27" s="52">
        <v>0</v>
      </c>
      <c r="AL27" s="52">
        <v>0</v>
      </c>
      <c r="AM27" s="52">
        <v>-237</v>
      </c>
      <c r="AN27" s="52">
        <v>0</v>
      </c>
      <c r="AO27" s="52">
        <v>-237</v>
      </c>
      <c r="AP27" s="52">
        <v>-10</v>
      </c>
      <c r="AQ27" s="52">
        <v>0</v>
      </c>
      <c r="AR27" s="52">
        <v>-10</v>
      </c>
      <c r="AS27" s="52">
        <v>-69</v>
      </c>
      <c r="AT27" s="52">
        <v>0</v>
      </c>
      <c r="AU27" s="52">
        <v>-69</v>
      </c>
      <c r="AV27" s="52">
        <v>-1</v>
      </c>
      <c r="AW27" s="52">
        <v>0</v>
      </c>
      <c r="AX27" s="52">
        <v>-1</v>
      </c>
      <c r="AY27" s="52">
        <v>-4</v>
      </c>
      <c r="AZ27" s="52">
        <v>0</v>
      </c>
      <c r="BA27" s="52">
        <v>-4</v>
      </c>
      <c r="BB27" s="52">
        <v>-18</v>
      </c>
      <c r="BC27" s="52">
        <v>0</v>
      </c>
      <c r="BD27" s="52">
        <v>-18</v>
      </c>
      <c r="BE27" s="52">
        <v>-8</v>
      </c>
      <c r="BF27" s="52">
        <v>0</v>
      </c>
      <c r="BG27" s="52">
        <v>-8</v>
      </c>
      <c r="BW27" s="52">
        <f t="shared" si="0"/>
        <v>-347</v>
      </c>
      <c r="BX27" s="52">
        <f t="shared" si="1"/>
        <v>0</v>
      </c>
      <c r="BY27" s="314">
        <f t="shared" si="2"/>
        <v>0</v>
      </c>
      <c r="CC27" s="52">
        <f t="shared" si="3"/>
        <v>25644</v>
      </c>
    </row>
    <row r="28" spans="1:81" x14ac:dyDescent="0.2">
      <c r="A28" s="52" t="s">
        <v>182</v>
      </c>
      <c r="B28" s="52">
        <v>13101</v>
      </c>
      <c r="C28" s="52">
        <v>-138</v>
      </c>
      <c r="D28" s="52">
        <v>732</v>
      </c>
      <c r="E28" s="52">
        <v>594</v>
      </c>
      <c r="F28" s="52">
        <v>4722</v>
      </c>
      <c r="G28" s="52">
        <v>2369</v>
      </c>
      <c r="H28" s="52">
        <v>7091</v>
      </c>
      <c r="I28" s="52">
        <v>7266</v>
      </c>
      <c r="J28" s="52">
        <v>2710</v>
      </c>
      <c r="K28" s="52">
        <v>9976</v>
      </c>
      <c r="L28" s="52">
        <v>9954</v>
      </c>
      <c r="M28" s="52">
        <v>2299</v>
      </c>
      <c r="N28" s="52">
        <v>12253</v>
      </c>
      <c r="O28" s="52">
        <v>6447</v>
      </c>
      <c r="P28" s="52">
        <v>488</v>
      </c>
      <c r="Q28" s="52">
        <v>6935</v>
      </c>
      <c r="R28" s="52">
        <v>6017</v>
      </c>
      <c r="S28" s="52">
        <v>1527</v>
      </c>
      <c r="T28" s="52">
        <v>7544</v>
      </c>
      <c r="U28" s="86">
        <v>-101</v>
      </c>
      <c r="V28" s="86">
        <v>0</v>
      </c>
      <c r="W28" s="52">
        <v>-101</v>
      </c>
      <c r="X28" s="52">
        <v>-69</v>
      </c>
      <c r="Y28" s="52">
        <v>0</v>
      </c>
      <c r="Z28" s="52">
        <v>-69</v>
      </c>
      <c r="AA28" s="54">
        <v>-8</v>
      </c>
      <c r="AB28" s="54">
        <v>0</v>
      </c>
      <c r="AC28" s="52">
        <v>-8</v>
      </c>
      <c r="AD28" s="52">
        <v>-2</v>
      </c>
      <c r="AE28" s="52">
        <v>0</v>
      </c>
      <c r="AF28" s="52">
        <v>-2</v>
      </c>
      <c r="AG28" s="52">
        <v>-33</v>
      </c>
      <c r="AH28" s="52">
        <v>0</v>
      </c>
      <c r="AI28" s="52">
        <v>-33</v>
      </c>
      <c r="AJ28" s="52">
        <v>0</v>
      </c>
      <c r="AK28" s="52">
        <v>0</v>
      </c>
      <c r="AL28" s="52">
        <v>0</v>
      </c>
      <c r="AM28" s="52">
        <v>-46</v>
      </c>
      <c r="AN28" s="52">
        <v>0</v>
      </c>
      <c r="AO28" s="52">
        <v>-46</v>
      </c>
      <c r="AP28" s="52">
        <v>-39</v>
      </c>
      <c r="AQ28" s="52">
        <v>0</v>
      </c>
      <c r="AR28" s="52">
        <v>-39</v>
      </c>
      <c r="AS28" s="52">
        <v>-101</v>
      </c>
      <c r="AT28" s="52">
        <v>0</v>
      </c>
      <c r="AU28" s="52">
        <v>-101</v>
      </c>
      <c r="AV28" s="52">
        <v>-1</v>
      </c>
      <c r="AW28" s="52">
        <v>0</v>
      </c>
      <c r="AX28" s="52">
        <v>-1</v>
      </c>
      <c r="AY28" s="52">
        <v>0</v>
      </c>
      <c r="AZ28" s="52">
        <v>0</v>
      </c>
      <c r="BA28" s="52">
        <v>0</v>
      </c>
      <c r="BB28" s="52">
        <v>-3</v>
      </c>
      <c r="BC28" s="52">
        <v>0</v>
      </c>
      <c r="BD28" s="52">
        <v>-3</v>
      </c>
      <c r="BE28" s="52">
        <v>-34</v>
      </c>
      <c r="BF28" s="52">
        <v>0</v>
      </c>
      <c r="BG28" s="52">
        <v>-34</v>
      </c>
      <c r="BW28" s="52">
        <f t="shared" si="0"/>
        <v>-224</v>
      </c>
      <c r="BX28" s="52">
        <f t="shared" si="1"/>
        <v>0</v>
      </c>
      <c r="BY28" s="314">
        <f t="shared" si="2"/>
        <v>0</v>
      </c>
      <c r="CC28" s="52">
        <f t="shared" si="3"/>
        <v>34055</v>
      </c>
    </row>
    <row r="29" spans="1:81" x14ac:dyDescent="0.2">
      <c r="A29" s="52" t="s">
        <v>183</v>
      </c>
      <c r="B29" s="52">
        <v>13096</v>
      </c>
      <c r="C29" s="52">
        <v>-309</v>
      </c>
      <c r="D29" s="52">
        <v>406</v>
      </c>
      <c r="E29" s="52">
        <v>97</v>
      </c>
      <c r="F29" s="52">
        <v>1024</v>
      </c>
      <c r="G29" s="52">
        <v>663</v>
      </c>
      <c r="H29" s="52">
        <v>1687</v>
      </c>
      <c r="I29" s="52">
        <v>604</v>
      </c>
      <c r="J29" s="52">
        <v>426</v>
      </c>
      <c r="K29" s="52">
        <v>1030</v>
      </c>
      <c r="L29" s="52">
        <v>2257</v>
      </c>
      <c r="M29" s="52">
        <v>2377</v>
      </c>
      <c r="N29" s="52">
        <v>4634</v>
      </c>
      <c r="O29" s="52">
        <v>1861</v>
      </c>
      <c r="P29" s="52">
        <v>643</v>
      </c>
      <c r="Q29" s="52">
        <v>2504</v>
      </c>
      <c r="R29" s="52">
        <v>6054</v>
      </c>
      <c r="S29" s="52">
        <v>845</v>
      </c>
      <c r="T29" s="52">
        <v>6899</v>
      </c>
      <c r="U29" s="86">
        <v>-37</v>
      </c>
      <c r="V29" s="86">
        <v>0</v>
      </c>
      <c r="W29" s="52">
        <v>-37</v>
      </c>
      <c r="X29" s="52">
        <v>-81</v>
      </c>
      <c r="Y29" s="52">
        <v>0</v>
      </c>
      <c r="Z29" s="52">
        <v>-81</v>
      </c>
      <c r="AA29" s="54">
        <v>-16</v>
      </c>
      <c r="AB29" s="54">
        <v>0</v>
      </c>
      <c r="AC29" s="52">
        <v>-16</v>
      </c>
      <c r="AD29" s="52">
        <v>-36</v>
      </c>
      <c r="AE29" s="52">
        <v>0</v>
      </c>
      <c r="AF29" s="52">
        <v>-36</v>
      </c>
      <c r="AG29" s="52">
        <v>-33</v>
      </c>
      <c r="AH29" s="52">
        <v>0</v>
      </c>
      <c r="AI29" s="52">
        <v>-33</v>
      </c>
      <c r="AJ29" s="52">
        <v>0</v>
      </c>
      <c r="AK29" s="52">
        <v>0</v>
      </c>
      <c r="AL29" s="52">
        <v>0</v>
      </c>
      <c r="AM29" s="52">
        <v>-133</v>
      </c>
      <c r="AN29" s="52">
        <v>0</v>
      </c>
      <c r="AO29" s="52">
        <v>-133</v>
      </c>
      <c r="AP29" s="52">
        <v>-34</v>
      </c>
      <c r="AQ29" s="52">
        <v>0</v>
      </c>
      <c r="AR29" s="52">
        <v>-34</v>
      </c>
      <c r="AS29" s="52">
        <v>-179</v>
      </c>
      <c r="AT29" s="52">
        <v>0</v>
      </c>
      <c r="AU29" s="52">
        <v>-179</v>
      </c>
      <c r="AV29" s="52">
        <v>-183</v>
      </c>
      <c r="AW29" s="52">
        <v>0</v>
      </c>
      <c r="AX29" s="52">
        <v>-183</v>
      </c>
      <c r="AY29" s="52">
        <v>-10</v>
      </c>
      <c r="AZ29" s="52">
        <v>0</v>
      </c>
      <c r="BA29" s="52">
        <v>-10</v>
      </c>
      <c r="BB29" s="52">
        <v>0</v>
      </c>
      <c r="BC29" s="52">
        <v>0</v>
      </c>
      <c r="BD29" s="52">
        <v>0</v>
      </c>
      <c r="BE29" s="52">
        <v>-9</v>
      </c>
      <c r="BF29" s="52">
        <v>0</v>
      </c>
      <c r="BG29" s="52">
        <v>-9</v>
      </c>
      <c r="BW29" s="52">
        <f t="shared" si="0"/>
        <v>-548</v>
      </c>
      <c r="BX29" s="52">
        <f t="shared" si="1"/>
        <v>0</v>
      </c>
      <c r="BY29" s="314">
        <f t="shared" si="2"/>
        <v>0</v>
      </c>
      <c r="CC29" s="52">
        <f t="shared" si="3"/>
        <v>11288</v>
      </c>
    </row>
    <row r="30" spans="1:81" x14ac:dyDescent="0.2">
      <c r="A30" s="52" t="s">
        <v>184</v>
      </c>
      <c r="B30" s="52">
        <v>13099</v>
      </c>
      <c r="C30" s="52">
        <v>-1</v>
      </c>
      <c r="D30" s="52">
        <v>807</v>
      </c>
      <c r="E30" s="52">
        <v>806</v>
      </c>
      <c r="F30" s="52">
        <v>4978</v>
      </c>
      <c r="G30" s="52">
        <v>1194</v>
      </c>
      <c r="H30" s="52">
        <v>6172</v>
      </c>
      <c r="I30" s="52">
        <v>757</v>
      </c>
      <c r="J30" s="52">
        <v>882</v>
      </c>
      <c r="K30" s="52">
        <v>1639</v>
      </c>
      <c r="L30" s="52">
        <v>9945</v>
      </c>
      <c r="M30" s="52">
        <v>1527</v>
      </c>
      <c r="N30" s="52">
        <v>11472</v>
      </c>
      <c r="O30" s="52">
        <v>5892</v>
      </c>
      <c r="P30" s="52">
        <v>1950</v>
      </c>
      <c r="Q30" s="52">
        <v>7842</v>
      </c>
      <c r="R30" s="52">
        <v>288</v>
      </c>
      <c r="S30" s="52">
        <v>1783</v>
      </c>
      <c r="T30" s="52">
        <v>2071</v>
      </c>
      <c r="U30" s="86">
        <v>0</v>
      </c>
      <c r="V30" s="86">
        <v>0</v>
      </c>
      <c r="W30" s="52">
        <v>0</v>
      </c>
      <c r="X30" s="52">
        <v>-27</v>
      </c>
      <c r="Y30" s="52">
        <v>0</v>
      </c>
      <c r="Z30" s="52">
        <v>-27</v>
      </c>
      <c r="AA30" s="54">
        <v>-32</v>
      </c>
      <c r="AB30" s="54">
        <v>0</v>
      </c>
      <c r="AC30" s="52">
        <v>-32</v>
      </c>
      <c r="AD30" s="52">
        <v>-30</v>
      </c>
      <c r="AE30" s="52">
        <v>0</v>
      </c>
      <c r="AF30" s="52">
        <v>-30</v>
      </c>
      <c r="AG30" s="52">
        <v>-39</v>
      </c>
      <c r="AH30" s="52">
        <v>0</v>
      </c>
      <c r="AI30" s="52">
        <v>-39</v>
      </c>
      <c r="AJ30" s="52">
        <v>0</v>
      </c>
      <c r="AK30" s="52">
        <v>0</v>
      </c>
      <c r="AL30" s="52">
        <v>0</v>
      </c>
      <c r="AM30" s="52">
        <v>-348</v>
      </c>
      <c r="AN30" s="52">
        <v>0</v>
      </c>
      <c r="AO30" s="52">
        <v>-348</v>
      </c>
      <c r="AP30" s="52">
        <v>-21</v>
      </c>
      <c r="AQ30" s="52">
        <v>0</v>
      </c>
      <c r="AR30" s="52">
        <v>-21</v>
      </c>
      <c r="AS30" s="52">
        <v>-99</v>
      </c>
      <c r="AT30" s="52">
        <v>0</v>
      </c>
      <c r="AU30" s="52">
        <v>-99</v>
      </c>
      <c r="AV30" s="52">
        <v>-26</v>
      </c>
      <c r="AW30" s="52">
        <v>0</v>
      </c>
      <c r="AX30" s="52">
        <v>-26</v>
      </c>
      <c r="AY30" s="52">
        <v>-2</v>
      </c>
      <c r="AZ30" s="52">
        <v>0</v>
      </c>
      <c r="BA30" s="52">
        <v>-2</v>
      </c>
      <c r="BB30" s="52">
        <v>-1</v>
      </c>
      <c r="BC30" s="52">
        <v>0</v>
      </c>
      <c r="BD30" s="52">
        <v>-1</v>
      </c>
      <c r="BE30" s="52">
        <v>-14</v>
      </c>
      <c r="BF30" s="52">
        <v>0</v>
      </c>
      <c r="BG30" s="52">
        <v>-14</v>
      </c>
      <c r="BW30" s="52">
        <f t="shared" si="0"/>
        <v>-511</v>
      </c>
      <c r="BX30" s="52">
        <f t="shared" si="1"/>
        <v>0</v>
      </c>
      <c r="BY30" s="314">
        <f t="shared" si="2"/>
        <v>0</v>
      </c>
      <c r="CC30" s="52">
        <f t="shared" si="3"/>
        <v>21731</v>
      </c>
    </row>
    <row r="31" spans="1:81" x14ac:dyDescent="0.2">
      <c r="A31" s="52" t="s">
        <v>185</v>
      </c>
      <c r="B31" s="52">
        <v>13105</v>
      </c>
      <c r="C31" s="52">
        <v>567</v>
      </c>
      <c r="D31" s="52">
        <v>553</v>
      </c>
      <c r="E31" s="52">
        <v>1120</v>
      </c>
      <c r="F31" s="52">
        <v>4540</v>
      </c>
      <c r="G31" s="52">
        <v>1147</v>
      </c>
      <c r="H31" s="52">
        <v>5687</v>
      </c>
      <c r="I31" s="52">
        <v>835</v>
      </c>
      <c r="J31" s="52">
        <v>712</v>
      </c>
      <c r="K31" s="52">
        <v>1547</v>
      </c>
      <c r="L31" s="52">
        <v>7751</v>
      </c>
      <c r="M31" s="52">
        <v>1221</v>
      </c>
      <c r="N31" s="52">
        <v>8972</v>
      </c>
      <c r="O31" s="52">
        <v>3699</v>
      </c>
      <c r="P31" s="52">
        <v>1267</v>
      </c>
      <c r="Q31" s="52">
        <v>4966</v>
      </c>
      <c r="R31" s="52">
        <v>2513</v>
      </c>
      <c r="S31" s="52">
        <v>2517</v>
      </c>
      <c r="T31" s="52">
        <v>5030</v>
      </c>
      <c r="U31" s="86">
        <v>-95</v>
      </c>
      <c r="V31" s="86">
        <v>0</v>
      </c>
      <c r="W31" s="52">
        <v>-95</v>
      </c>
      <c r="X31" s="52">
        <v>-4</v>
      </c>
      <c r="Y31" s="52">
        <v>0</v>
      </c>
      <c r="Z31" s="52">
        <v>-4</v>
      </c>
      <c r="AA31" s="54">
        <v>-43</v>
      </c>
      <c r="AB31" s="54">
        <v>0</v>
      </c>
      <c r="AC31" s="52">
        <v>-43</v>
      </c>
      <c r="AD31" s="52">
        <v>-21</v>
      </c>
      <c r="AE31" s="52">
        <v>0</v>
      </c>
      <c r="AF31" s="52">
        <v>-21</v>
      </c>
      <c r="AG31" s="52">
        <v>-20</v>
      </c>
      <c r="AH31" s="52">
        <v>0</v>
      </c>
      <c r="AI31" s="52">
        <v>-20</v>
      </c>
      <c r="AJ31" s="52">
        <v>0</v>
      </c>
      <c r="AK31" s="52">
        <v>0</v>
      </c>
      <c r="AL31" s="52">
        <v>0</v>
      </c>
      <c r="AM31" s="52">
        <v>-18</v>
      </c>
      <c r="AN31" s="52">
        <v>0</v>
      </c>
      <c r="AO31" s="52">
        <v>-18</v>
      </c>
      <c r="AP31" s="52">
        <v>-507</v>
      </c>
      <c r="AQ31" s="52">
        <v>0</v>
      </c>
      <c r="AR31" s="52">
        <v>-507</v>
      </c>
      <c r="AS31" s="52">
        <v>-42</v>
      </c>
      <c r="AT31" s="52">
        <v>0</v>
      </c>
      <c r="AU31" s="52">
        <v>-42</v>
      </c>
      <c r="AV31" s="52">
        <v>-30</v>
      </c>
      <c r="AW31" s="52">
        <v>0</v>
      </c>
      <c r="AX31" s="52">
        <v>-30</v>
      </c>
      <c r="AY31" s="52">
        <v>-11</v>
      </c>
      <c r="AZ31" s="52">
        <v>0</v>
      </c>
      <c r="BA31" s="52">
        <v>-11</v>
      </c>
      <c r="BB31" s="52">
        <v>-1</v>
      </c>
      <c r="BC31" s="52">
        <v>0</v>
      </c>
      <c r="BD31" s="52">
        <v>-1</v>
      </c>
      <c r="BE31" s="52">
        <v>-4</v>
      </c>
      <c r="BF31" s="52">
        <v>0</v>
      </c>
      <c r="BG31" s="52">
        <v>-4</v>
      </c>
      <c r="BW31" s="52">
        <f t="shared" si="0"/>
        <v>-613</v>
      </c>
      <c r="BX31" s="52">
        <f t="shared" si="1"/>
        <v>0</v>
      </c>
      <c r="BY31" s="314">
        <f t="shared" si="2"/>
        <v>0</v>
      </c>
      <c r="CC31" s="52">
        <f t="shared" si="3"/>
        <v>19722</v>
      </c>
    </row>
    <row r="32" spans="1:81" x14ac:dyDescent="0.2">
      <c r="A32" s="52" t="s">
        <v>186</v>
      </c>
      <c r="B32" s="52">
        <v>13102</v>
      </c>
      <c r="C32" s="52">
        <v>-2</v>
      </c>
      <c r="D32" s="52">
        <v>515</v>
      </c>
      <c r="E32" s="52">
        <v>513</v>
      </c>
      <c r="F32" s="52">
        <v>1888</v>
      </c>
      <c r="G32" s="52">
        <v>1489</v>
      </c>
      <c r="H32" s="52">
        <v>3377</v>
      </c>
      <c r="I32" s="52">
        <v>2733</v>
      </c>
      <c r="J32" s="52">
        <v>783</v>
      </c>
      <c r="K32" s="52">
        <v>3516</v>
      </c>
      <c r="L32" s="52">
        <v>4499</v>
      </c>
      <c r="M32" s="52">
        <v>1285</v>
      </c>
      <c r="N32" s="52">
        <v>5784</v>
      </c>
      <c r="O32" s="52">
        <v>6197</v>
      </c>
      <c r="P32" s="52">
        <v>712</v>
      </c>
      <c r="Q32" s="52">
        <v>6909</v>
      </c>
      <c r="R32" s="52">
        <v>6276</v>
      </c>
      <c r="S32" s="52">
        <v>1699</v>
      </c>
      <c r="T32" s="52">
        <v>7975</v>
      </c>
      <c r="U32" s="86">
        <v>-51</v>
      </c>
      <c r="V32" s="86">
        <v>0</v>
      </c>
      <c r="W32" s="52">
        <v>-51</v>
      </c>
      <c r="X32" s="52">
        <v>-10</v>
      </c>
      <c r="Y32" s="52">
        <v>0</v>
      </c>
      <c r="Z32" s="52">
        <v>-10</v>
      </c>
      <c r="AA32" s="54">
        <v>-55</v>
      </c>
      <c r="AB32" s="54">
        <v>0</v>
      </c>
      <c r="AC32" s="52">
        <v>-55</v>
      </c>
      <c r="AD32" s="52">
        <v>-31</v>
      </c>
      <c r="AE32" s="52">
        <v>0</v>
      </c>
      <c r="AF32" s="52">
        <v>-31</v>
      </c>
      <c r="AG32" s="52">
        <v>-40</v>
      </c>
      <c r="AH32" s="52">
        <v>0</v>
      </c>
      <c r="AI32" s="52">
        <v>-40</v>
      </c>
      <c r="AJ32" s="52">
        <v>0</v>
      </c>
      <c r="AK32" s="52">
        <v>0</v>
      </c>
      <c r="AL32" s="52">
        <v>0</v>
      </c>
      <c r="AM32" s="52">
        <v>-15</v>
      </c>
      <c r="AN32" s="52">
        <v>0</v>
      </c>
      <c r="AO32" s="52">
        <v>-15</v>
      </c>
      <c r="AP32" s="52">
        <v>-367</v>
      </c>
      <c r="AQ32" s="52">
        <v>0</v>
      </c>
      <c r="AR32" s="52">
        <v>-367</v>
      </c>
      <c r="AS32" s="52">
        <v>-44</v>
      </c>
      <c r="AT32" s="52">
        <v>0</v>
      </c>
      <c r="AU32" s="52">
        <v>-44</v>
      </c>
      <c r="AV32" s="52">
        <v>-32</v>
      </c>
      <c r="AW32" s="52">
        <v>0</v>
      </c>
      <c r="AX32" s="52">
        <v>-32</v>
      </c>
      <c r="AY32" s="52">
        <v>-6</v>
      </c>
      <c r="AZ32" s="52">
        <v>0</v>
      </c>
      <c r="BA32" s="52">
        <v>-6</v>
      </c>
      <c r="BB32" s="52">
        <v>-1</v>
      </c>
      <c r="BC32" s="52">
        <v>0</v>
      </c>
      <c r="BD32" s="52">
        <v>-1</v>
      </c>
      <c r="BE32" s="52">
        <v>-3</v>
      </c>
      <c r="BF32" s="52">
        <v>0</v>
      </c>
      <c r="BG32" s="52">
        <v>-3</v>
      </c>
      <c r="BW32" s="52">
        <f t="shared" si="0"/>
        <v>-468</v>
      </c>
      <c r="BX32" s="52">
        <f t="shared" si="1"/>
        <v>0</v>
      </c>
      <c r="BY32" s="314">
        <f t="shared" si="2"/>
        <v>0</v>
      </c>
      <c r="CC32" s="52">
        <f t="shared" si="3"/>
        <v>21404</v>
      </c>
    </row>
    <row r="33" spans="1:81" x14ac:dyDescent="0.2">
      <c r="A33" s="52" t="s">
        <v>187</v>
      </c>
      <c r="B33" s="52">
        <v>13154</v>
      </c>
      <c r="C33" s="52">
        <v>0</v>
      </c>
      <c r="D33" s="52">
        <v>0</v>
      </c>
      <c r="E33" s="52">
        <v>0</v>
      </c>
      <c r="F33" s="52">
        <v>0</v>
      </c>
      <c r="G33" s="52">
        <v>0</v>
      </c>
      <c r="H33" s="52">
        <v>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v>0</v>
      </c>
      <c r="O33" s="52">
        <v>0</v>
      </c>
      <c r="P33" s="52">
        <v>0</v>
      </c>
      <c r="Q33" s="52">
        <v>0</v>
      </c>
      <c r="R33" s="52">
        <v>9065</v>
      </c>
      <c r="S33" s="52">
        <v>0</v>
      </c>
      <c r="T33" s="52">
        <v>9065</v>
      </c>
      <c r="U33" s="86">
        <v>10000</v>
      </c>
      <c r="V33" s="86">
        <v>353</v>
      </c>
      <c r="W33" s="52">
        <v>10353</v>
      </c>
      <c r="X33" s="52">
        <v>7500</v>
      </c>
      <c r="Y33" s="52">
        <v>2400</v>
      </c>
      <c r="Z33" s="52">
        <v>9900</v>
      </c>
      <c r="AA33" s="54">
        <v>2500</v>
      </c>
      <c r="AB33" s="54">
        <v>3843</v>
      </c>
      <c r="AC33" s="52">
        <v>6343</v>
      </c>
      <c r="AD33" s="52">
        <v>5000</v>
      </c>
      <c r="AE33" s="52">
        <v>305</v>
      </c>
      <c r="AF33" s="52">
        <v>5305</v>
      </c>
      <c r="AG33" s="52">
        <v>650</v>
      </c>
      <c r="AH33" s="52">
        <v>1981</v>
      </c>
      <c r="AI33" s="52">
        <v>2631</v>
      </c>
      <c r="AJ33" s="52">
        <v>0</v>
      </c>
      <c r="AK33" s="52">
        <v>1491</v>
      </c>
      <c r="AL33" s="52">
        <v>1491</v>
      </c>
      <c r="AM33" s="52">
        <v>0</v>
      </c>
      <c r="AN33" s="52">
        <v>716</v>
      </c>
      <c r="AO33" s="52">
        <v>716</v>
      </c>
      <c r="AP33" s="52">
        <v>-2</v>
      </c>
      <c r="AQ33" s="52">
        <v>728</v>
      </c>
      <c r="AR33" s="52">
        <v>726</v>
      </c>
      <c r="AS33" s="52">
        <v>2200</v>
      </c>
      <c r="AT33" s="52">
        <v>1379</v>
      </c>
      <c r="AU33" s="52">
        <v>3579</v>
      </c>
      <c r="AV33" s="52">
        <v>8400</v>
      </c>
      <c r="AW33" s="52">
        <v>1067</v>
      </c>
      <c r="AX33" s="52">
        <v>9467</v>
      </c>
      <c r="AY33" s="52">
        <v>3504</v>
      </c>
      <c r="AZ33" s="52">
        <v>1499</v>
      </c>
      <c r="BA33" s="52">
        <v>5003</v>
      </c>
      <c r="BB33" s="52">
        <v>1128</v>
      </c>
      <c r="BC33" s="52">
        <v>1291</v>
      </c>
      <c r="BD33" s="52">
        <v>2419</v>
      </c>
      <c r="BE33" s="52">
        <v>2856</v>
      </c>
      <c r="BF33" s="52">
        <v>1320</v>
      </c>
      <c r="BG33" s="52">
        <v>4176</v>
      </c>
      <c r="BW33" s="52">
        <f t="shared" si="0"/>
        <v>18086</v>
      </c>
      <c r="BX33" s="52">
        <f t="shared" si="1"/>
        <v>8000</v>
      </c>
      <c r="BY33" s="314">
        <f t="shared" si="2"/>
        <v>0.44233108481698552</v>
      </c>
      <c r="CC33" s="52">
        <f t="shared" si="3"/>
        <v>34715</v>
      </c>
    </row>
    <row r="34" spans="1:81" x14ac:dyDescent="0.2">
      <c r="A34" s="52" t="s">
        <v>188</v>
      </c>
      <c r="B34" s="52">
        <v>13152</v>
      </c>
      <c r="C34" s="52">
        <v>0</v>
      </c>
      <c r="D34" s="52">
        <v>0</v>
      </c>
      <c r="E34" s="52">
        <v>0</v>
      </c>
      <c r="F34" s="52">
        <v>0</v>
      </c>
      <c r="G34" s="52">
        <v>0</v>
      </c>
      <c r="H34" s="52">
        <v>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0</v>
      </c>
      <c r="P34" s="52">
        <v>0</v>
      </c>
      <c r="Q34" s="52">
        <v>0</v>
      </c>
      <c r="R34" s="52">
        <v>8963</v>
      </c>
      <c r="S34" s="52">
        <v>0</v>
      </c>
      <c r="T34" s="52">
        <v>8963</v>
      </c>
      <c r="U34" s="86">
        <v>5778</v>
      </c>
      <c r="V34" s="86">
        <v>2748</v>
      </c>
      <c r="W34" s="52">
        <v>8526</v>
      </c>
      <c r="X34" s="52">
        <v>5000</v>
      </c>
      <c r="Y34" s="52">
        <v>3772</v>
      </c>
      <c r="Z34" s="52">
        <v>8772</v>
      </c>
      <c r="AA34" s="54">
        <v>3500</v>
      </c>
      <c r="AB34" s="54">
        <v>3824</v>
      </c>
      <c r="AC34" s="52">
        <v>7324</v>
      </c>
      <c r="AD34" s="52">
        <v>3999</v>
      </c>
      <c r="AE34" s="52">
        <v>280</v>
      </c>
      <c r="AF34" s="52">
        <v>4279</v>
      </c>
      <c r="AG34" s="52">
        <v>1000</v>
      </c>
      <c r="AH34" s="52">
        <v>1007</v>
      </c>
      <c r="AI34" s="52">
        <v>2007</v>
      </c>
      <c r="AJ34" s="52">
        <v>0</v>
      </c>
      <c r="AK34" s="52">
        <v>1054</v>
      </c>
      <c r="AL34" s="52">
        <v>1054</v>
      </c>
      <c r="AM34" s="52">
        <v>0</v>
      </c>
      <c r="AN34" s="52">
        <v>575</v>
      </c>
      <c r="AO34" s="52">
        <v>575</v>
      </c>
      <c r="AP34" s="52">
        <v>0</v>
      </c>
      <c r="AQ34" s="52">
        <v>576</v>
      </c>
      <c r="AR34" s="52">
        <v>576</v>
      </c>
      <c r="AS34" s="52">
        <v>2200</v>
      </c>
      <c r="AT34" s="52">
        <v>1341</v>
      </c>
      <c r="AU34" s="52">
        <v>3541</v>
      </c>
      <c r="AV34" s="52">
        <v>8108</v>
      </c>
      <c r="AW34" s="52">
        <v>1184</v>
      </c>
      <c r="AX34" s="52">
        <v>9292</v>
      </c>
      <c r="AY34" s="52">
        <v>4368</v>
      </c>
      <c r="AZ34" s="52">
        <v>1342</v>
      </c>
      <c r="BA34" s="52">
        <v>5710</v>
      </c>
      <c r="BB34" s="52">
        <v>792</v>
      </c>
      <c r="BC34" s="52">
        <v>1194</v>
      </c>
      <c r="BD34" s="52">
        <v>1986</v>
      </c>
      <c r="BE34" s="52">
        <v>2232</v>
      </c>
      <c r="BF34" s="52">
        <v>1207</v>
      </c>
      <c r="BG34" s="52">
        <v>3439</v>
      </c>
      <c r="BW34" s="52">
        <f t="shared" si="0"/>
        <v>17700</v>
      </c>
      <c r="BX34" s="52">
        <f t="shared" si="1"/>
        <v>7419</v>
      </c>
      <c r="BY34" s="314">
        <f t="shared" si="2"/>
        <v>0.41915254237288135</v>
      </c>
      <c r="CC34" s="52">
        <f t="shared" si="3"/>
        <v>28240</v>
      </c>
    </row>
    <row r="35" spans="1:81" x14ac:dyDescent="0.2">
      <c r="A35" s="52" t="s">
        <v>189</v>
      </c>
      <c r="B35" s="52">
        <v>13155</v>
      </c>
      <c r="C35" s="52">
        <v>0</v>
      </c>
      <c r="D35" s="52">
        <v>0</v>
      </c>
      <c r="E35" s="52">
        <v>0</v>
      </c>
      <c r="F35" s="52">
        <v>0</v>
      </c>
      <c r="G35" s="52">
        <v>0</v>
      </c>
      <c r="H35" s="52">
        <v>0</v>
      </c>
      <c r="I35" s="52">
        <v>0</v>
      </c>
      <c r="J35" s="52">
        <v>0</v>
      </c>
      <c r="K35" s="52">
        <v>0</v>
      </c>
      <c r="L35" s="52">
        <v>0</v>
      </c>
      <c r="M35" s="52">
        <v>0</v>
      </c>
      <c r="N35" s="52">
        <v>0</v>
      </c>
      <c r="O35" s="52">
        <v>0</v>
      </c>
      <c r="P35" s="52">
        <v>0</v>
      </c>
      <c r="Q35" s="52">
        <v>0</v>
      </c>
      <c r="R35" s="52">
        <v>9102</v>
      </c>
      <c r="S35" s="52">
        <v>0</v>
      </c>
      <c r="T35" s="52">
        <v>9102</v>
      </c>
      <c r="U35" s="86">
        <v>7524</v>
      </c>
      <c r="V35" s="86">
        <v>2762</v>
      </c>
      <c r="W35" s="52">
        <v>10286</v>
      </c>
      <c r="X35" s="52">
        <v>8500</v>
      </c>
      <c r="Y35" s="52">
        <v>846</v>
      </c>
      <c r="Z35" s="52">
        <v>9346</v>
      </c>
      <c r="AA35" s="54">
        <v>0</v>
      </c>
      <c r="AB35" s="54">
        <v>0</v>
      </c>
      <c r="AC35" s="52">
        <v>0</v>
      </c>
      <c r="AD35" s="52">
        <v>4500</v>
      </c>
      <c r="AE35" s="52">
        <v>358</v>
      </c>
      <c r="AF35" s="52">
        <v>4858</v>
      </c>
      <c r="AG35" s="52">
        <v>1000</v>
      </c>
      <c r="AH35" s="52">
        <v>1080</v>
      </c>
      <c r="AI35" s="52">
        <v>2080</v>
      </c>
      <c r="AJ35" s="52">
        <v>1400</v>
      </c>
      <c r="AK35" s="52">
        <v>1486</v>
      </c>
      <c r="AL35" s="52">
        <v>2886</v>
      </c>
      <c r="AM35" s="52">
        <v>0</v>
      </c>
      <c r="AN35" s="52">
        <v>552</v>
      </c>
      <c r="AO35" s="52">
        <v>552</v>
      </c>
      <c r="AP35" s="52">
        <v>0</v>
      </c>
      <c r="AQ35" s="52">
        <v>452</v>
      </c>
      <c r="AR35" s="52">
        <v>452</v>
      </c>
      <c r="AS35" s="52">
        <v>6099</v>
      </c>
      <c r="AT35" s="52">
        <v>1299</v>
      </c>
      <c r="AU35" s="52">
        <v>7398</v>
      </c>
      <c r="AV35" s="52">
        <v>8808</v>
      </c>
      <c r="AW35" s="52">
        <v>1052</v>
      </c>
      <c r="AX35" s="52">
        <v>9860</v>
      </c>
      <c r="AY35" s="52">
        <v>1511</v>
      </c>
      <c r="AZ35" s="52">
        <v>951</v>
      </c>
      <c r="BA35" s="52">
        <v>2462</v>
      </c>
      <c r="BB35" s="52">
        <v>0</v>
      </c>
      <c r="BC35" s="52">
        <v>934</v>
      </c>
      <c r="BD35" s="52">
        <v>934</v>
      </c>
      <c r="BE35" s="52">
        <v>672</v>
      </c>
      <c r="BF35" s="52">
        <v>1081</v>
      </c>
      <c r="BG35" s="52">
        <v>1753</v>
      </c>
      <c r="BW35" s="52">
        <f t="shared" si="0"/>
        <v>17090</v>
      </c>
      <c r="BX35" s="52">
        <f t="shared" si="1"/>
        <v>6321</v>
      </c>
      <c r="BY35" s="314">
        <f t="shared" si="2"/>
        <v>0.36986541837331771</v>
      </c>
      <c r="CC35" s="52">
        <f t="shared" si="3"/>
        <v>32026</v>
      </c>
    </row>
    <row r="36" spans="1:81" x14ac:dyDescent="0.2">
      <c r="A36" s="52" t="s">
        <v>190</v>
      </c>
      <c r="B36" s="52">
        <v>13153</v>
      </c>
      <c r="C36" s="52">
        <v>0</v>
      </c>
      <c r="D36" s="52">
        <v>0</v>
      </c>
      <c r="E36" s="52">
        <v>0</v>
      </c>
      <c r="F36" s="52">
        <v>0</v>
      </c>
      <c r="G36" s="52">
        <v>0</v>
      </c>
      <c r="H36" s="52">
        <v>0</v>
      </c>
      <c r="I36" s="52">
        <v>0</v>
      </c>
      <c r="J36" s="52">
        <v>0</v>
      </c>
      <c r="K36" s="52">
        <v>0</v>
      </c>
      <c r="L36" s="52">
        <v>0</v>
      </c>
      <c r="M36" s="52">
        <v>0</v>
      </c>
      <c r="N36" s="52">
        <v>0</v>
      </c>
      <c r="O36" s="52">
        <v>0</v>
      </c>
      <c r="P36" s="52">
        <v>0</v>
      </c>
      <c r="Q36" s="52">
        <v>0</v>
      </c>
      <c r="R36" s="52">
        <v>9084</v>
      </c>
      <c r="S36" s="52">
        <v>0</v>
      </c>
      <c r="T36" s="52">
        <v>9084</v>
      </c>
      <c r="U36" s="86">
        <v>9079</v>
      </c>
      <c r="V36" s="86">
        <v>4456</v>
      </c>
      <c r="W36" s="52">
        <v>13535</v>
      </c>
      <c r="X36" s="52">
        <v>0</v>
      </c>
      <c r="Y36" s="52">
        <v>1822</v>
      </c>
      <c r="Z36" s="52">
        <v>1822</v>
      </c>
      <c r="AA36" s="54">
        <v>8960</v>
      </c>
      <c r="AB36" s="54">
        <v>0</v>
      </c>
      <c r="AC36" s="52">
        <v>8960</v>
      </c>
      <c r="AD36" s="52">
        <v>6000</v>
      </c>
      <c r="AE36" s="52">
        <v>492</v>
      </c>
      <c r="AF36" s="52">
        <v>6492</v>
      </c>
      <c r="AG36" s="52">
        <v>1930</v>
      </c>
      <c r="AH36" s="52">
        <v>1205</v>
      </c>
      <c r="AI36" s="52">
        <v>3135</v>
      </c>
      <c r="AJ36" s="52">
        <v>0</v>
      </c>
      <c r="AK36" s="52">
        <v>1720</v>
      </c>
      <c r="AL36" s="52">
        <v>1720</v>
      </c>
      <c r="AM36" s="52">
        <v>0</v>
      </c>
      <c r="AN36" s="52">
        <v>428</v>
      </c>
      <c r="AO36" s="52">
        <v>428</v>
      </c>
      <c r="AP36" s="52">
        <v>0</v>
      </c>
      <c r="AQ36" s="52">
        <v>454</v>
      </c>
      <c r="AR36" s="52">
        <v>454</v>
      </c>
      <c r="AS36" s="52">
        <v>2970</v>
      </c>
      <c r="AT36" s="52">
        <v>1093</v>
      </c>
      <c r="AU36" s="52">
        <v>4063</v>
      </c>
      <c r="AV36" s="52">
        <v>7454</v>
      </c>
      <c r="AW36" s="52">
        <v>864</v>
      </c>
      <c r="AX36" s="52">
        <v>8318</v>
      </c>
      <c r="AY36" s="52">
        <v>1008</v>
      </c>
      <c r="AZ36" s="52">
        <v>944</v>
      </c>
      <c r="BA36" s="52">
        <v>1952</v>
      </c>
      <c r="BB36" s="52">
        <v>0</v>
      </c>
      <c r="BC36" s="52">
        <v>815</v>
      </c>
      <c r="BD36" s="52">
        <v>815</v>
      </c>
      <c r="BE36" s="52">
        <v>1368</v>
      </c>
      <c r="BF36" s="52">
        <v>1041</v>
      </c>
      <c r="BG36" s="52">
        <v>2409</v>
      </c>
      <c r="BW36" s="52">
        <f t="shared" si="0"/>
        <v>12800</v>
      </c>
      <c r="BX36" s="52">
        <f t="shared" si="1"/>
        <v>5639</v>
      </c>
      <c r="BY36" s="314">
        <f t="shared" si="2"/>
        <v>0.440546875</v>
      </c>
      <c r="CC36" s="52">
        <f t="shared" si="3"/>
        <v>35053</v>
      </c>
    </row>
    <row r="37" spans="1:81" x14ac:dyDescent="0.2">
      <c r="A37" s="52" t="s">
        <v>191</v>
      </c>
      <c r="B37" s="52">
        <v>13107</v>
      </c>
      <c r="C37" s="52">
        <v>286</v>
      </c>
      <c r="D37" s="52">
        <v>1870</v>
      </c>
      <c r="E37" s="52">
        <v>2156</v>
      </c>
      <c r="F37" s="52">
        <v>10312</v>
      </c>
      <c r="G37" s="52">
        <v>2629</v>
      </c>
      <c r="H37" s="52">
        <v>12941</v>
      </c>
      <c r="I37" s="52">
        <v>7108</v>
      </c>
      <c r="J37" s="52">
        <v>1962</v>
      </c>
      <c r="K37" s="52">
        <v>9070</v>
      </c>
      <c r="L37" s="52">
        <v>15999</v>
      </c>
      <c r="M37" s="52">
        <v>4389</v>
      </c>
      <c r="N37" s="52">
        <v>20388</v>
      </c>
      <c r="O37" s="52">
        <v>5795</v>
      </c>
      <c r="P37" s="52">
        <v>483</v>
      </c>
      <c r="Q37" s="52">
        <v>6278</v>
      </c>
      <c r="R37" s="52">
        <v>-11</v>
      </c>
      <c r="S37" s="52">
        <v>1707</v>
      </c>
      <c r="T37" s="52">
        <v>1696</v>
      </c>
      <c r="U37" s="86">
        <v>-13</v>
      </c>
      <c r="V37" s="86">
        <v>0</v>
      </c>
      <c r="W37" s="52">
        <v>-13</v>
      </c>
      <c r="X37" s="52">
        <v>-114</v>
      </c>
      <c r="Y37" s="52">
        <v>0</v>
      </c>
      <c r="Z37" s="52">
        <v>-114</v>
      </c>
      <c r="AA37" s="54">
        <v>-2</v>
      </c>
      <c r="AB37" s="54">
        <v>0</v>
      </c>
      <c r="AC37" s="52">
        <v>-2</v>
      </c>
      <c r="AD37" s="52">
        <v>-8</v>
      </c>
      <c r="AE37" s="52">
        <v>0</v>
      </c>
      <c r="AF37" s="52">
        <v>-8</v>
      </c>
      <c r="AG37" s="52">
        <v>0</v>
      </c>
      <c r="AH37" s="52">
        <v>0</v>
      </c>
      <c r="AI37" s="52">
        <v>0</v>
      </c>
      <c r="AJ37" s="52">
        <v>0</v>
      </c>
      <c r="AK37" s="52">
        <v>0</v>
      </c>
      <c r="AL37" s="52">
        <v>0</v>
      </c>
      <c r="AM37" s="52">
        <v>-1</v>
      </c>
      <c r="AN37" s="52">
        <v>0</v>
      </c>
      <c r="AO37" s="52">
        <v>-1</v>
      </c>
      <c r="AP37" s="52">
        <v>-1</v>
      </c>
      <c r="AQ37" s="52">
        <v>0</v>
      </c>
      <c r="AR37" s="52">
        <v>-1</v>
      </c>
      <c r="AS37" s="52">
        <v>-2</v>
      </c>
      <c r="AT37" s="52">
        <v>0</v>
      </c>
      <c r="AU37" s="52">
        <v>-2</v>
      </c>
      <c r="AV37" s="52">
        <v>-20</v>
      </c>
      <c r="AW37" s="52">
        <v>0</v>
      </c>
      <c r="AX37" s="52">
        <v>-20</v>
      </c>
      <c r="AY37" s="52">
        <v>0</v>
      </c>
      <c r="AZ37" s="52">
        <v>0</v>
      </c>
      <c r="BA37" s="52">
        <v>0</v>
      </c>
      <c r="BB37" s="52">
        <v>-60</v>
      </c>
      <c r="BC37" s="52">
        <v>0</v>
      </c>
      <c r="BD37" s="52">
        <v>-60</v>
      </c>
      <c r="BE37" s="52">
        <v>-2</v>
      </c>
      <c r="BF37" s="52">
        <v>0</v>
      </c>
      <c r="BG37" s="52">
        <v>-2</v>
      </c>
      <c r="BW37" s="52">
        <f t="shared" si="0"/>
        <v>-86</v>
      </c>
      <c r="BX37" s="52">
        <f t="shared" si="1"/>
        <v>0</v>
      </c>
      <c r="BY37" s="314">
        <f t="shared" si="2"/>
        <v>0</v>
      </c>
      <c r="CC37" s="52">
        <f t="shared" si="3"/>
        <v>39352</v>
      </c>
    </row>
    <row r="38" spans="1:81" x14ac:dyDescent="0.2">
      <c r="A38" s="52" t="s">
        <v>192</v>
      </c>
      <c r="B38" s="52">
        <v>13157</v>
      </c>
      <c r="C38" s="52">
        <v>0</v>
      </c>
      <c r="D38" s="52">
        <v>0</v>
      </c>
      <c r="E38" s="52">
        <v>0</v>
      </c>
      <c r="F38" s="52">
        <v>0</v>
      </c>
      <c r="G38" s="52">
        <v>0</v>
      </c>
      <c r="H38" s="52">
        <v>0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0</v>
      </c>
      <c r="P38" s="52">
        <v>0</v>
      </c>
      <c r="Q38" s="52">
        <v>0</v>
      </c>
      <c r="R38" s="52">
        <v>9086</v>
      </c>
      <c r="S38" s="52">
        <v>0</v>
      </c>
      <c r="T38" s="52">
        <v>9086</v>
      </c>
      <c r="U38" s="86">
        <v>0</v>
      </c>
      <c r="V38" s="86">
        <v>2678</v>
      </c>
      <c r="W38" s="52">
        <v>2678</v>
      </c>
      <c r="X38" s="52">
        <v>7500</v>
      </c>
      <c r="Y38" s="52">
        <v>2767</v>
      </c>
      <c r="Z38" s="52">
        <v>10267</v>
      </c>
      <c r="AA38" s="54">
        <v>5516</v>
      </c>
      <c r="AB38" s="54">
        <v>987</v>
      </c>
      <c r="AC38" s="52">
        <v>6503</v>
      </c>
      <c r="AD38" s="52">
        <v>4000</v>
      </c>
      <c r="AE38" s="52">
        <v>561</v>
      </c>
      <c r="AF38" s="52">
        <v>4561</v>
      </c>
      <c r="AG38" s="52">
        <v>2350</v>
      </c>
      <c r="AH38" s="52">
        <v>1273</v>
      </c>
      <c r="AI38" s="52">
        <v>3623</v>
      </c>
      <c r="AJ38" s="52">
        <v>0</v>
      </c>
      <c r="AK38" s="52">
        <v>1217</v>
      </c>
      <c r="AL38" s="52">
        <v>1217</v>
      </c>
      <c r="AM38" s="52">
        <v>0</v>
      </c>
      <c r="AN38" s="52">
        <v>675</v>
      </c>
      <c r="AO38" s="52">
        <v>675</v>
      </c>
      <c r="AP38" s="52">
        <v>0</v>
      </c>
      <c r="AQ38" s="52">
        <v>908</v>
      </c>
      <c r="AR38" s="52">
        <v>908</v>
      </c>
      <c r="AS38" s="52">
        <v>8500</v>
      </c>
      <c r="AT38" s="52">
        <v>1434</v>
      </c>
      <c r="AU38" s="52">
        <v>9934</v>
      </c>
      <c r="AV38" s="52">
        <v>7390</v>
      </c>
      <c r="AW38" s="52">
        <v>1016</v>
      </c>
      <c r="AX38" s="52">
        <v>8406</v>
      </c>
      <c r="AY38" s="52">
        <v>4980</v>
      </c>
      <c r="AZ38" s="52">
        <v>2023</v>
      </c>
      <c r="BA38" s="52">
        <v>7003</v>
      </c>
      <c r="BB38" s="52">
        <v>864</v>
      </c>
      <c r="BC38" s="52">
        <v>1213</v>
      </c>
      <c r="BD38" s="52">
        <v>2077</v>
      </c>
      <c r="BE38" s="52">
        <v>3070</v>
      </c>
      <c r="BF38" s="52">
        <v>1729</v>
      </c>
      <c r="BG38" s="52">
        <v>4799</v>
      </c>
      <c r="BW38" s="52">
        <f t="shared" si="0"/>
        <v>24804</v>
      </c>
      <c r="BX38" s="52">
        <f t="shared" si="1"/>
        <v>8998</v>
      </c>
      <c r="BY38" s="314">
        <f t="shared" si="2"/>
        <v>0.36276407031124014</v>
      </c>
      <c r="CC38" s="52">
        <f t="shared" si="3"/>
        <v>28452</v>
      </c>
    </row>
    <row r="39" spans="1:81" x14ac:dyDescent="0.2">
      <c r="A39" s="52" t="s">
        <v>193</v>
      </c>
      <c r="B39" s="52">
        <v>13066</v>
      </c>
      <c r="C39" s="52">
        <v>767</v>
      </c>
      <c r="D39" s="52">
        <v>355</v>
      </c>
      <c r="E39" s="52">
        <v>1122</v>
      </c>
      <c r="F39" s="52">
        <v>822</v>
      </c>
      <c r="G39" s="52">
        <v>483</v>
      </c>
      <c r="H39" s="52">
        <v>1305</v>
      </c>
      <c r="I39" s="52">
        <v>2782</v>
      </c>
      <c r="J39" s="52">
        <v>494</v>
      </c>
      <c r="K39" s="52">
        <v>3276</v>
      </c>
      <c r="L39" s="52">
        <v>3000</v>
      </c>
      <c r="M39" s="52">
        <v>927</v>
      </c>
      <c r="N39" s="52">
        <v>3927</v>
      </c>
      <c r="O39" s="52">
        <v>2700</v>
      </c>
      <c r="P39" s="52">
        <v>466</v>
      </c>
      <c r="Q39" s="52">
        <v>3166</v>
      </c>
      <c r="R39" s="52">
        <v>2000</v>
      </c>
      <c r="S39" s="52">
        <v>508</v>
      </c>
      <c r="T39" s="52">
        <v>2508</v>
      </c>
      <c r="U39" s="86">
        <v>2917</v>
      </c>
      <c r="V39" s="86">
        <v>538</v>
      </c>
      <c r="W39" s="52">
        <v>3455</v>
      </c>
      <c r="X39" s="52">
        <v>3331</v>
      </c>
      <c r="Y39" s="52">
        <v>633</v>
      </c>
      <c r="Z39" s="52">
        <v>3964</v>
      </c>
      <c r="AA39" s="54">
        <v>3213</v>
      </c>
      <c r="AB39" s="54">
        <v>668</v>
      </c>
      <c r="AC39" s="52">
        <v>3881</v>
      </c>
      <c r="AD39" s="52">
        <v>2969</v>
      </c>
      <c r="AE39" s="52">
        <v>602</v>
      </c>
      <c r="AF39" s="52">
        <v>3571</v>
      </c>
      <c r="AG39" s="52">
        <v>2524</v>
      </c>
      <c r="AH39" s="52">
        <v>578</v>
      </c>
      <c r="AI39" s="52">
        <v>3102</v>
      </c>
      <c r="AJ39" s="52">
        <v>2750</v>
      </c>
      <c r="AK39" s="52">
        <v>840</v>
      </c>
      <c r="AL39" s="52">
        <v>3590</v>
      </c>
      <c r="AM39" s="52">
        <v>2627</v>
      </c>
      <c r="AN39" s="52">
        <v>398</v>
      </c>
      <c r="AO39" s="52">
        <v>3025</v>
      </c>
      <c r="AP39" s="52">
        <v>4484</v>
      </c>
      <c r="AQ39" s="52">
        <v>409</v>
      </c>
      <c r="AR39" s="52">
        <v>4893</v>
      </c>
      <c r="AS39" s="52">
        <v>2974</v>
      </c>
      <c r="AT39" s="52">
        <v>431</v>
      </c>
      <c r="AU39" s="52">
        <v>3405</v>
      </c>
      <c r="AV39" s="52">
        <v>3626</v>
      </c>
      <c r="AW39" s="52">
        <v>481</v>
      </c>
      <c r="AX39" s="52">
        <v>4107</v>
      </c>
      <c r="AY39" s="52">
        <v>1610</v>
      </c>
      <c r="AZ39" s="52">
        <v>492</v>
      </c>
      <c r="BA39" s="52">
        <v>2102</v>
      </c>
      <c r="BB39" s="52">
        <v>6605</v>
      </c>
      <c r="BC39" s="52">
        <v>498</v>
      </c>
      <c r="BD39" s="52">
        <v>7103</v>
      </c>
      <c r="BE39" s="52">
        <v>4689</v>
      </c>
      <c r="BF39" s="52">
        <v>484</v>
      </c>
      <c r="BG39" s="52">
        <v>5173</v>
      </c>
      <c r="BW39" s="52">
        <f t="shared" si="0"/>
        <v>26615</v>
      </c>
      <c r="BX39" s="52">
        <f t="shared" si="1"/>
        <v>3193</v>
      </c>
      <c r="BY39" s="314">
        <f t="shared" si="2"/>
        <v>0.11996994176216419</v>
      </c>
      <c r="CC39" s="52">
        <f t="shared" si="3"/>
        <v>29775</v>
      </c>
    </row>
    <row r="40" spans="1:81" x14ac:dyDescent="0.2">
      <c r="A40" s="52" t="s">
        <v>194</v>
      </c>
      <c r="B40" s="52">
        <v>13011</v>
      </c>
      <c r="C40" s="52">
        <v>0</v>
      </c>
      <c r="D40" s="52">
        <v>0</v>
      </c>
      <c r="E40" s="52">
        <v>0</v>
      </c>
      <c r="F40" s="52">
        <v>-40</v>
      </c>
      <c r="G40" s="52">
        <v>0</v>
      </c>
      <c r="H40" s="52">
        <v>-40</v>
      </c>
      <c r="I40" s="52">
        <v>-240</v>
      </c>
      <c r="J40" s="52">
        <v>0</v>
      </c>
      <c r="K40" s="52">
        <v>-240</v>
      </c>
      <c r="L40" s="52">
        <v>-152</v>
      </c>
      <c r="M40" s="52">
        <v>0</v>
      </c>
      <c r="N40" s="52">
        <v>-152</v>
      </c>
      <c r="O40" s="52">
        <v>-30</v>
      </c>
      <c r="P40" s="52">
        <v>0</v>
      </c>
      <c r="Q40" s="52">
        <v>-30</v>
      </c>
      <c r="R40" s="52">
        <v>-12</v>
      </c>
      <c r="S40" s="52">
        <v>5</v>
      </c>
      <c r="T40" s="52">
        <v>-7</v>
      </c>
      <c r="U40" s="86">
        <v>-4</v>
      </c>
      <c r="V40" s="86">
        <v>0</v>
      </c>
      <c r="W40" s="52">
        <v>-4</v>
      </c>
      <c r="X40" s="52">
        <v>-1</v>
      </c>
      <c r="Y40" s="52">
        <v>0</v>
      </c>
      <c r="Z40" s="52">
        <v>-1</v>
      </c>
      <c r="AA40" s="54">
        <v>0</v>
      </c>
      <c r="AB40" s="54">
        <v>0</v>
      </c>
      <c r="AC40" s="52">
        <v>0</v>
      </c>
      <c r="AD40" s="52">
        <v>-3</v>
      </c>
      <c r="AE40" s="52">
        <v>0</v>
      </c>
      <c r="AF40" s="52">
        <v>-3</v>
      </c>
      <c r="AG40" s="52">
        <v>0</v>
      </c>
      <c r="AH40" s="52">
        <v>0</v>
      </c>
      <c r="AI40" s="52">
        <v>0</v>
      </c>
      <c r="AJ40" s="52">
        <v>0</v>
      </c>
      <c r="AK40" s="52">
        <v>0</v>
      </c>
      <c r="AL40" s="52">
        <v>0</v>
      </c>
      <c r="AM40" s="52">
        <v>-268</v>
      </c>
      <c r="AN40" s="52">
        <v>0</v>
      </c>
      <c r="AO40" s="52">
        <v>-268</v>
      </c>
      <c r="AP40" s="52">
        <v>-139</v>
      </c>
      <c r="AQ40" s="52">
        <v>0</v>
      </c>
      <c r="AR40" s="52">
        <v>-139</v>
      </c>
      <c r="AS40" s="52">
        <v>-1</v>
      </c>
      <c r="AT40" s="52">
        <v>0</v>
      </c>
      <c r="AU40" s="52">
        <v>-1</v>
      </c>
      <c r="AV40" s="52">
        <v>-70</v>
      </c>
      <c r="AW40" s="52">
        <v>0</v>
      </c>
      <c r="AX40" s="52">
        <v>-70</v>
      </c>
      <c r="AY40" s="52">
        <v>0</v>
      </c>
      <c r="AZ40" s="52">
        <v>0</v>
      </c>
      <c r="BA40" s="52">
        <v>0</v>
      </c>
      <c r="BB40" s="52">
        <v>0</v>
      </c>
      <c r="BC40" s="52">
        <v>0</v>
      </c>
      <c r="BD40" s="52">
        <v>0</v>
      </c>
      <c r="BE40" s="52">
        <v>0</v>
      </c>
      <c r="BF40" s="52">
        <v>0</v>
      </c>
      <c r="BG40" s="52">
        <v>0</v>
      </c>
      <c r="BW40" s="52">
        <f t="shared" si="0"/>
        <v>-478</v>
      </c>
      <c r="BX40" s="52">
        <f t="shared" si="1"/>
        <v>0</v>
      </c>
      <c r="BY40" s="314">
        <f t="shared" si="2"/>
        <v>0</v>
      </c>
      <c r="CC40" s="52">
        <f t="shared" si="3"/>
        <v>-482</v>
      </c>
    </row>
    <row r="41" spans="1:81" x14ac:dyDescent="0.2">
      <c r="A41" s="52" t="s">
        <v>195</v>
      </c>
      <c r="B41" s="52">
        <v>13040</v>
      </c>
      <c r="C41" s="52">
        <v>0</v>
      </c>
      <c r="D41" s="52">
        <v>0</v>
      </c>
      <c r="E41" s="52">
        <v>0</v>
      </c>
      <c r="F41" s="52">
        <v>0</v>
      </c>
      <c r="G41" s="52">
        <v>255</v>
      </c>
      <c r="H41" s="52">
        <v>255</v>
      </c>
      <c r="I41" s="52">
        <v>-9</v>
      </c>
      <c r="J41" s="52">
        <v>194</v>
      </c>
      <c r="K41" s="52">
        <v>185</v>
      </c>
      <c r="L41" s="52">
        <v>0</v>
      </c>
      <c r="M41" s="52">
        <v>73</v>
      </c>
      <c r="N41" s="52">
        <v>73</v>
      </c>
      <c r="O41" s="52">
        <v>0</v>
      </c>
      <c r="P41" s="52">
        <v>118</v>
      </c>
      <c r="Q41" s="52">
        <v>118</v>
      </c>
      <c r="R41" s="52">
        <v>0</v>
      </c>
      <c r="S41" s="52">
        <v>134</v>
      </c>
      <c r="T41" s="52">
        <v>134</v>
      </c>
      <c r="U41" s="86">
        <v>-1</v>
      </c>
      <c r="V41" s="86">
        <v>64</v>
      </c>
      <c r="W41" s="52">
        <v>63</v>
      </c>
      <c r="X41" s="52">
        <v>0</v>
      </c>
      <c r="Y41" s="52">
        <v>50</v>
      </c>
      <c r="Z41" s="52">
        <v>50</v>
      </c>
      <c r="AA41" s="54">
        <v>-8</v>
      </c>
      <c r="AB41" s="54">
        <v>0</v>
      </c>
      <c r="AC41" s="52">
        <v>-8</v>
      </c>
      <c r="AD41" s="52">
        <v>0</v>
      </c>
      <c r="AE41" s="52">
        <v>0</v>
      </c>
      <c r="AF41" s="52">
        <v>0</v>
      </c>
      <c r="AG41" s="52">
        <v>-712</v>
      </c>
      <c r="AH41" s="52">
        <v>0</v>
      </c>
      <c r="AI41" s="52">
        <v>-712</v>
      </c>
      <c r="AJ41" s="52">
        <v>0</v>
      </c>
      <c r="AK41" s="52">
        <v>0</v>
      </c>
      <c r="AL41" s="52">
        <v>0</v>
      </c>
      <c r="AM41" s="52">
        <v>0</v>
      </c>
      <c r="AN41" s="52">
        <v>0</v>
      </c>
      <c r="AO41" s="52">
        <v>0</v>
      </c>
      <c r="AP41" s="52">
        <v>-5</v>
      </c>
      <c r="AQ41" s="52">
        <v>0</v>
      </c>
      <c r="AR41" s="52">
        <v>-5</v>
      </c>
      <c r="AS41" s="52">
        <v>-488</v>
      </c>
      <c r="AT41" s="52">
        <v>0</v>
      </c>
      <c r="AU41" s="52">
        <v>-488</v>
      </c>
      <c r="AV41" s="52">
        <v>-428</v>
      </c>
      <c r="AW41" s="52">
        <v>0</v>
      </c>
      <c r="AX41" s="52">
        <v>-428</v>
      </c>
      <c r="AY41" s="52">
        <v>-372</v>
      </c>
      <c r="AZ41" s="52">
        <v>0</v>
      </c>
      <c r="BA41" s="52">
        <v>-372</v>
      </c>
      <c r="BB41" s="52">
        <v>-10</v>
      </c>
      <c r="BC41" s="52">
        <v>0</v>
      </c>
      <c r="BD41" s="52">
        <v>-10</v>
      </c>
      <c r="BE41" s="52">
        <v>-10</v>
      </c>
      <c r="BF41" s="52">
        <v>0</v>
      </c>
      <c r="BG41" s="52">
        <v>-10</v>
      </c>
      <c r="BW41" s="52">
        <f t="shared" si="0"/>
        <v>-1313</v>
      </c>
      <c r="BX41" s="52">
        <f t="shared" si="1"/>
        <v>0</v>
      </c>
      <c r="BY41" s="314">
        <f t="shared" si="2"/>
        <v>0</v>
      </c>
      <c r="CC41" s="52">
        <f t="shared" si="3"/>
        <v>-730</v>
      </c>
    </row>
    <row r="42" spans="1:81" x14ac:dyDescent="0.2">
      <c r="A42" s="52" t="s">
        <v>196</v>
      </c>
      <c r="B42" s="52">
        <v>13139</v>
      </c>
      <c r="C42" s="52">
        <v>2400</v>
      </c>
      <c r="D42" s="52">
        <v>97</v>
      </c>
      <c r="E42" s="52">
        <v>2497</v>
      </c>
      <c r="F42" s="52">
        <v>970</v>
      </c>
      <c r="G42" s="52">
        <v>156</v>
      </c>
      <c r="H42" s="52">
        <v>1126</v>
      </c>
      <c r="I42" s="52">
        <v>0</v>
      </c>
      <c r="J42" s="52">
        <v>0</v>
      </c>
      <c r="K42" s="52">
        <v>0</v>
      </c>
      <c r="L42" s="52">
        <v>3000</v>
      </c>
      <c r="M42" s="52">
        <v>247</v>
      </c>
      <c r="N42" s="52">
        <v>3247</v>
      </c>
      <c r="O42" s="52">
        <v>1050</v>
      </c>
      <c r="P42" s="52">
        <v>119</v>
      </c>
      <c r="Q42" s="52">
        <v>1169</v>
      </c>
      <c r="R42" s="52">
        <v>1700</v>
      </c>
      <c r="S42" s="52">
        <v>267</v>
      </c>
      <c r="T42" s="52">
        <v>1967</v>
      </c>
      <c r="U42" s="86">
        <v>910</v>
      </c>
      <c r="V42" s="86">
        <v>170</v>
      </c>
      <c r="W42" s="52">
        <v>1080</v>
      </c>
      <c r="X42" s="52">
        <v>1710</v>
      </c>
      <c r="Y42" s="52">
        <v>259</v>
      </c>
      <c r="Z42" s="52">
        <v>1969</v>
      </c>
      <c r="AA42" s="54">
        <v>2108</v>
      </c>
      <c r="AB42" s="54">
        <v>192</v>
      </c>
      <c r="AC42" s="52">
        <v>2300</v>
      </c>
      <c r="AD42" s="52">
        <v>1000</v>
      </c>
      <c r="AE42" s="52">
        <v>230</v>
      </c>
      <c r="AF42" s="52">
        <v>1230</v>
      </c>
      <c r="AG42" s="52">
        <v>1650</v>
      </c>
      <c r="AH42" s="52">
        <v>131</v>
      </c>
      <c r="AI42" s="52">
        <v>1781</v>
      </c>
      <c r="AJ42" s="52">
        <v>900</v>
      </c>
      <c r="AK42" s="52">
        <v>231</v>
      </c>
      <c r="AL42" s="52">
        <v>1131</v>
      </c>
      <c r="AM42" s="52">
        <v>1257</v>
      </c>
      <c r="AN42" s="52">
        <v>121</v>
      </c>
      <c r="AO42" s="52">
        <v>1378</v>
      </c>
      <c r="AP42" s="52">
        <v>1330</v>
      </c>
      <c r="AQ42" s="52">
        <v>181</v>
      </c>
      <c r="AR42" s="52">
        <v>1511</v>
      </c>
      <c r="AS42" s="52">
        <v>1594</v>
      </c>
      <c r="AT42" s="52">
        <v>171</v>
      </c>
      <c r="AU42" s="52">
        <v>1765</v>
      </c>
      <c r="AV42" s="52">
        <v>1706</v>
      </c>
      <c r="AW42" s="52">
        <v>131</v>
      </c>
      <c r="AX42" s="52">
        <v>1837</v>
      </c>
      <c r="AY42" s="52">
        <v>968</v>
      </c>
      <c r="AZ42" s="52">
        <v>151</v>
      </c>
      <c r="BA42" s="52">
        <v>1119</v>
      </c>
      <c r="BB42" s="52">
        <v>1512</v>
      </c>
      <c r="BC42" s="52">
        <v>176</v>
      </c>
      <c r="BD42" s="52">
        <v>1688</v>
      </c>
      <c r="BE42" s="52">
        <v>1408</v>
      </c>
      <c r="BF42" s="52">
        <v>161</v>
      </c>
      <c r="BG42" s="52">
        <v>1569</v>
      </c>
      <c r="BW42" s="52">
        <f t="shared" si="0"/>
        <v>9775</v>
      </c>
      <c r="BX42" s="52">
        <f t="shared" si="1"/>
        <v>1092</v>
      </c>
      <c r="BY42" s="314">
        <f t="shared" si="2"/>
        <v>0.11171355498721228</v>
      </c>
      <c r="CC42" s="52">
        <f t="shared" si="3"/>
        <v>17398</v>
      </c>
    </row>
    <row r="43" spans="1:81" x14ac:dyDescent="0.2">
      <c r="A43" s="52" t="s">
        <v>197</v>
      </c>
      <c r="B43" s="52">
        <v>13083</v>
      </c>
      <c r="C43" s="52">
        <v>0</v>
      </c>
      <c r="D43" s="52">
        <v>0</v>
      </c>
      <c r="E43" s="52">
        <v>0</v>
      </c>
      <c r="F43" s="52">
        <v>0</v>
      </c>
      <c r="G43" s="52">
        <v>0</v>
      </c>
      <c r="H43" s="52">
        <v>0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0</v>
      </c>
      <c r="O43" s="52">
        <v>0</v>
      </c>
      <c r="P43" s="52">
        <v>0</v>
      </c>
      <c r="Q43" s="52">
        <v>0</v>
      </c>
      <c r="R43" s="52">
        <v>0</v>
      </c>
      <c r="S43" s="52">
        <v>0</v>
      </c>
      <c r="T43" s="52">
        <v>0</v>
      </c>
      <c r="U43" s="86">
        <v>0</v>
      </c>
      <c r="V43" s="86">
        <v>0</v>
      </c>
      <c r="W43" s="52">
        <v>0</v>
      </c>
      <c r="X43" s="52">
        <v>0</v>
      </c>
      <c r="Y43" s="52">
        <v>0</v>
      </c>
      <c r="Z43" s="52">
        <v>0</v>
      </c>
      <c r="AA43" s="54">
        <v>0</v>
      </c>
      <c r="AB43" s="54">
        <v>0</v>
      </c>
      <c r="AC43" s="52">
        <v>0</v>
      </c>
      <c r="AD43" s="52">
        <v>0</v>
      </c>
      <c r="AE43" s="52">
        <v>0</v>
      </c>
      <c r="AF43" s="52">
        <v>0</v>
      </c>
      <c r="AG43" s="52">
        <v>0</v>
      </c>
      <c r="AH43" s="52">
        <v>0</v>
      </c>
      <c r="AI43" s="52">
        <v>0</v>
      </c>
      <c r="AJ43" s="52">
        <v>0</v>
      </c>
      <c r="AK43" s="52">
        <v>0</v>
      </c>
      <c r="AL43" s="52">
        <v>0</v>
      </c>
      <c r="AM43" s="52">
        <v>0</v>
      </c>
      <c r="AN43" s="52">
        <v>0</v>
      </c>
      <c r="AO43" s="52">
        <v>0</v>
      </c>
      <c r="AP43" s="52">
        <v>0</v>
      </c>
      <c r="AQ43" s="52">
        <v>0</v>
      </c>
      <c r="AR43" s="52">
        <v>0</v>
      </c>
      <c r="AS43" s="52">
        <v>0</v>
      </c>
      <c r="AT43" s="52">
        <v>0</v>
      </c>
      <c r="AU43" s="52">
        <v>0</v>
      </c>
      <c r="AV43" s="52">
        <v>0</v>
      </c>
      <c r="AW43" s="52">
        <v>0</v>
      </c>
      <c r="AX43" s="52">
        <v>0</v>
      </c>
      <c r="AY43" s="52">
        <v>0</v>
      </c>
      <c r="AZ43" s="52">
        <v>0</v>
      </c>
      <c r="BA43" s="52">
        <v>0</v>
      </c>
      <c r="BB43" s="52">
        <v>0</v>
      </c>
      <c r="BC43" s="52">
        <v>0</v>
      </c>
      <c r="BD43" s="52">
        <v>0</v>
      </c>
      <c r="BE43" s="52">
        <v>0</v>
      </c>
      <c r="BF43" s="52">
        <v>0</v>
      </c>
      <c r="BG43" s="52">
        <v>0</v>
      </c>
      <c r="BW43" s="52">
        <f t="shared" si="0"/>
        <v>0</v>
      </c>
      <c r="BX43" s="52">
        <f t="shared" si="1"/>
        <v>0</v>
      </c>
      <c r="BY43" s="314" t="e">
        <f t="shared" si="2"/>
        <v>#DIV/0!</v>
      </c>
      <c r="CC43" s="52">
        <f t="shared" si="3"/>
        <v>0</v>
      </c>
    </row>
    <row r="44" spans="1:81" x14ac:dyDescent="0.2">
      <c r="A44" s="52" t="s">
        <v>198</v>
      </c>
      <c r="B44" s="52">
        <v>13082</v>
      </c>
      <c r="C44" s="52">
        <v>-1</v>
      </c>
      <c r="D44" s="52">
        <v>0</v>
      </c>
      <c r="E44" s="52">
        <v>-1</v>
      </c>
      <c r="F44" s="52">
        <v>0</v>
      </c>
      <c r="G44" s="52">
        <v>0</v>
      </c>
      <c r="H44" s="52">
        <v>0</v>
      </c>
      <c r="I44" s="52">
        <v>0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0</v>
      </c>
      <c r="P44" s="52">
        <v>0</v>
      </c>
      <c r="Q44" s="52">
        <v>0</v>
      </c>
      <c r="R44" s="52">
        <v>0</v>
      </c>
      <c r="S44" s="52">
        <v>0</v>
      </c>
      <c r="T44" s="52">
        <v>0</v>
      </c>
      <c r="U44" s="86">
        <v>81</v>
      </c>
      <c r="V44" s="86">
        <v>0</v>
      </c>
      <c r="W44" s="52">
        <v>81</v>
      </c>
      <c r="X44" s="52">
        <v>801</v>
      </c>
      <c r="Y44" s="52">
        <v>84</v>
      </c>
      <c r="Z44" s="52">
        <v>885</v>
      </c>
      <c r="AA44" s="54">
        <v>0</v>
      </c>
      <c r="AB44" s="54">
        <v>0</v>
      </c>
      <c r="AC44" s="52">
        <v>0</v>
      </c>
      <c r="AD44" s="52">
        <v>0</v>
      </c>
      <c r="AE44" s="52">
        <v>4</v>
      </c>
      <c r="AF44" s="52">
        <v>4</v>
      </c>
      <c r="AG44" s="52">
        <v>650</v>
      </c>
      <c r="AH44" s="52">
        <v>1</v>
      </c>
      <c r="AI44" s="52">
        <v>651</v>
      </c>
      <c r="AJ44" s="52">
        <v>0</v>
      </c>
      <c r="AK44" s="52">
        <v>3</v>
      </c>
      <c r="AL44" s="52">
        <v>3</v>
      </c>
      <c r="AM44" s="52">
        <v>0</v>
      </c>
      <c r="AN44" s="52">
        <v>6</v>
      </c>
      <c r="AO44" s="52">
        <v>6</v>
      </c>
      <c r="AP44" s="52">
        <v>132</v>
      </c>
      <c r="AQ44" s="52">
        <v>39</v>
      </c>
      <c r="AR44" s="52">
        <v>171</v>
      </c>
      <c r="AS44" s="52">
        <v>0</v>
      </c>
      <c r="AT44" s="52">
        <v>0</v>
      </c>
      <c r="AU44" s="52">
        <v>0</v>
      </c>
      <c r="AV44" s="52">
        <v>0</v>
      </c>
      <c r="AW44" s="52">
        <v>0</v>
      </c>
      <c r="AX44" s="52">
        <v>0</v>
      </c>
      <c r="AY44" s="52">
        <v>0</v>
      </c>
      <c r="AZ44" s="52">
        <v>0</v>
      </c>
      <c r="BA44" s="52">
        <v>0</v>
      </c>
      <c r="BB44" s="52">
        <v>0</v>
      </c>
      <c r="BC44" s="52">
        <v>0</v>
      </c>
      <c r="BD44" s="52">
        <v>0</v>
      </c>
      <c r="BE44" s="52">
        <v>0</v>
      </c>
      <c r="BF44" s="52">
        <v>0</v>
      </c>
      <c r="BG44" s="52">
        <v>0</v>
      </c>
      <c r="BW44" s="52">
        <f t="shared" si="0"/>
        <v>132</v>
      </c>
      <c r="BX44" s="52">
        <f t="shared" si="1"/>
        <v>45</v>
      </c>
      <c r="BY44" s="314">
        <f t="shared" si="2"/>
        <v>0.34090909090909088</v>
      </c>
      <c r="CC44" s="52">
        <f t="shared" si="3"/>
        <v>1531</v>
      </c>
    </row>
    <row r="45" spans="1:81" x14ac:dyDescent="0.2">
      <c r="A45" s="52" t="s">
        <v>199</v>
      </c>
      <c r="B45" s="52">
        <v>13133</v>
      </c>
      <c r="C45" s="52">
        <v>2600</v>
      </c>
      <c r="D45" s="52">
        <v>66</v>
      </c>
      <c r="E45" s="52">
        <v>2666</v>
      </c>
      <c r="F45" s="52">
        <v>0</v>
      </c>
      <c r="G45" s="52">
        <v>109</v>
      </c>
      <c r="H45" s="52">
        <v>109</v>
      </c>
      <c r="I45" s="52">
        <v>2285</v>
      </c>
      <c r="J45" s="52">
        <v>164</v>
      </c>
      <c r="K45" s="52">
        <v>2449</v>
      </c>
      <c r="L45" s="52">
        <v>-31</v>
      </c>
      <c r="M45" s="52">
        <v>113</v>
      </c>
      <c r="N45" s="52">
        <v>82</v>
      </c>
      <c r="O45" s="52">
        <v>1589</v>
      </c>
      <c r="P45" s="52">
        <v>333</v>
      </c>
      <c r="Q45" s="52">
        <v>1922</v>
      </c>
      <c r="R45" s="52">
        <v>1260</v>
      </c>
      <c r="S45" s="52">
        <v>217</v>
      </c>
      <c r="T45" s="52">
        <v>1477</v>
      </c>
      <c r="U45" s="86">
        <v>985</v>
      </c>
      <c r="V45" s="86">
        <v>165</v>
      </c>
      <c r="W45" s="52">
        <v>1150</v>
      </c>
      <c r="X45" s="52">
        <v>1545</v>
      </c>
      <c r="Y45" s="52">
        <v>221</v>
      </c>
      <c r="Z45" s="52">
        <v>1766</v>
      </c>
      <c r="AA45" s="54">
        <v>1370</v>
      </c>
      <c r="AB45" s="54">
        <v>158</v>
      </c>
      <c r="AC45" s="52">
        <v>1528</v>
      </c>
      <c r="AD45" s="52">
        <v>1450</v>
      </c>
      <c r="AE45" s="52">
        <v>183</v>
      </c>
      <c r="AF45" s="52">
        <v>1633</v>
      </c>
      <c r="AG45" s="52">
        <v>1490</v>
      </c>
      <c r="AH45" s="52">
        <v>117</v>
      </c>
      <c r="AI45" s="52">
        <v>1607</v>
      </c>
      <c r="AJ45" s="52">
        <v>1650</v>
      </c>
      <c r="AK45" s="52">
        <v>230</v>
      </c>
      <c r="AL45" s="52">
        <v>1880</v>
      </c>
      <c r="AM45" s="52">
        <v>1326</v>
      </c>
      <c r="AN45" s="52">
        <v>86</v>
      </c>
      <c r="AO45" s="52">
        <v>1412</v>
      </c>
      <c r="AP45" s="52">
        <v>1657</v>
      </c>
      <c r="AQ45" s="52">
        <v>289</v>
      </c>
      <c r="AR45" s="52">
        <v>1946</v>
      </c>
      <c r="AS45" s="52">
        <v>1677</v>
      </c>
      <c r="AT45" s="52">
        <v>157</v>
      </c>
      <c r="AU45" s="52">
        <v>1834</v>
      </c>
      <c r="AV45" s="52">
        <v>1448</v>
      </c>
      <c r="AW45" s="52">
        <v>121</v>
      </c>
      <c r="AX45" s="52">
        <v>1569</v>
      </c>
      <c r="AY45" s="52">
        <v>2126</v>
      </c>
      <c r="AZ45" s="52">
        <v>164</v>
      </c>
      <c r="BA45" s="52">
        <v>2290</v>
      </c>
      <c r="BB45" s="52">
        <v>1720</v>
      </c>
      <c r="BC45" s="52">
        <v>136</v>
      </c>
      <c r="BD45" s="52">
        <v>1856</v>
      </c>
      <c r="BE45" s="52">
        <v>1719</v>
      </c>
      <c r="BF45" s="52">
        <v>151</v>
      </c>
      <c r="BG45" s="52">
        <v>1870</v>
      </c>
      <c r="BW45" s="52">
        <f t="shared" si="0"/>
        <v>11673</v>
      </c>
      <c r="BX45" s="52">
        <f t="shared" si="1"/>
        <v>1104</v>
      </c>
      <c r="BY45" s="314">
        <f t="shared" si="2"/>
        <v>9.4577229503983548E-2</v>
      </c>
      <c r="CC45" s="52">
        <f t="shared" si="3"/>
        <v>16193</v>
      </c>
    </row>
    <row r="46" spans="1:81" x14ac:dyDescent="0.2">
      <c r="A46" s="52" t="s">
        <v>200</v>
      </c>
      <c r="B46" s="52">
        <v>13134</v>
      </c>
      <c r="C46" s="52">
        <v>0</v>
      </c>
      <c r="D46" s="52">
        <v>0</v>
      </c>
      <c r="E46" s="52">
        <v>0</v>
      </c>
      <c r="F46" s="52">
        <v>700</v>
      </c>
      <c r="G46" s="52">
        <v>24</v>
      </c>
      <c r="H46" s="52">
        <v>724</v>
      </c>
      <c r="I46" s="52">
        <v>16</v>
      </c>
      <c r="J46" s="52">
        <v>11</v>
      </c>
      <c r="K46" s="52">
        <v>27</v>
      </c>
      <c r="L46" s="52">
        <v>650</v>
      </c>
      <c r="M46" s="52">
        <v>102</v>
      </c>
      <c r="N46" s="52">
        <v>752</v>
      </c>
      <c r="O46" s="52">
        <v>450</v>
      </c>
      <c r="P46" s="52">
        <v>42</v>
      </c>
      <c r="Q46" s="52">
        <v>492</v>
      </c>
      <c r="R46" s="52">
        <v>420</v>
      </c>
      <c r="S46" s="52">
        <v>65</v>
      </c>
      <c r="T46" s="52">
        <v>485</v>
      </c>
      <c r="U46" s="86">
        <v>707</v>
      </c>
      <c r="V46" s="86">
        <v>58</v>
      </c>
      <c r="W46" s="52">
        <v>765</v>
      </c>
      <c r="X46" s="52">
        <v>674</v>
      </c>
      <c r="Y46" s="52">
        <v>88</v>
      </c>
      <c r="Z46" s="52">
        <v>762</v>
      </c>
      <c r="AA46" s="54">
        <v>1127</v>
      </c>
      <c r="AB46" s="54">
        <v>72</v>
      </c>
      <c r="AC46" s="52">
        <v>1199</v>
      </c>
      <c r="AD46" s="52">
        <v>644</v>
      </c>
      <c r="AE46" s="52">
        <v>78</v>
      </c>
      <c r="AF46" s="52">
        <v>722</v>
      </c>
      <c r="AG46" s="52">
        <v>457</v>
      </c>
      <c r="AH46" s="52">
        <v>57</v>
      </c>
      <c r="AI46" s="52">
        <v>514</v>
      </c>
      <c r="AJ46" s="52">
        <v>700</v>
      </c>
      <c r="AK46" s="52">
        <v>85</v>
      </c>
      <c r="AL46" s="52">
        <v>785</v>
      </c>
      <c r="AM46" s="52">
        <v>266</v>
      </c>
      <c r="AN46" s="52">
        <v>52</v>
      </c>
      <c r="AO46" s="52">
        <v>318</v>
      </c>
      <c r="AP46" s="52">
        <v>577</v>
      </c>
      <c r="AQ46" s="52">
        <v>163</v>
      </c>
      <c r="AR46" s="52">
        <v>740</v>
      </c>
      <c r="AS46" s="52">
        <v>1216</v>
      </c>
      <c r="AT46" s="52">
        <v>105</v>
      </c>
      <c r="AU46" s="52">
        <v>1321</v>
      </c>
      <c r="AV46" s="52">
        <v>1546</v>
      </c>
      <c r="AW46" s="52">
        <v>126</v>
      </c>
      <c r="AX46" s="52">
        <v>1672</v>
      </c>
      <c r="AY46" s="52">
        <v>-69</v>
      </c>
      <c r="AZ46" s="52">
        <v>76</v>
      </c>
      <c r="BA46" s="52">
        <v>7</v>
      </c>
      <c r="BB46" s="52">
        <v>137</v>
      </c>
      <c r="BC46" s="52">
        <v>47</v>
      </c>
      <c r="BD46" s="52">
        <v>184</v>
      </c>
      <c r="BE46" s="52">
        <v>-1</v>
      </c>
      <c r="BF46" s="52">
        <v>0</v>
      </c>
      <c r="BG46" s="52">
        <v>-1</v>
      </c>
      <c r="BW46" s="52">
        <f t="shared" si="0"/>
        <v>3672</v>
      </c>
      <c r="BX46" s="52">
        <f t="shared" si="1"/>
        <v>569</v>
      </c>
      <c r="BY46" s="314">
        <f t="shared" si="2"/>
        <v>0.15495642701525056</v>
      </c>
      <c r="CC46" s="52">
        <f t="shared" si="3"/>
        <v>6545</v>
      </c>
    </row>
    <row r="47" spans="1:81" x14ac:dyDescent="0.2">
      <c r="A47" s="52" t="s">
        <v>201</v>
      </c>
      <c r="B47" s="52">
        <v>13072</v>
      </c>
      <c r="C47" s="52">
        <v>399</v>
      </c>
      <c r="D47" s="52">
        <v>248</v>
      </c>
      <c r="E47" s="52">
        <v>647</v>
      </c>
      <c r="F47" s="52">
        <v>2896</v>
      </c>
      <c r="G47" s="52">
        <v>494</v>
      </c>
      <c r="H47" s="52">
        <v>3390</v>
      </c>
      <c r="I47" s="52">
        <v>3137</v>
      </c>
      <c r="J47" s="52">
        <v>390</v>
      </c>
      <c r="K47" s="52">
        <v>3527</v>
      </c>
      <c r="L47" s="52">
        <v>1797</v>
      </c>
      <c r="M47" s="52">
        <v>524</v>
      </c>
      <c r="N47" s="52">
        <v>2321</v>
      </c>
      <c r="O47" s="52">
        <v>1800</v>
      </c>
      <c r="P47" s="52">
        <v>177</v>
      </c>
      <c r="Q47" s="52">
        <v>1977</v>
      </c>
      <c r="R47" s="52">
        <v>2065</v>
      </c>
      <c r="S47" s="52">
        <v>674</v>
      </c>
      <c r="T47" s="52">
        <v>2739</v>
      </c>
      <c r="U47" s="86">
        <v>2224</v>
      </c>
      <c r="V47" s="86">
        <v>397</v>
      </c>
      <c r="W47" s="52">
        <v>2621</v>
      </c>
      <c r="X47" s="52">
        <v>3016</v>
      </c>
      <c r="Y47" s="52">
        <v>559</v>
      </c>
      <c r="Z47" s="52">
        <v>3575</v>
      </c>
      <c r="AA47" s="54">
        <v>2477</v>
      </c>
      <c r="AB47" s="54">
        <v>356</v>
      </c>
      <c r="AC47" s="52">
        <v>2833</v>
      </c>
      <c r="AD47" s="52">
        <v>1787</v>
      </c>
      <c r="AE47" s="52">
        <v>393</v>
      </c>
      <c r="AF47" s="52">
        <v>2180</v>
      </c>
      <c r="AG47" s="52">
        <v>4144</v>
      </c>
      <c r="AH47" s="52">
        <v>855</v>
      </c>
      <c r="AI47" s="52">
        <v>4999</v>
      </c>
      <c r="AJ47" s="52">
        <v>3950</v>
      </c>
      <c r="AK47" s="52">
        <v>904</v>
      </c>
      <c r="AL47" s="52">
        <v>4854</v>
      </c>
      <c r="AM47" s="52">
        <v>1478</v>
      </c>
      <c r="AN47" s="52">
        <v>322</v>
      </c>
      <c r="AO47" s="52">
        <v>1800</v>
      </c>
      <c r="AP47" s="52">
        <v>3427</v>
      </c>
      <c r="AQ47" s="52">
        <v>632</v>
      </c>
      <c r="AR47" s="52">
        <v>4059</v>
      </c>
      <c r="AS47" s="52">
        <v>1767</v>
      </c>
      <c r="AT47" s="52">
        <v>1965</v>
      </c>
      <c r="AU47" s="52">
        <v>3732</v>
      </c>
      <c r="AV47" s="52">
        <v>-113</v>
      </c>
      <c r="AW47" s="52">
        <v>161</v>
      </c>
      <c r="AX47" s="52">
        <v>48</v>
      </c>
      <c r="AY47" s="52">
        <v>-22</v>
      </c>
      <c r="AZ47" s="52">
        <v>248</v>
      </c>
      <c r="BA47" s="52">
        <v>226</v>
      </c>
      <c r="BB47" s="52">
        <v>7188</v>
      </c>
      <c r="BC47" s="52">
        <v>148</v>
      </c>
      <c r="BD47" s="52">
        <v>7336</v>
      </c>
      <c r="BE47" s="52">
        <v>1096</v>
      </c>
      <c r="BF47" s="52">
        <v>281</v>
      </c>
      <c r="BG47" s="52">
        <v>1377</v>
      </c>
      <c r="BW47" s="52">
        <f t="shared" si="0"/>
        <v>14821</v>
      </c>
      <c r="BX47" s="52">
        <f t="shared" si="1"/>
        <v>3757</v>
      </c>
      <c r="BY47" s="314">
        <f t="shared" si="2"/>
        <v>0.25349166722893191</v>
      </c>
      <c r="CC47" s="52">
        <f t="shared" si="3"/>
        <v>29692</v>
      </c>
    </row>
    <row r="48" spans="1:81" x14ac:dyDescent="0.2">
      <c r="A48" s="52" t="s">
        <v>202</v>
      </c>
      <c r="B48" s="52">
        <v>13074</v>
      </c>
      <c r="C48" s="52">
        <v>-1</v>
      </c>
      <c r="D48" s="52">
        <v>416</v>
      </c>
      <c r="E48" s="52">
        <v>415</v>
      </c>
      <c r="F48" s="52">
        <v>7529</v>
      </c>
      <c r="G48" s="52">
        <v>1209</v>
      </c>
      <c r="H48" s="52">
        <v>8738</v>
      </c>
      <c r="I48" s="52">
        <v>7298</v>
      </c>
      <c r="J48" s="52">
        <v>1359</v>
      </c>
      <c r="K48" s="52">
        <v>8657</v>
      </c>
      <c r="L48" s="52">
        <v>5595</v>
      </c>
      <c r="M48" s="52">
        <v>1423</v>
      </c>
      <c r="N48" s="52">
        <v>7018</v>
      </c>
      <c r="O48" s="52">
        <v>5244</v>
      </c>
      <c r="P48" s="52">
        <v>823</v>
      </c>
      <c r="Q48" s="52">
        <v>6067</v>
      </c>
      <c r="R48" s="52">
        <v>4449</v>
      </c>
      <c r="S48" s="52">
        <v>1382</v>
      </c>
      <c r="T48" s="52">
        <v>5831</v>
      </c>
      <c r="U48" s="86">
        <v>5594</v>
      </c>
      <c r="V48" s="86">
        <v>1019</v>
      </c>
      <c r="W48" s="52">
        <v>6613</v>
      </c>
      <c r="X48" s="52">
        <v>7845</v>
      </c>
      <c r="Y48" s="52">
        <v>1387</v>
      </c>
      <c r="Z48" s="52">
        <v>9232</v>
      </c>
      <c r="AA48" s="54">
        <v>5948</v>
      </c>
      <c r="AB48" s="54">
        <v>1283</v>
      </c>
      <c r="AC48" s="52">
        <v>7231</v>
      </c>
      <c r="AD48" s="52">
        <v>8124</v>
      </c>
      <c r="AE48" s="52">
        <v>1076</v>
      </c>
      <c r="AF48" s="52">
        <v>9200</v>
      </c>
      <c r="AG48" s="52">
        <v>7843</v>
      </c>
      <c r="AH48" s="52">
        <v>872</v>
      </c>
      <c r="AI48" s="52">
        <v>8715</v>
      </c>
      <c r="AJ48" s="52">
        <v>7850</v>
      </c>
      <c r="AK48" s="52">
        <v>2068</v>
      </c>
      <c r="AL48" s="52">
        <v>9918</v>
      </c>
      <c r="AM48" s="52">
        <v>4984</v>
      </c>
      <c r="AN48" s="52">
        <v>847</v>
      </c>
      <c r="AO48" s="52">
        <v>5831</v>
      </c>
      <c r="AP48" s="52">
        <v>7196</v>
      </c>
      <c r="AQ48" s="52">
        <v>1026</v>
      </c>
      <c r="AR48" s="52">
        <v>8222</v>
      </c>
      <c r="AS48" s="52">
        <v>6780</v>
      </c>
      <c r="AT48" s="52">
        <v>2821</v>
      </c>
      <c r="AU48" s="52">
        <v>9601</v>
      </c>
      <c r="AV48" s="52">
        <v>7213</v>
      </c>
      <c r="AW48" s="52">
        <v>1026</v>
      </c>
      <c r="AX48" s="52">
        <v>8239</v>
      </c>
      <c r="AY48" s="52">
        <v>9372</v>
      </c>
      <c r="AZ48" s="52">
        <v>1027</v>
      </c>
      <c r="BA48" s="52">
        <v>10399</v>
      </c>
      <c r="BB48" s="52">
        <v>8170</v>
      </c>
      <c r="BC48" s="52">
        <v>1272</v>
      </c>
      <c r="BD48" s="52">
        <v>9442</v>
      </c>
      <c r="BE48" s="52">
        <v>5948</v>
      </c>
      <c r="BF48" s="52">
        <v>925</v>
      </c>
      <c r="BG48" s="52">
        <v>6873</v>
      </c>
      <c r="BW48" s="52">
        <f t="shared" si="0"/>
        <v>49663</v>
      </c>
      <c r="BX48" s="52">
        <f t="shared" si="1"/>
        <v>8944</v>
      </c>
      <c r="BY48" s="314">
        <f t="shared" si="2"/>
        <v>0.18009383243058213</v>
      </c>
      <c r="CC48" s="52">
        <f t="shared" si="3"/>
        <v>73318</v>
      </c>
    </row>
    <row r="49" spans="1:81" x14ac:dyDescent="0.2">
      <c r="A49" s="52" t="s">
        <v>203</v>
      </c>
      <c r="B49" s="52">
        <v>13071</v>
      </c>
      <c r="C49" s="52">
        <v>0</v>
      </c>
      <c r="D49" s="52">
        <v>427</v>
      </c>
      <c r="E49" s="52">
        <v>427</v>
      </c>
      <c r="F49" s="52">
        <v>1700</v>
      </c>
      <c r="G49" s="52">
        <v>633</v>
      </c>
      <c r="H49" s="52">
        <v>2333</v>
      </c>
      <c r="I49" s="52">
        <v>6000</v>
      </c>
      <c r="J49" s="52">
        <v>992</v>
      </c>
      <c r="K49" s="52">
        <v>6992</v>
      </c>
      <c r="L49" s="52">
        <v>3500</v>
      </c>
      <c r="M49" s="52">
        <v>823</v>
      </c>
      <c r="N49" s="52">
        <v>4323</v>
      </c>
      <c r="O49" s="52">
        <v>2449</v>
      </c>
      <c r="P49" s="52">
        <v>405</v>
      </c>
      <c r="Q49" s="52">
        <v>2854</v>
      </c>
      <c r="R49" s="52">
        <v>2925</v>
      </c>
      <c r="S49" s="52">
        <v>875</v>
      </c>
      <c r="T49" s="52">
        <v>3800</v>
      </c>
      <c r="U49" s="86">
        <v>3600</v>
      </c>
      <c r="V49" s="86">
        <v>614</v>
      </c>
      <c r="W49" s="52">
        <v>4214</v>
      </c>
      <c r="X49" s="52">
        <v>4306</v>
      </c>
      <c r="Y49" s="52">
        <v>796</v>
      </c>
      <c r="Z49" s="52">
        <v>5102</v>
      </c>
      <c r="AA49" s="54">
        <v>3304</v>
      </c>
      <c r="AB49" s="54">
        <v>689</v>
      </c>
      <c r="AC49" s="52">
        <v>3993</v>
      </c>
      <c r="AD49" s="52">
        <v>4745</v>
      </c>
      <c r="AE49" s="52">
        <v>692</v>
      </c>
      <c r="AF49" s="52">
        <v>5437</v>
      </c>
      <c r="AG49" s="52">
        <v>3652</v>
      </c>
      <c r="AH49" s="52">
        <v>460</v>
      </c>
      <c r="AI49" s="52">
        <v>4112</v>
      </c>
      <c r="AJ49" s="52">
        <v>3600</v>
      </c>
      <c r="AK49" s="52">
        <v>893</v>
      </c>
      <c r="AL49" s="52">
        <v>4493</v>
      </c>
      <c r="AM49" s="52">
        <v>3968</v>
      </c>
      <c r="AN49" s="52">
        <v>608</v>
      </c>
      <c r="AO49" s="52">
        <v>4576</v>
      </c>
      <c r="AP49" s="52">
        <v>4763</v>
      </c>
      <c r="AQ49" s="52">
        <v>667</v>
      </c>
      <c r="AR49" s="52">
        <v>5430</v>
      </c>
      <c r="AS49" s="52">
        <v>4430</v>
      </c>
      <c r="AT49" s="52">
        <v>1938</v>
      </c>
      <c r="AU49" s="52">
        <v>6368</v>
      </c>
      <c r="AV49" s="52">
        <v>1721</v>
      </c>
      <c r="AW49" s="52">
        <v>458</v>
      </c>
      <c r="AX49" s="52">
        <v>2179</v>
      </c>
      <c r="AY49" s="52">
        <v>5952</v>
      </c>
      <c r="AZ49" s="52">
        <v>613</v>
      </c>
      <c r="BA49" s="52">
        <v>6565</v>
      </c>
      <c r="BB49" s="52">
        <v>4041</v>
      </c>
      <c r="BC49" s="52">
        <v>739</v>
      </c>
      <c r="BD49" s="52">
        <v>4780</v>
      </c>
      <c r="BE49" s="52">
        <v>3171</v>
      </c>
      <c r="BF49" s="52">
        <v>518</v>
      </c>
      <c r="BG49" s="52">
        <v>3689</v>
      </c>
      <c r="BW49" s="52">
        <f t="shared" si="0"/>
        <v>28046</v>
      </c>
      <c r="BX49" s="52">
        <f t="shared" si="1"/>
        <v>5541</v>
      </c>
      <c r="BY49" s="314">
        <f t="shared" si="2"/>
        <v>0.19756828068173715</v>
      </c>
      <c r="CC49" s="52">
        <f t="shared" si="3"/>
        <v>39781</v>
      </c>
    </row>
    <row r="50" spans="1:81" x14ac:dyDescent="0.2">
      <c r="A50" s="52" t="s">
        <v>204</v>
      </c>
      <c r="B50" s="52">
        <v>13037</v>
      </c>
      <c r="C50" s="52">
        <v>-11</v>
      </c>
      <c r="D50" s="52">
        <v>141</v>
      </c>
      <c r="E50" s="52">
        <v>130</v>
      </c>
      <c r="F50" s="52">
        <v>78</v>
      </c>
      <c r="G50" s="52">
        <v>476</v>
      </c>
      <c r="H50" s="52">
        <v>554</v>
      </c>
      <c r="I50" s="52">
        <v>2266</v>
      </c>
      <c r="J50" s="52">
        <v>329</v>
      </c>
      <c r="K50" s="52">
        <v>2595</v>
      </c>
      <c r="L50" s="52">
        <v>2850</v>
      </c>
      <c r="M50" s="52">
        <v>560</v>
      </c>
      <c r="N50" s="52">
        <v>3410</v>
      </c>
      <c r="O50" s="52">
        <v>2900</v>
      </c>
      <c r="P50" s="52">
        <v>348</v>
      </c>
      <c r="Q50" s="52">
        <v>3248</v>
      </c>
      <c r="R50" s="52">
        <v>1938</v>
      </c>
      <c r="S50" s="52">
        <v>575</v>
      </c>
      <c r="T50" s="52">
        <v>2513</v>
      </c>
      <c r="U50" s="86">
        <v>3240</v>
      </c>
      <c r="V50" s="86">
        <v>384</v>
      </c>
      <c r="W50" s="52">
        <v>3624</v>
      </c>
      <c r="X50" s="52">
        <v>3050</v>
      </c>
      <c r="Y50" s="52">
        <v>610</v>
      </c>
      <c r="Z50" s="52">
        <v>3660</v>
      </c>
      <c r="AA50" s="54">
        <v>3491</v>
      </c>
      <c r="AB50" s="54">
        <v>490</v>
      </c>
      <c r="AC50" s="52">
        <v>3981</v>
      </c>
      <c r="AD50" s="52">
        <v>2381</v>
      </c>
      <c r="AE50" s="52">
        <v>383</v>
      </c>
      <c r="AF50" s="52">
        <v>2764</v>
      </c>
      <c r="AG50" s="52">
        <v>1968</v>
      </c>
      <c r="AH50" s="52">
        <v>577</v>
      </c>
      <c r="AI50" s="52">
        <v>2545</v>
      </c>
      <c r="AJ50" s="52">
        <v>1400</v>
      </c>
      <c r="AK50" s="52">
        <v>459</v>
      </c>
      <c r="AL50" s="52">
        <v>1859</v>
      </c>
      <c r="AM50" s="52">
        <v>2048</v>
      </c>
      <c r="AN50" s="52">
        <v>169</v>
      </c>
      <c r="AO50" s="52">
        <v>2217</v>
      </c>
      <c r="AP50" s="52">
        <v>1537</v>
      </c>
      <c r="AQ50" s="52">
        <v>337</v>
      </c>
      <c r="AR50" s="52">
        <v>1874</v>
      </c>
      <c r="AS50" s="52">
        <v>2721</v>
      </c>
      <c r="AT50" s="52">
        <v>1617</v>
      </c>
      <c r="AU50" s="52">
        <v>4338</v>
      </c>
      <c r="AV50" s="52">
        <v>2746</v>
      </c>
      <c r="AW50" s="52">
        <v>514</v>
      </c>
      <c r="AX50" s="52">
        <v>3260</v>
      </c>
      <c r="AY50" s="52">
        <v>3138</v>
      </c>
      <c r="AZ50" s="52">
        <v>230</v>
      </c>
      <c r="BA50" s="52">
        <v>3368</v>
      </c>
      <c r="BB50" s="52">
        <v>4154</v>
      </c>
      <c r="BC50" s="52">
        <v>709</v>
      </c>
      <c r="BD50" s="52">
        <v>4863</v>
      </c>
      <c r="BE50" s="52">
        <v>2858</v>
      </c>
      <c r="BF50" s="52">
        <v>236</v>
      </c>
      <c r="BG50" s="52">
        <v>3094</v>
      </c>
      <c r="BW50" s="52">
        <f t="shared" si="0"/>
        <v>19202</v>
      </c>
      <c r="BX50" s="52">
        <f t="shared" si="1"/>
        <v>3812</v>
      </c>
      <c r="BY50" s="314">
        <f t="shared" si="2"/>
        <v>0.19852098739714613</v>
      </c>
      <c r="CC50" s="52">
        <f t="shared" si="3"/>
        <v>25551</v>
      </c>
    </row>
    <row r="51" spans="1:81" x14ac:dyDescent="0.2">
      <c r="A51" s="52" t="s">
        <v>205</v>
      </c>
      <c r="B51" s="52">
        <v>13032</v>
      </c>
      <c r="C51" s="52">
        <v>-15</v>
      </c>
      <c r="D51" s="52">
        <v>206</v>
      </c>
      <c r="E51" s="52">
        <v>191</v>
      </c>
      <c r="F51" s="52">
        <v>367</v>
      </c>
      <c r="G51" s="52">
        <v>725</v>
      </c>
      <c r="H51" s="52">
        <v>1092</v>
      </c>
      <c r="I51" s="52">
        <v>4332</v>
      </c>
      <c r="J51" s="52">
        <v>497</v>
      </c>
      <c r="K51" s="52">
        <v>4829</v>
      </c>
      <c r="L51" s="52">
        <v>3397</v>
      </c>
      <c r="M51" s="52">
        <v>795</v>
      </c>
      <c r="N51" s="52">
        <v>4192</v>
      </c>
      <c r="O51" s="52">
        <v>3756</v>
      </c>
      <c r="P51" s="52">
        <v>588</v>
      </c>
      <c r="Q51" s="52">
        <v>4344</v>
      </c>
      <c r="R51" s="52">
        <v>3786</v>
      </c>
      <c r="S51" s="52">
        <v>772</v>
      </c>
      <c r="T51" s="52">
        <v>4558</v>
      </c>
      <c r="U51" s="86">
        <v>4311</v>
      </c>
      <c r="V51" s="86">
        <v>569</v>
      </c>
      <c r="W51" s="52">
        <v>4880</v>
      </c>
      <c r="X51" s="52">
        <v>4326</v>
      </c>
      <c r="Y51" s="52">
        <v>862</v>
      </c>
      <c r="Z51" s="52">
        <v>5188</v>
      </c>
      <c r="AA51" s="54">
        <v>4601</v>
      </c>
      <c r="AB51" s="54">
        <v>761</v>
      </c>
      <c r="AC51" s="52">
        <v>5362</v>
      </c>
      <c r="AD51" s="52">
        <v>3800</v>
      </c>
      <c r="AE51" s="52">
        <v>568</v>
      </c>
      <c r="AF51" s="52">
        <v>4368</v>
      </c>
      <c r="AG51" s="52">
        <v>3412</v>
      </c>
      <c r="AH51" s="52">
        <v>411</v>
      </c>
      <c r="AI51" s="52">
        <v>3823</v>
      </c>
      <c r="AJ51" s="52">
        <v>2650</v>
      </c>
      <c r="AK51" s="52">
        <v>790</v>
      </c>
      <c r="AL51" s="52">
        <v>3440</v>
      </c>
      <c r="AM51" s="52">
        <v>1396</v>
      </c>
      <c r="AN51" s="52">
        <v>315</v>
      </c>
      <c r="AO51" s="52">
        <v>1711</v>
      </c>
      <c r="AP51" s="52">
        <v>3007</v>
      </c>
      <c r="AQ51" s="52">
        <v>467</v>
      </c>
      <c r="AR51" s="52">
        <v>3474</v>
      </c>
      <c r="AS51" s="52">
        <v>3882</v>
      </c>
      <c r="AT51" s="52">
        <v>2163</v>
      </c>
      <c r="AU51" s="52">
        <v>6045</v>
      </c>
      <c r="AV51" s="52">
        <v>3638</v>
      </c>
      <c r="AW51" s="52">
        <v>487</v>
      </c>
      <c r="AX51" s="52">
        <v>4125</v>
      </c>
      <c r="AY51" s="52">
        <v>4829</v>
      </c>
      <c r="AZ51" s="52">
        <v>499</v>
      </c>
      <c r="BA51" s="52">
        <v>5328</v>
      </c>
      <c r="BB51" s="52">
        <v>5194</v>
      </c>
      <c r="BC51" s="52">
        <v>833</v>
      </c>
      <c r="BD51" s="52">
        <v>6027</v>
      </c>
      <c r="BE51" s="52">
        <v>2918</v>
      </c>
      <c r="BF51" s="52">
        <v>373</v>
      </c>
      <c r="BG51" s="52">
        <v>3291</v>
      </c>
      <c r="BW51" s="52">
        <f t="shared" si="0"/>
        <v>24864</v>
      </c>
      <c r="BX51" s="52">
        <f t="shared" si="1"/>
        <v>5137</v>
      </c>
      <c r="BY51" s="314">
        <f t="shared" si="2"/>
        <v>0.20660392535392536</v>
      </c>
      <c r="CC51" s="52">
        <f t="shared" si="3"/>
        <v>38723</v>
      </c>
    </row>
    <row r="52" spans="1:81" x14ac:dyDescent="0.2">
      <c r="A52" s="52" t="s">
        <v>206</v>
      </c>
      <c r="B52" s="52">
        <v>13036</v>
      </c>
      <c r="C52" s="52">
        <v>0</v>
      </c>
      <c r="D52" s="52">
        <v>0</v>
      </c>
      <c r="E52" s="52">
        <v>0</v>
      </c>
      <c r="F52" s="52">
        <v>0</v>
      </c>
      <c r="G52" s="52">
        <v>0</v>
      </c>
      <c r="H52" s="52">
        <v>0</v>
      </c>
      <c r="I52" s="52">
        <v>0</v>
      </c>
      <c r="J52" s="52">
        <v>0</v>
      </c>
      <c r="K52" s="52">
        <v>0</v>
      </c>
      <c r="L52" s="52">
        <v>0</v>
      </c>
      <c r="M52" s="52">
        <v>0</v>
      </c>
      <c r="N52" s="52">
        <v>0</v>
      </c>
      <c r="O52" s="52">
        <v>0</v>
      </c>
      <c r="P52" s="52">
        <v>0</v>
      </c>
      <c r="Q52" s="52">
        <v>0</v>
      </c>
      <c r="R52" s="52">
        <v>0</v>
      </c>
      <c r="S52" s="52">
        <v>0</v>
      </c>
      <c r="T52" s="52">
        <v>0</v>
      </c>
      <c r="U52" s="86">
        <v>0</v>
      </c>
      <c r="V52" s="86">
        <v>0</v>
      </c>
      <c r="W52" s="52">
        <v>0</v>
      </c>
      <c r="X52" s="52">
        <v>0</v>
      </c>
      <c r="Y52" s="52">
        <v>0</v>
      </c>
      <c r="Z52" s="52">
        <v>0</v>
      </c>
      <c r="AA52" s="54">
        <v>0</v>
      </c>
      <c r="AB52" s="54">
        <v>0</v>
      </c>
      <c r="AC52" s="52">
        <v>0</v>
      </c>
      <c r="AD52" s="52">
        <v>0</v>
      </c>
      <c r="AE52" s="52">
        <v>0</v>
      </c>
      <c r="AF52" s="52">
        <v>0</v>
      </c>
      <c r="AG52" s="52">
        <v>0</v>
      </c>
      <c r="AH52" s="52">
        <v>0</v>
      </c>
      <c r="AI52" s="52">
        <v>0</v>
      </c>
      <c r="AJ52" s="52">
        <v>0</v>
      </c>
      <c r="AK52" s="52">
        <v>0</v>
      </c>
      <c r="AL52" s="52">
        <v>0</v>
      </c>
      <c r="AM52" s="52">
        <v>0</v>
      </c>
      <c r="AN52" s="52">
        <v>0</v>
      </c>
      <c r="AO52" s="52">
        <v>0</v>
      </c>
      <c r="AP52" s="52">
        <v>0</v>
      </c>
      <c r="AQ52" s="52">
        <v>0</v>
      </c>
      <c r="AR52" s="52">
        <v>0</v>
      </c>
      <c r="AS52" s="52">
        <v>0</v>
      </c>
      <c r="AT52" s="52">
        <v>0</v>
      </c>
      <c r="AU52" s="52">
        <v>0</v>
      </c>
      <c r="AV52" s="52">
        <v>0</v>
      </c>
      <c r="AW52" s="52">
        <v>0</v>
      </c>
      <c r="AX52" s="52">
        <v>0</v>
      </c>
      <c r="AY52" s="52">
        <v>0</v>
      </c>
      <c r="AZ52" s="52">
        <v>0</v>
      </c>
      <c r="BA52" s="52">
        <v>0</v>
      </c>
      <c r="BB52" s="52">
        <v>0</v>
      </c>
      <c r="BC52" s="52">
        <v>0</v>
      </c>
      <c r="BD52" s="52">
        <v>0</v>
      </c>
      <c r="BE52" s="52">
        <v>0</v>
      </c>
      <c r="BF52" s="52">
        <v>0</v>
      </c>
      <c r="BG52" s="52">
        <v>0</v>
      </c>
      <c r="BW52" s="52">
        <f t="shared" si="0"/>
        <v>0</v>
      </c>
      <c r="BX52" s="52">
        <f t="shared" si="1"/>
        <v>0</v>
      </c>
      <c r="BY52" s="314" t="e">
        <f t="shared" si="2"/>
        <v>#DIV/0!</v>
      </c>
      <c r="CC52" s="52">
        <f t="shared" si="3"/>
        <v>0</v>
      </c>
    </row>
    <row r="53" spans="1:81" x14ac:dyDescent="0.2">
      <c r="A53" s="52" t="s">
        <v>207</v>
      </c>
      <c r="B53" s="52">
        <v>13064</v>
      </c>
      <c r="C53" s="52">
        <v>897</v>
      </c>
      <c r="D53" s="52">
        <v>72</v>
      </c>
      <c r="E53" s="52">
        <v>969</v>
      </c>
      <c r="F53" s="52">
        <v>1597</v>
      </c>
      <c r="G53" s="52">
        <v>178</v>
      </c>
      <c r="H53" s="52">
        <v>1775</v>
      </c>
      <c r="I53" s="52">
        <v>630</v>
      </c>
      <c r="J53" s="52">
        <v>90</v>
      </c>
      <c r="K53" s="52">
        <v>720</v>
      </c>
      <c r="L53" s="52">
        <v>750</v>
      </c>
      <c r="M53" s="52">
        <v>146</v>
      </c>
      <c r="N53" s="52">
        <v>896</v>
      </c>
      <c r="O53" s="52">
        <v>450</v>
      </c>
      <c r="P53" s="52">
        <v>96</v>
      </c>
      <c r="Q53" s="52">
        <v>546</v>
      </c>
      <c r="R53" s="52">
        <v>850</v>
      </c>
      <c r="S53" s="52">
        <v>145</v>
      </c>
      <c r="T53" s="52">
        <v>995</v>
      </c>
      <c r="U53" s="86">
        <v>250</v>
      </c>
      <c r="V53" s="86">
        <v>113</v>
      </c>
      <c r="W53" s="52">
        <v>363</v>
      </c>
      <c r="X53" s="52">
        <v>1050</v>
      </c>
      <c r="Y53" s="52">
        <v>226</v>
      </c>
      <c r="Z53" s="52">
        <v>1276</v>
      </c>
      <c r="AA53" s="54">
        <v>1895</v>
      </c>
      <c r="AB53" s="54">
        <v>203</v>
      </c>
      <c r="AC53" s="52">
        <v>2098</v>
      </c>
      <c r="AD53" s="52">
        <v>360</v>
      </c>
      <c r="AE53" s="52">
        <v>125</v>
      </c>
      <c r="AF53" s="52">
        <v>485</v>
      </c>
      <c r="AG53" s="52">
        <v>0</v>
      </c>
      <c r="AH53" s="52">
        <v>0</v>
      </c>
      <c r="AI53" s="52">
        <v>0</v>
      </c>
      <c r="AJ53" s="52">
        <v>0</v>
      </c>
      <c r="AK53" s="52">
        <v>0</v>
      </c>
      <c r="AL53" s="52">
        <v>0</v>
      </c>
      <c r="AM53" s="52">
        <v>-107</v>
      </c>
      <c r="AN53" s="52">
        <v>0</v>
      </c>
      <c r="AO53" s="52">
        <v>-107</v>
      </c>
      <c r="AP53" s="52">
        <v>-240</v>
      </c>
      <c r="AQ53" s="52">
        <v>0</v>
      </c>
      <c r="AR53" s="52">
        <v>-240</v>
      </c>
      <c r="AS53" s="52">
        <v>-6</v>
      </c>
      <c r="AT53" s="52">
        <v>0</v>
      </c>
      <c r="AU53" s="52">
        <v>-6</v>
      </c>
      <c r="AV53" s="52">
        <v>-53</v>
      </c>
      <c r="AW53" s="52">
        <v>0</v>
      </c>
      <c r="AX53" s="52">
        <v>-53</v>
      </c>
      <c r="AY53" s="52">
        <v>-144</v>
      </c>
      <c r="AZ53" s="52">
        <v>0</v>
      </c>
      <c r="BA53" s="52">
        <v>-144</v>
      </c>
      <c r="BB53" s="52">
        <v>-153</v>
      </c>
      <c r="BC53" s="52">
        <v>0</v>
      </c>
      <c r="BD53" s="52">
        <v>-153</v>
      </c>
      <c r="BE53" s="52">
        <v>-109</v>
      </c>
      <c r="BF53" s="52">
        <v>0</v>
      </c>
      <c r="BG53" s="52">
        <v>-109</v>
      </c>
      <c r="BW53" s="52">
        <f t="shared" si="0"/>
        <v>-812</v>
      </c>
      <c r="BX53" s="52">
        <f t="shared" si="1"/>
        <v>0</v>
      </c>
      <c r="BY53" s="314">
        <f t="shared" si="2"/>
        <v>0</v>
      </c>
      <c r="CC53" s="52">
        <f t="shared" si="3"/>
        <v>8729</v>
      </c>
    </row>
    <row r="54" spans="1:81" x14ac:dyDescent="0.2">
      <c r="A54" s="52" t="s">
        <v>208</v>
      </c>
      <c r="B54" s="52">
        <v>13140</v>
      </c>
      <c r="C54" s="52">
        <v>0</v>
      </c>
      <c r="D54" s="52">
        <v>0</v>
      </c>
      <c r="E54" s="52">
        <v>0</v>
      </c>
      <c r="F54" s="52">
        <v>50</v>
      </c>
      <c r="G54" s="52">
        <v>8</v>
      </c>
      <c r="H54" s="52">
        <v>58</v>
      </c>
      <c r="I54" s="52">
        <v>240</v>
      </c>
      <c r="J54" s="52">
        <v>4</v>
      </c>
      <c r="K54" s="52">
        <v>244</v>
      </c>
      <c r="L54" s="52">
        <v>50</v>
      </c>
      <c r="M54" s="52">
        <v>26</v>
      </c>
      <c r="N54" s="52">
        <v>76</v>
      </c>
      <c r="O54" s="52">
        <v>350</v>
      </c>
      <c r="P54" s="52">
        <v>155</v>
      </c>
      <c r="Q54" s="52">
        <v>505</v>
      </c>
      <c r="R54" s="52">
        <v>30</v>
      </c>
      <c r="S54" s="52">
        <v>83</v>
      </c>
      <c r="T54" s="52">
        <v>113</v>
      </c>
      <c r="U54" s="86">
        <v>60</v>
      </c>
      <c r="V54" s="86">
        <v>128</v>
      </c>
      <c r="W54" s="52">
        <v>188</v>
      </c>
      <c r="X54" s="52">
        <v>0</v>
      </c>
      <c r="Y54" s="52">
        <v>82</v>
      </c>
      <c r="Z54" s="52">
        <v>82</v>
      </c>
      <c r="AA54" s="54">
        <v>205</v>
      </c>
      <c r="AB54" s="54">
        <v>102</v>
      </c>
      <c r="AC54" s="52">
        <v>307</v>
      </c>
      <c r="AD54" s="52">
        <v>269</v>
      </c>
      <c r="AE54" s="52">
        <v>127</v>
      </c>
      <c r="AF54" s="52">
        <v>396</v>
      </c>
      <c r="AG54" s="52">
        <v>280</v>
      </c>
      <c r="AH54" s="52">
        <v>134</v>
      </c>
      <c r="AI54" s="52">
        <v>414</v>
      </c>
      <c r="AJ54" s="52">
        <v>340</v>
      </c>
      <c r="AK54" s="52">
        <v>257</v>
      </c>
      <c r="AL54" s="52">
        <v>597</v>
      </c>
      <c r="AM54" s="52">
        <v>-17</v>
      </c>
      <c r="AN54" s="52">
        <v>28</v>
      </c>
      <c r="AO54" s="52">
        <v>11</v>
      </c>
      <c r="AP54" s="52">
        <v>-186</v>
      </c>
      <c r="AQ54" s="52">
        <v>86</v>
      </c>
      <c r="AR54" s="52">
        <v>-100</v>
      </c>
      <c r="AS54" s="52">
        <v>499</v>
      </c>
      <c r="AT54" s="52">
        <v>163</v>
      </c>
      <c r="AU54" s="52">
        <v>662</v>
      </c>
      <c r="AV54" s="52">
        <v>-194</v>
      </c>
      <c r="AW54" s="52">
        <v>9</v>
      </c>
      <c r="AX54" s="52">
        <v>-185</v>
      </c>
      <c r="AY54" s="52">
        <v>100</v>
      </c>
      <c r="AZ54" s="52">
        <v>2</v>
      </c>
      <c r="BA54" s="52">
        <v>102</v>
      </c>
      <c r="BB54" s="52">
        <v>257</v>
      </c>
      <c r="BC54" s="52">
        <v>0</v>
      </c>
      <c r="BD54" s="52">
        <v>257</v>
      </c>
      <c r="BE54" s="52">
        <v>352</v>
      </c>
      <c r="BF54" s="52">
        <v>3</v>
      </c>
      <c r="BG54" s="52">
        <v>355</v>
      </c>
      <c r="BW54" s="52">
        <f t="shared" si="0"/>
        <v>811</v>
      </c>
      <c r="BX54" s="52">
        <f t="shared" si="1"/>
        <v>291</v>
      </c>
      <c r="BY54" s="314">
        <f t="shared" si="2"/>
        <v>0.35881627620221951</v>
      </c>
      <c r="CC54" s="52">
        <f t="shared" si="3"/>
        <v>1874</v>
      </c>
    </row>
    <row r="55" spans="1:81" x14ac:dyDescent="0.2">
      <c r="A55" s="52" t="s">
        <v>209</v>
      </c>
      <c r="B55" s="52">
        <v>13110</v>
      </c>
      <c r="C55" s="52">
        <v>4491</v>
      </c>
      <c r="D55" s="52">
        <v>1230</v>
      </c>
      <c r="E55" s="52">
        <v>5721</v>
      </c>
      <c r="F55" s="52">
        <v>6971</v>
      </c>
      <c r="G55" s="52">
        <v>3180</v>
      </c>
      <c r="H55" s="52">
        <v>10151</v>
      </c>
      <c r="I55" s="52">
        <v>10383</v>
      </c>
      <c r="J55" s="52">
        <v>1496</v>
      </c>
      <c r="K55" s="52">
        <v>11879</v>
      </c>
      <c r="L55" s="52">
        <v>6329</v>
      </c>
      <c r="M55" s="52">
        <v>1453</v>
      </c>
      <c r="N55" s="52">
        <v>7782</v>
      </c>
      <c r="O55" s="52">
        <v>10724</v>
      </c>
      <c r="P55" s="52">
        <v>1769</v>
      </c>
      <c r="Q55" s="52">
        <v>12493</v>
      </c>
      <c r="R55" s="52">
        <v>6700</v>
      </c>
      <c r="S55" s="52">
        <v>1662</v>
      </c>
      <c r="T55" s="52">
        <v>8362</v>
      </c>
      <c r="U55" s="86">
        <v>7476</v>
      </c>
      <c r="V55" s="86">
        <v>1025</v>
      </c>
      <c r="W55" s="52">
        <v>8501</v>
      </c>
      <c r="X55" s="52">
        <v>3872</v>
      </c>
      <c r="Y55" s="52">
        <v>1543</v>
      </c>
      <c r="Z55" s="52">
        <v>5415</v>
      </c>
      <c r="AA55" s="54">
        <v>3463</v>
      </c>
      <c r="AB55" s="54">
        <v>1459</v>
      </c>
      <c r="AC55" s="52">
        <v>4922</v>
      </c>
      <c r="AD55" s="52">
        <v>11365</v>
      </c>
      <c r="AE55" s="52">
        <v>1535</v>
      </c>
      <c r="AF55" s="52">
        <v>12900</v>
      </c>
      <c r="AG55" s="52">
        <v>7886</v>
      </c>
      <c r="AH55" s="52">
        <v>1043</v>
      </c>
      <c r="AI55" s="52">
        <v>8929</v>
      </c>
      <c r="AJ55" s="52">
        <v>8850</v>
      </c>
      <c r="AK55" s="52">
        <v>1887</v>
      </c>
      <c r="AL55" s="52">
        <v>10737</v>
      </c>
      <c r="AM55" s="52">
        <v>3615</v>
      </c>
      <c r="AN55" s="52">
        <v>1009</v>
      </c>
      <c r="AO55" s="52">
        <v>4624</v>
      </c>
      <c r="AP55" s="52">
        <v>9130</v>
      </c>
      <c r="AQ55" s="52">
        <v>1240</v>
      </c>
      <c r="AR55" s="52">
        <v>10370</v>
      </c>
      <c r="AS55" s="52">
        <v>5184</v>
      </c>
      <c r="AT55" s="52">
        <v>205</v>
      </c>
      <c r="AU55" s="52">
        <v>5389</v>
      </c>
      <c r="AV55" s="52">
        <v>-7</v>
      </c>
      <c r="AW55" s="52">
        <v>2957</v>
      </c>
      <c r="AX55" s="52">
        <v>2950</v>
      </c>
      <c r="AY55" s="52">
        <v>17490</v>
      </c>
      <c r="AZ55" s="52">
        <v>848</v>
      </c>
      <c r="BA55" s="52">
        <v>18338</v>
      </c>
      <c r="BB55" s="52">
        <v>3344</v>
      </c>
      <c r="BC55" s="52">
        <v>2117</v>
      </c>
      <c r="BD55" s="52">
        <v>5461</v>
      </c>
      <c r="BE55" s="52">
        <v>19694</v>
      </c>
      <c r="BF55" s="52">
        <v>1189</v>
      </c>
      <c r="BG55" s="52">
        <v>20883</v>
      </c>
      <c r="BW55" s="52">
        <f t="shared" si="0"/>
        <v>58450</v>
      </c>
      <c r="BX55" s="52">
        <f t="shared" si="1"/>
        <v>9565</v>
      </c>
      <c r="BY55" s="314">
        <f t="shared" si="2"/>
        <v>0.16364414029084687</v>
      </c>
      <c r="CC55" s="52">
        <f t="shared" si="3"/>
        <v>88510</v>
      </c>
    </row>
    <row r="56" spans="1:81" x14ac:dyDescent="0.2">
      <c r="A56" s="52" t="s">
        <v>210</v>
      </c>
      <c r="B56" s="52">
        <v>13063</v>
      </c>
      <c r="C56" s="52">
        <v>0</v>
      </c>
      <c r="D56" s="52">
        <v>604</v>
      </c>
      <c r="E56" s="52">
        <v>604</v>
      </c>
      <c r="F56" s="52">
        <v>6283</v>
      </c>
      <c r="G56" s="52">
        <v>1735</v>
      </c>
      <c r="H56" s="52">
        <v>8018</v>
      </c>
      <c r="I56" s="52">
        <v>5697</v>
      </c>
      <c r="J56" s="52">
        <v>445</v>
      </c>
      <c r="K56" s="52">
        <v>6142</v>
      </c>
      <c r="L56" s="52">
        <v>1499</v>
      </c>
      <c r="M56" s="52">
        <v>1217</v>
      </c>
      <c r="N56" s="52">
        <v>2716</v>
      </c>
      <c r="O56" s="52">
        <v>3393</v>
      </c>
      <c r="P56" s="52">
        <v>430</v>
      </c>
      <c r="Q56" s="52">
        <v>3823</v>
      </c>
      <c r="R56" s="52">
        <v>2996</v>
      </c>
      <c r="S56" s="52">
        <v>678</v>
      </c>
      <c r="T56" s="52">
        <v>3674</v>
      </c>
      <c r="U56" s="86">
        <v>3200</v>
      </c>
      <c r="V56" s="86">
        <v>447</v>
      </c>
      <c r="W56" s="52">
        <v>3647</v>
      </c>
      <c r="X56" s="52">
        <v>6523</v>
      </c>
      <c r="Y56" s="52">
        <v>977</v>
      </c>
      <c r="Z56" s="52">
        <v>7500</v>
      </c>
      <c r="AA56" s="54">
        <v>5790</v>
      </c>
      <c r="AB56" s="54">
        <v>918</v>
      </c>
      <c r="AC56" s="52">
        <v>6708</v>
      </c>
      <c r="AD56" s="52">
        <v>6800</v>
      </c>
      <c r="AE56" s="52">
        <v>853</v>
      </c>
      <c r="AF56" s="52">
        <v>7653</v>
      </c>
      <c r="AG56" s="52">
        <v>13853</v>
      </c>
      <c r="AH56" s="52">
        <v>428</v>
      </c>
      <c r="AI56" s="52">
        <v>14281</v>
      </c>
      <c r="AJ56" s="52">
        <v>0</v>
      </c>
      <c r="AK56" s="52">
        <v>1013</v>
      </c>
      <c r="AL56" s="52">
        <v>1013</v>
      </c>
      <c r="AM56" s="52">
        <v>4400</v>
      </c>
      <c r="AN56" s="52">
        <v>565</v>
      </c>
      <c r="AO56" s="52">
        <v>4965</v>
      </c>
      <c r="AP56" s="52">
        <v>5991</v>
      </c>
      <c r="AQ56" s="52">
        <v>457</v>
      </c>
      <c r="AR56" s="52">
        <v>6448</v>
      </c>
      <c r="AS56" s="52">
        <v>4998</v>
      </c>
      <c r="AT56" s="52">
        <v>682</v>
      </c>
      <c r="AU56" s="52">
        <v>5680</v>
      </c>
      <c r="AV56" s="52">
        <v>4706</v>
      </c>
      <c r="AW56" s="52">
        <v>768</v>
      </c>
      <c r="AX56" s="52">
        <v>5474</v>
      </c>
      <c r="AY56" s="52">
        <v>6150</v>
      </c>
      <c r="AZ56" s="52">
        <v>608</v>
      </c>
      <c r="BA56" s="52">
        <v>6758</v>
      </c>
      <c r="BB56" s="52">
        <v>8863</v>
      </c>
      <c r="BC56" s="52">
        <v>1358</v>
      </c>
      <c r="BD56" s="52">
        <v>10221</v>
      </c>
      <c r="BE56" s="52">
        <v>2640</v>
      </c>
      <c r="BF56" s="52">
        <v>378</v>
      </c>
      <c r="BG56" s="52">
        <v>3018</v>
      </c>
      <c r="BW56" s="52">
        <f t="shared" si="0"/>
        <v>37748</v>
      </c>
      <c r="BX56" s="52">
        <f t="shared" si="1"/>
        <v>4816</v>
      </c>
      <c r="BY56" s="314">
        <f t="shared" si="2"/>
        <v>0.1275829183003073</v>
      </c>
      <c r="CC56" s="52">
        <f t="shared" si="3"/>
        <v>56034</v>
      </c>
    </row>
    <row r="57" spans="1:81" x14ac:dyDescent="0.2">
      <c r="A57" s="52" t="s">
        <v>211</v>
      </c>
      <c r="B57" s="52">
        <v>13062</v>
      </c>
      <c r="C57" s="52">
        <v>-5</v>
      </c>
      <c r="D57" s="52">
        <v>404</v>
      </c>
      <c r="E57" s="52">
        <v>399</v>
      </c>
      <c r="F57" s="52">
        <v>8199</v>
      </c>
      <c r="G57" s="52">
        <v>813</v>
      </c>
      <c r="H57" s="52">
        <v>9012</v>
      </c>
      <c r="I57" s="52">
        <v>6600</v>
      </c>
      <c r="J57" s="52">
        <v>751</v>
      </c>
      <c r="K57" s="52">
        <v>7351</v>
      </c>
      <c r="L57" s="52">
        <v>4112</v>
      </c>
      <c r="M57" s="52">
        <v>1095</v>
      </c>
      <c r="N57" s="52">
        <v>5207</v>
      </c>
      <c r="O57" s="52">
        <v>5000</v>
      </c>
      <c r="P57" s="52">
        <v>588</v>
      </c>
      <c r="Q57" s="52">
        <v>5588</v>
      </c>
      <c r="R57" s="52">
        <v>4100</v>
      </c>
      <c r="S57" s="52">
        <v>1129</v>
      </c>
      <c r="T57" s="52">
        <v>5229</v>
      </c>
      <c r="U57" s="86">
        <v>6799</v>
      </c>
      <c r="V57" s="86">
        <v>663</v>
      </c>
      <c r="W57" s="52">
        <v>7462</v>
      </c>
      <c r="X57" s="52">
        <v>7200</v>
      </c>
      <c r="Y57" s="52">
        <v>1114</v>
      </c>
      <c r="Z57" s="52">
        <v>8314</v>
      </c>
      <c r="AA57" s="54">
        <v>6798</v>
      </c>
      <c r="AB57" s="54">
        <v>0</v>
      </c>
      <c r="AC57" s="52">
        <v>6798</v>
      </c>
      <c r="AD57" s="52">
        <v>8031</v>
      </c>
      <c r="AE57" s="52">
        <v>0</v>
      </c>
      <c r="AF57" s="52">
        <v>8031</v>
      </c>
      <c r="AG57" s="52">
        <v>9197</v>
      </c>
      <c r="AH57" s="52">
        <v>0</v>
      </c>
      <c r="AI57" s="52">
        <v>9197</v>
      </c>
      <c r="AJ57" s="52">
        <v>3000</v>
      </c>
      <c r="AK57" s="52">
        <v>0</v>
      </c>
      <c r="AL57" s="52">
        <v>3000</v>
      </c>
      <c r="AM57" s="52">
        <v>8101</v>
      </c>
      <c r="AN57" s="52">
        <v>609</v>
      </c>
      <c r="AO57" s="52">
        <v>8710</v>
      </c>
      <c r="AP57" s="52">
        <v>7950</v>
      </c>
      <c r="AQ57" s="52">
        <v>790</v>
      </c>
      <c r="AR57" s="52">
        <v>8740</v>
      </c>
      <c r="AS57" s="52">
        <v>10300</v>
      </c>
      <c r="AT57" s="52">
        <v>826</v>
      </c>
      <c r="AU57" s="52">
        <v>11126</v>
      </c>
      <c r="AV57" s="52">
        <v>-13</v>
      </c>
      <c r="AW57" s="52">
        <v>632</v>
      </c>
      <c r="AX57" s="52">
        <v>619</v>
      </c>
      <c r="AY57" s="52">
        <v>15808</v>
      </c>
      <c r="AZ57" s="52">
        <v>337</v>
      </c>
      <c r="BA57" s="52">
        <v>16145</v>
      </c>
      <c r="BB57" s="52">
        <v>5586</v>
      </c>
      <c r="BC57" s="52">
        <v>943</v>
      </c>
      <c r="BD57" s="52">
        <v>6529</v>
      </c>
      <c r="BE57" s="52">
        <v>6707</v>
      </c>
      <c r="BF57" s="52">
        <v>726</v>
      </c>
      <c r="BG57" s="52">
        <v>7433</v>
      </c>
      <c r="BW57" s="52">
        <f t="shared" si="0"/>
        <v>54439</v>
      </c>
      <c r="BX57" s="52">
        <f t="shared" si="1"/>
        <v>4863</v>
      </c>
      <c r="BY57" s="314">
        <f t="shared" si="2"/>
        <v>8.9329341097375045E-2</v>
      </c>
      <c r="CC57" s="52">
        <f t="shared" si="3"/>
        <v>69031</v>
      </c>
    </row>
    <row r="58" spans="1:81" x14ac:dyDescent="0.2">
      <c r="A58" s="52" t="s">
        <v>571</v>
      </c>
      <c r="B58" s="52">
        <v>13166</v>
      </c>
      <c r="U58" s="86"/>
      <c r="V58" s="86"/>
      <c r="AA58" s="54"/>
      <c r="AB58" s="54"/>
      <c r="BC58" s="52">
        <v>0</v>
      </c>
      <c r="BE58" s="52">
        <v>6200</v>
      </c>
      <c r="BF58" s="52">
        <v>0</v>
      </c>
      <c r="BG58" s="52">
        <v>6200</v>
      </c>
      <c r="BW58" s="52">
        <f t="shared" si="0"/>
        <v>6200</v>
      </c>
      <c r="BX58" s="52">
        <f t="shared" si="1"/>
        <v>0</v>
      </c>
      <c r="BY58" s="314">
        <f t="shared" si="2"/>
        <v>0</v>
      </c>
      <c r="CC58" s="52">
        <f t="shared" si="3"/>
        <v>0</v>
      </c>
    </row>
    <row r="59" spans="1:81" x14ac:dyDescent="0.2">
      <c r="A59" s="52" t="s">
        <v>572</v>
      </c>
      <c r="B59" s="52">
        <v>13165</v>
      </c>
      <c r="U59" s="86"/>
      <c r="V59" s="86"/>
      <c r="AA59" s="54"/>
      <c r="AB59" s="54"/>
      <c r="BC59" s="52">
        <v>0</v>
      </c>
      <c r="BE59" s="52">
        <v>2500</v>
      </c>
      <c r="BF59" s="52">
        <v>0</v>
      </c>
      <c r="BG59" s="52">
        <v>2500</v>
      </c>
      <c r="BW59" s="52">
        <f t="shared" si="0"/>
        <v>2500</v>
      </c>
      <c r="BX59" s="52">
        <f t="shared" si="1"/>
        <v>0</v>
      </c>
      <c r="BY59" s="314">
        <f t="shared" si="2"/>
        <v>0</v>
      </c>
      <c r="CC59" s="52">
        <f t="shared" si="3"/>
        <v>0</v>
      </c>
    </row>
    <row r="60" spans="1:81" x14ac:dyDescent="0.2">
      <c r="A60" s="52" t="s">
        <v>212</v>
      </c>
      <c r="B60" s="52">
        <v>13060</v>
      </c>
      <c r="C60" s="52">
        <v>414</v>
      </c>
      <c r="D60" s="52">
        <v>356</v>
      </c>
      <c r="E60" s="52">
        <v>770</v>
      </c>
      <c r="F60" s="52">
        <v>5374</v>
      </c>
      <c r="G60" s="52">
        <v>1552</v>
      </c>
      <c r="H60" s="52">
        <v>6926</v>
      </c>
      <c r="I60" s="52">
        <v>3000</v>
      </c>
      <c r="J60" s="52">
        <v>289</v>
      </c>
      <c r="K60" s="52">
        <v>3289</v>
      </c>
      <c r="L60" s="52">
        <v>1300</v>
      </c>
      <c r="M60" s="52">
        <v>479</v>
      </c>
      <c r="N60" s="52">
        <v>1779</v>
      </c>
      <c r="O60" s="52">
        <v>289</v>
      </c>
      <c r="P60" s="52">
        <v>624</v>
      </c>
      <c r="Q60" s="52">
        <v>913</v>
      </c>
      <c r="R60" s="52">
        <v>1200</v>
      </c>
      <c r="S60" s="52">
        <v>339</v>
      </c>
      <c r="T60" s="52">
        <v>1539</v>
      </c>
      <c r="U60" s="86">
        <v>2049</v>
      </c>
      <c r="V60" s="86">
        <v>556</v>
      </c>
      <c r="W60" s="52">
        <v>2605</v>
      </c>
      <c r="X60" s="52">
        <v>2299</v>
      </c>
      <c r="Y60" s="52">
        <v>491</v>
      </c>
      <c r="Z60" s="52">
        <v>2790</v>
      </c>
      <c r="AA60" s="54">
        <v>3976</v>
      </c>
      <c r="AB60" s="54">
        <v>489</v>
      </c>
      <c r="AC60" s="52">
        <v>4465</v>
      </c>
      <c r="AD60" s="52">
        <v>2078</v>
      </c>
      <c r="AE60" s="52">
        <v>165</v>
      </c>
      <c r="AF60" s="52">
        <v>2243</v>
      </c>
      <c r="AG60" s="52">
        <v>-410</v>
      </c>
      <c r="AH60" s="52">
        <v>189</v>
      </c>
      <c r="AI60" s="52">
        <v>-221</v>
      </c>
      <c r="AJ60" s="52">
        <v>1250</v>
      </c>
      <c r="AK60" s="52">
        <v>508</v>
      </c>
      <c r="AL60" s="52">
        <v>1758</v>
      </c>
      <c r="AM60" s="52">
        <v>1543</v>
      </c>
      <c r="AN60" s="52">
        <v>248</v>
      </c>
      <c r="AO60" s="52">
        <v>1791</v>
      </c>
      <c r="AP60" s="52">
        <v>3750</v>
      </c>
      <c r="AQ60" s="52">
        <v>391</v>
      </c>
      <c r="AR60" s="52">
        <v>4141</v>
      </c>
      <c r="AS60" s="52">
        <v>6043</v>
      </c>
      <c r="AT60" s="52">
        <v>458</v>
      </c>
      <c r="AU60" s="52">
        <v>6501</v>
      </c>
      <c r="AV60" s="52">
        <v>2304</v>
      </c>
      <c r="AW60" s="52">
        <v>498</v>
      </c>
      <c r="AX60" s="52">
        <v>2802</v>
      </c>
      <c r="AY60" s="52">
        <v>3222</v>
      </c>
      <c r="AZ60" s="52">
        <v>175</v>
      </c>
      <c r="BA60" s="52">
        <v>3397</v>
      </c>
      <c r="BB60" s="52">
        <v>5718</v>
      </c>
      <c r="BC60" s="52">
        <v>1298</v>
      </c>
      <c r="BD60" s="52">
        <v>7016</v>
      </c>
      <c r="BE60" s="52">
        <v>0</v>
      </c>
      <c r="BF60" s="52">
        <v>192</v>
      </c>
      <c r="BG60" s="52">
        <v>192</v>
      </c>
      <c r="BW60" s="52">
        <f t="shared" si="0"/>
        <v>22580</v>
      </c>
      <c r="BX60" s="52">
        <f t="shared" si="1"/>
        <v>3260</v>
      </c>
      <c r="BY60" s="314">
        <f t="shared" si="2"/>
        <v>0.14437555358724535</v>
      </c>
      <c r="CC60" s="52">
        <f t="shared" si="3"/>
        <v>22819</v>
      </c>
    </row>
    <row r="61" spans="1:81" x14ac:dyDescent="0.2">
      <c r="A61" s="52" t="s">
        <v>213</v>
      </c>
      <c r="B61" s="52">
        <v>13061</v>
      </c>
      <c r="C61" s="52">
        <v>8474</v>
      </c>
      <c r="D61" s="52">
        <v>198</v>
      </c>
      <c r="E61" s="52">
        <v>8672</v>
      </c>
      <c r="F61" s="52">
        <v>3327</v>
      </c>
      <c r="G61" s="52">
        <v>497</v>
      </c>
      <c r="H61" s="52">
        <v>3824</v>
      </c>
      <c r="I61" s="52">
        <v>9351</v>
      </c>
      <c r="J61" s="52">
        <v>373</v>
      </c>
      <c r="K61" s="52">
        <v>9724</v>
      </c>
      <c r="L61" s="52">
        <v>3187</v>
      </c>
      <c r="M61" s="52">
        <v>572</v>
      </c>
      <c r="N61" s="52">
        <v>3759</v>
      </c>
      <c r="O61" s="52">
        <v>6091</v>
      </c>
      <c r="P61" s="52">
        <v>632</v>
      </c>
      <c r="Q61" s="52">
        <v>6723</v>
      </c>
      <c r="R61" s="52">
        <v>2997</v>
      </c>
      <c r="S61" s="52">
        <v>657</v>
      </c>
      <c r="T61" s="52">
        <v>3654</v>
      </c>
      <c r="U61" s="86">
        <v>6710</v>
      </c>
      <c r="V61" s="86">
        <v>387</v>
      </c>
      <c r="W61" s="52">
        <v>7097</v>
      </c>
      <c r="X61" s="52">
        <v>5747</v>
      </c>
      <c r="Y61" s="52">
        <v>608</v>
      </c>
      <c r="Z61" s="52">
        <v>6355</v>
      </c>
      <c r="AA61" s="54">
        <v>4882</v>
      </c>
      <c r="AB61" s="54">
        <v>582</v>
      </c>
      <c r="AC61" s="52">
        <v>5464</v>
      </c>
      <c r="AD61" s="52">
        <v>8385</v>
      </c>
      <c r="AE61" s="52">
        <v>454</v>
      </c>
      <c r="AF61" s="52">
        <v>8839</v>
      </c>
      <c r="AG61" s="52">
        <v>4895</v>
      </c>
      <c r="AH61" s="52">
        <v>227</v>
      </c>
      <c r="AI61" s="52">
        <v>5122</v>
      </c>
      <c r="AJ61" s="52">
        <v>4900</v>
      </c>
      <c r="AK61" s="52">
        <v>1963</v>
      </c>
      <c r="AL61" s="52">
        <v>6863</v>
      </c>
      <c r="AM61" s="52">
        <v>3070</v>
      </c>
      <c r="AN61" s="52">
        <v>157</v>
      </c>
      <c r="AO61" s="52">
        <v>3227</v>
      </c>
      <c r="AP61" s="52">
        <v>4700</v>
      </c>
      <c r="AQ61" s="52">
        <v>275</v>
      </c>
      <c r="AR61" s="52">
        <v>4975</v>
      </c>
      <c r="AS61" s="52">
        <v>3578</v>
      </c>
      <c r="AT61" s="52">
        <v>279</v>
      </c>
      <c r="AU61" s="52">
        <v>3857</v>
      </c>
      <c r="AV61" s="52">
        <v>11227</v>
      </c>
      <c r="AW61" s="52">
        <v>1052</v>
      </c>
      <c r="AX61" s="52">
        <v>12279</v>
      </c>
      <c r="AY61" s="52">
        <v>4920</v>
      </c>
      <c r="AZ61" s="52">
        <v>287</v>
      </c>
      <c r="BA61" s="52">
        <v>5207</v>
      </c>
      <c r="BB61" s="52">
        <v>1846</v>
      </c>
      <c r="BC61" s="52">
        <v>782</v>
      </c>
      <c r="BD61" s="52">
        <v>2628</v>
      </c>
      <c r="BE61" s="52">
        <v>-22</v>
      </c>
      <c r="BF61" s="52">
        <v>295</v>
      </c>
      <c r="BG61" s="52">
        <v>273</v>
      </c>
      <c r="BW61" s="52">
        <f t="shared" si="0"/>
        <v>29319</v>
      </c>
      <c r="BX61" s="52">
        <f t="shared" si="1"/>
        <v>3127</v>
      </c>
      <c r="BY61" s="314">
        <f t="shared" si="2"/>
        <v>0.10665438793956138</v>
      </c>
      <c r="CC61" s="52">
        <f t="shared" si="3"/>
        <v>68946</v>
      </c>
    </row>
    <row r="62" spans="1:81" x14ac:dyDescent="0.2">
      <c r="A62" s="52" t="s">
        <v>258</v>
      </c>
      <c r="B62" s="52">
        <v>13158</v>
      </c>
      <c r="U62" s="86"/>
      <c r="V62" s="86"/>
      <c r="AA62" s="54"/>
      <c r="AB62" s="54"/>
      <c r="AG62" s="52">
        <v>1600</v>
      </c>
      <c r="AH62" s="52">
        <v>0</v>
      </c>
      <c r="AI62" s="52">
        <v>1600</v>
      </c>
      <c r="AJ62" s="52">
        <v>1494</v>
      </c>
      <c r="AK62" s="52">
        <v>28</v>
      </c>
      <c r="AL62" s="52">
        <v>1522</v>
      </c>
      <c r="AM62" s="52">
        <v>0</v>
      </c>
      <c r="AN62" s="52">
        <v>57</v>
      </c>
      <c r="AO62" s="52">
        <v>57</v>
      </c>
      <c r="AP62" s="52">
        <v>200</v>
      </c>
      <c r="AQ62" s="52">
        <v>10</v>
      </c>
      <c r="AR62" s="52">
        <v>210</v>
      </c>
      <c r="AS62" s="52">
        <v>270</v>
      </c>
      <c r="AT62" s="52">
        <v>26</v>
      </c>
      <c r="AU62" s="52">
        <v>296</v>
      </c>
      <c r="AV62" s="52">
        <v>500</v>
      </c>
      <c r="AW62" s="52">
        <v>62</v>
      </c>
      <c r="AX62" s="52">
        <v>562</v>
      </c>
      <c r="AY62" s="52">
        <v>686</v>
      </c>
      <c r="AZ62" s="52">
        <v>109</v>
      </c>
      <c r="BA62" s="52">
        <v>795</v>
      </c>
      <c r="BB62" s="52">
        <v>1540</v>
      </c>
      <c r="BC62" s="52">
        <v>79</v>
      </c>
      <c r="BD62" s="52">
        <v>1619</v>
      </c>
      <c r="BE62" s="52">
        <v>1386</v>
      </c>
      <c r="BF62" s="52">
        <v>84</v>
      </c>
      <c r="BG62" s="52">
        <v>1470</v>
      </c>
      <c r="BW62" s="52">
        <f t="shared" si="0"/>
        <v>4582</v>
      </c>
      <c r="BX62" s="52">
        <f t="shared" si="1"/>
        <v>427</v>
      </c>
      <c r="BY62" s="314">
        <f t="shared" si="2"/>
        <v>9.3190746398952418E-2</v>
      </c>
      <c r="CC62" s="52">
        <f t="shared" si="3"/>
        <v>3094</v>
      </c>
    </row>
    <row r="63" spans="1:81" x14ac:dyDescent="0.2">
      <c r="A63" s="52" t="s">
        <v>214</v>
      </c>
      <c r="B63" s="52">
        <v>13122</v>
      </c>
      <c r="C63" s="52">
        <v>165</v>
      </c>
      <c r="D63" s="52">
        <v>15</v>
      </c>
      <c r="E63" s="52">
        <v>180</v>
      </c>
      <c r="F63" s="52">
        <v>980</v>
      </c>
      <c r="G63" s="52">
        <v>111</v>
      </c>
      <c r="H63" s="52">
        <v>1091</v>
      </c>
      <c r="I63" s="52">
        <v>1241</v>
      </c>
      <c r="J63" s="52">
        <v>82</v>
      </c>
      <c r="K63" s="52">
        <v>1323</v>
      </c>
      <c r="L63" s="52">
        <v>1100</v>
      </c>
      <c r="M63" s="52">
        <v>259</v>
      </c>
      <c r="N63" s="52">
        <v>1359</v>
      </c>
      <c r="O63" s="52">
        <v>1248</v>
      </c>
      <c r="P63" s="52">
        <v>154</v>
      </c>
      <c r="Q63" s="52">
        <v>1402</v>
      </c>
      <c r="R63" s="52">
        <v>1676</v>
      </c>
      <c r="S63" s="52">
        <v>206</v>
      </c>
      <c r="T63" s="52">
        <v>1882</v>
      </c>
      <c r="U63" s="86">
        <v>1047</v>
      </c>
      <c r="V63" s="86">
        <v>151</v>
      </c>
      <c r="W63" s="52">
        <v>1198</v>
      </c>
      <c r="X63" s="52">
        <v>2450</v>
      </c>
      <c r="Y63" s="52">
        <v>315</v>
      </c>
      <c r="Z63" s="52">
        <v>2765</v>
      </c>
      <c r="AA63" s="54">
        <v>1975</v>
      </c>
      <c r="AB63" s="54">
        <v>186</v>
      </c>
      <c r="AC63" s="52">
        <v>2161</v>
      </c>
      <c r="AD63" s="52">
        <v>1050</v>
      </c>
      <c r="AE63" s="52">
        <v>180</v>
      </c>
      <c r="AF63" s="52">
        <v>1230</v>
      </c>
      <c r="AG63" s="52">
        <v>-55</v>
      </c>
      <c r="AH63" s="52">
        <v>148</v>
      </c>
      <c r="AI63" s="52">
        <v>93</v>
      </c>
      <c r="AJ63" s="52">
        <v>3600</v>
      </c>
      <c r="AK63" s="52">
        <v>293</v>
      </c>
      <c r="AL63" s="52">
        <v>3893</v>
      </c>
      <c r="AM63" s="52">
        <v>96</v>
      </c>
      <c r="AN63" s="52">
        <v>125</v>
      </c>
      <c r="AO63" s="52">
        <v>221</v>
      </c>
      <c r="AP63" s="52">
        <v>1840</v>
      </c>
      <c r="AQ63" s="52">
        <v>192</v>
      </c>
      <c r="AR63" s="52">
        <v>2032</v>
      </c>
      <c r="AS63" s="52">
        <v>268</v>
      </c>
      <c r="AT63" s="52">
        <v>151</v>
      </c>
      <c r="AU63" s="52">
        <v>419</v>
      </c>
      <c r="AV63" s="52">
        <v>-1</v>
      </c>
      <c r="AW63" s="52">
        <v>113</v>
      </c>
      <c r="AX63" s="52">
        <v>112</v>
      </c>
      <c r="AY63" s="52">
        <v>0</v>
      </c>
      <c r="AZ63" s="52">
        <v>0</v>
      </c>
      <c r="BA63" s="52">
        <v>0</v>
      </c>
      <c r="BB63" s="52">
        <v>1756</v>
      </c>
      <c r="BC63" s="52">
        <v>0</v>
      </c>
      <c r="BD63" s="52">
        <v>1756</v>
      </c>
      <c r="BE63" s="52">
        <v>3829</v>
      </c>
      <c r="BF63" s="52">
        <v>236</v>
      </c>
      <c r="BG63" s="52">
        <v>4065</v>
      </c>
      <c r="BW63" s="52">
        <f t="shared" si="0"/>
        <v>7788</v>
      </c>
      <c r="BX63" s="52">
        <f t="shared" si="1"/>
        <v>817</v>
      </c>
      <c r="BY63" s="314">
        <f t="shared" si="2"/>
        <v>0.10490498202362609</v>
      </c>
      <c r="CC63" s="52">
        <f t="shared" si="3"/>
        <v>16477</v>
      </c>
    </row>
    <row r="64" spans="1:81" x14ac:dyDescent="0.2">
      <c r="A64" s="52" t="s">
        <v>215</v>
      </c>
      <c r="B64" s="52">
        <v>13042</v>
      </c>
      <c r="C64" s="52">
        <v>0</v>
      </c>
      <c r="D64" s="52">
        <v>0</v>
      </c>
      <c r="E64" s="52">
        <v>0</v>
      </c>
      <c r="F64" s="52">
        <v>0</v>
      </c>
      <c r="G64" s="52">
        <v>0</v>
      </c>
      <c r="H64" s="52">
        <v>0</v>
      </c>
      <c r="I64" s="52">
        <v>0</v>
      </c>
      <c r="J64" s="52">
        <v>0</v>
      </c>
      <c r="K64" s="52">
        <v>0</v>
      </c>
      <c r="L64" s="52">
        <v>0</v>
      </c>
      <c r="M64" s="52">
        <v>0</v>
      </c>
      <c r="N64" s="52">
        <v>0</v>
      </c>
      <c r="O64" s="52">
        <v>0</v>
      </c>
      <c r="P64" s="52">
        <v>0</v>
      </c>
      <c r="Q64" s="52">
        <v>0</v>
      </c>
      <c r="R64" s="52">
        <v>0</v>
      </c>
      <c r="S64" s="52">
        <v>0</v>
      </c>
      <c r="T64" s="52">
        <v>0</v>
      </c>
      <c r="U64" s="86">
        <v>0</v>
      </c>
      <c r="V64" s="86">
        <v>0</v>
      </c>
      <c r="W64" s="52">
        <v>0</v>
      </c>
      <c r="X64" s="52">
        <v>0</v>
      </c>
      <c r="Y64" s="52">
        <v>0</v>
      </c>
      <c r="Z64" s="52">
        <v>0</v>
      </c>
      <c r="AA64" s="54">
        <v>0</v>
      </c>
      <c r="AB64" s="54">
        <v>0</v>
      </c>
      <c r="AC64" s="52">
        <v>0</v>
      </c>
      <c r="AD64" s="52">
        <v>0</v>
      </c>
      <c r="AE64" s="52">
        <v>0</v>
      </c>
      <c r="AF64" s="52">
        <v>0</v>
      </c>
      <c r="AG64" s="52">
        <v>0</v>
      </c>
      <c r="AH64" s="52">
        <v>0</v>
      </c>
      <c r="AI64" s="52">
        <v>0</v>
      </c>
      <c r="AJ64" s="52">
        <v>0</v>
      </c>
      <c r="AK64" s="52">
        <v>0</v>
      </c>
      <c r="AL64" s="52">
        <v>0</v>
      </c>
      <c r="AM64" s="52">
        <v>0</v>
      </c>
      <c r="AN64" s="52">
        <v>0</v>
      </c>
      <c r="AO64" s="52">
        <v>0</v>
      </c>
      <c r="AP64" s="52">
        <v>0</v>
      </c>
      <c r="AQ64" s="52">
        <v>0</v>
      </c>
      <c r="AR64" s="52">
        <v>0</v>
      </c>
      <c r="AS64" s="52">
        <v>0</v>
      </c>
      <c r="AT64" s="52">
        <v>0</v>
      </c>
      <c r="AU64" s="52">
        <v>0</v>
      </c>
      <c r="AV64" s="52">
        <v>0</v>
      </c>
      <c r="AW64" s="52">
        <v>0</v>
      </c>
      <c r="AX64" s="52">
        <v>0</v>
      </c>
      <c r="AY64" s="52">
        <v>0</v>
      </c>
      <c r="AZ64" s="52">
        <v>0</v>
      </c>
      <c r="BA64" s="52">
        <v>0</v>
      </c>
      <c r="BB64" s="52">
        <v>0</v>
      </c>
      <c r="BC64" s="52">
        <v>0</v>
      </c>
      <c r="BD64" s="52">
        <v>0</v>
      </c>
      <c r="BE64" s="52">
        <v>0</v>
      </c>
      <c r="BF64" s="52">
        <v>0</v>
      </c>
      <c r="BG64" s="52">
        <v>0</v>
      </c>
      <c r="BW64" s="52">
        <f t="shared" si="0"/>
        <v>0</v>
      </c>
      <c r="BX64" s="52">
        <f t="shared" si="1"/>
        <v>0</v>
      </c>
      <c r="BY64" s="314" t="e">
        <f t="shared" si="2"/>
        <v>#DIV/0!</v>
      </c>
      <c r="CC64" s="52">
        <f t="shared" si="3"/>
        <v>0</v>
      </c>
    </row>
    <row r="65" spans="1:81" x14ac:dyDescent="0.2">
      <c r="A65" s="52" t="s">
        <v>216</v>
      </c>
      <c r="B65" s="52">
        <v>13044</v>
      </c>
      <c r="C65" s="52">
        <v>-37</v>
      </c>
      <c r="D65" s="52">
        <v>0</v>
      </c>
      <c r="E65" s="52">
        <v>-37</v>
      </c>
      <c r="F65" s="52">
        <v>0</v>
      </c>
      <c r="G65" s="52">
        <v>0</v>
      </c>
      <c r="H65" s="52">
        <v>0</v>
      </c>
      <c r="I65" s="52">
        <v>0</v>
      </c>
      <c r="J65" s="52">
        <v>0</v>
      </c>
      <c r="K65" s="52">
        <v>0</v>
      </c>
      <c r="L65" s="52">
        <v>0</v>
      </c>
      <c r="M65" s="52">
        <v>0</v>
      </c>
      <c r="N65" s="52">
        <v>0</v>
      </c>
      <c r="O65" s="52">
        <v>0</v>
      </c>
      <c r="P65" s="52">
        <v>0</v>
      </c>
      <c r="Q65" s="52">
        <v>0</v>
      </c>
      <c r="R65" s="52">
        <v>0</v>
      </c>
      <c r="S65" s="52">
        <v>0</v>
      </c>
      <c r="T65" s="52">
        <v>0</v>
      </c>
      <c r="U65" s="86">
        <v>0</v>
      </c>
      <c r="V65" s="86">
        <v>0</v>
      </c>
      <c r="W65" s="52">
        <v>0</v>
      </c>
      <c r="X65" s="52">
        <v>0</v>
      </c>
      <c r="Y65" s="52">
        <v>0</v>
      </c>
      <c r="Z65" s="52">
        <v>0</v>
      </c>
      <c r="AA65" s="54">
        <v>0</v>
      </c>
      <c r="AB65" s="54">
        <v>0</v>
      </c>
      <c r="AC65" s="52">
        <v>0</v>
      </c>
      <c r="AD65" s="52">
        <v>0</v>
      </c>
      <c r="AE65" s="52">
        <v>0</v>
      </c>
      <c r="AF65" s="52">
        <v>0</v>
      </c>
      <c r="AG65" s="52">
        <v>0</v>
      </c>
      <c r="AH65" s="52">
        <v>0</v>
      </c>
      <c r="AI65" s="52">
        <v>0</v>
      </c>
      <c r="AJ65" s="52">
        <v>0</v>
      </c>
      <c r="AK65" s="52">
        <v>0</v>
      </c>
      <c r="AL65" s="52">
        <v>0</v>
      </c>
      <c r="AM65" s="52">
        <v>0</v>
      </c>
      <c r="AN65" s="52">
        <v>0</v>
      </c>
      <c r="AO65" s="52">
        <v>0</v>
      </c>
      <c r="AP65" s="52">
        <v>0</v>
      </c>
      <c r="AQ65" s="52">
        <v>0</v>
      </c>
      <c r="AR65" s="52">
        <v>0</v>
      </c>
      <c r="AS65" s="52">
        <v>0</v>
      </c>
      <c r="AT65" s="52">
        <v>0</v>
      </c>
      <c r="AU65" s="52">
        <v>0</v>
      </c>
      <c r="AV65" s="52">
        <v>0</v>
      </c>
      <c r="AW65" s="52">
        <v>0</v>
      </c>
      <c r="AX65" s="52">
        <v>0</v>
      </c>
      <c r="AY65" s="52">
        <v>0</v>
      </c>
      <c r="AZ65" s="52">
        <v>0</v>
      </c>
      <c r="BA65" s="52">
        <v>0</v>
      </c>
      <c r="BB65" s="52">
        <v>0</v>
      </c>
      <c r="BC65" s="52">
        <v>0</v>
      </c>
      <c r="BD65" s="52">
        <v>0</v>
      </c>
      <c r="BE65" s="52">
        <v>0</v>
      </c>
      <c r="BF65" s="52">
        <v>0</v>
      </c>
      <c r="BG65" s="52">
        <v>0</v>
      </c>
      <c r="BW65" s="52">
        <f t="shared" si="0"/>
        <v>0</v>
      </c>
      <c r="BX65" s="52">
        <f t="shared" si="1"/>
        <v>0</v>
      </c>
      <c r="BY65" s="314" t="e">
        <f t="shared" si="2"/>
        <v>#DIV/0!</v>
      </c>
      <c r="CC65" s="52">
        <f t="shared" si="3"/>
        <v>-37</v>
      </c>
    </row>
    <row r="66" spans="1:81" x14ac:dyDescent="0.2">
      <c r="A66" s="52" t="s">
        <v>217</v>
      </c>
      <c r="B66" s="52">
        <v>13137</v>
      </c>
      <c r="C66" s="52">
        <v>0</v>
      </c>
      <c r="D66" s="52">
        <v>7</v>
      </c>
      <c r="E66" s="52">
        <v>7</v>
      </c>
      <c r="F66" s="52">
        <v>0</v>
      </c>
      <c r="G66" s="52">
        <v>14</v>
      </c>
      <c r="H66" s="52">
        <v>14</v>
      </c>
      <c r="I66" s="52">
        <v>0</v>
      </c>
      <c r="J66" s="52">
        <v>23</v>
      </c>
      <c r="K66" s="52">
        <v>23</v>
      </c>
      <c r="L66" s="52">
        <v>0</v>
      </c>
      <c r="M66" s="52">
        <v>61</v>
      </c>
      <c r="N66" s="52">
        <v>61</v>
      </c>
      <c r="O66" s="52">
        <v>0</v>
      </c>
      <c r="P66" s="52">
        <v>74</v>
      </c>
      <c r="Q66" s="52">
        <v>74</v>
      </c>
      <c r="R66" s="52">
        <v>0</v>
      </c>
      <c r="S66" s="52">
        <v>122</v>
      </c>
      <c r="T66" s="52">
        <v>122</v>
      </c>
      <c r="U66" s="86">
        <v>0</v>
      </c>
      <c r="V66" s="86">
        <v>52</v>
      </c>
      <c r="W66" s="52">
        <v>52</v>
      </c>
      <c r="X66" s="52">
        <v>0</v>
      </c>
      <c r="Y66" s="52">
        <v>72</v>
      </c>
      <c r="Z66" s="52">
        <v>72</v>
      </c>
      <c r="AA66" s="54">
        <v>0</v>
      </c>
      <c r="AB66" s="54">
        <v>260</v>
      </c>
      <c r="AC66" s="52">
        <v>260</v>
      </c>
      <c r="AD66" s="52">
        <v>0</v>
      </c>
      <c r="AE66" s="52">
        <v>64</v>
      </c>
      <c r="AF66" s="52">
        <v>64</v>
      </c>
      <c r="AG66" s="52">
        <v>100</v>
      </c>
      <c r="AH66" s="52">
        <v>48</v>
      </c>
      <c r="AI66" s="52">
        <v>148</v>
      </c>
      <c r="AJ66" s="52">
        <v>280</v>
      </c>
      <c r="AK66" s="52">
        <v>82</v>
      </c>
      <c r="AL66" s="52">
        <v>362</v>
      </c>
      <c r="AM66" s="52">
        <v>500</v>
      </c>
      <c r="AN66" s="52">
        <v>43</v>
      </c>
      <c r="AO66" s="52">
        <v>543</v>
      </c>
      <c r="AP66" s="52">
        <v>110</v>
      </c>
      <c r="AQ66" s="52">
        <v>41</v>
      </c>
      <c r="AR66" s="52">
        <v>151</v>
      </c>
      <c r="AS66" s="52">
        <v>137</v>
      </c>
      <c r="AT66" s="52">
        <v>0</v>
      </c>
      <c r="AU66" s="52">
        <v>137</v>
      </c>
      <c r="AV66" s="52">
        <v>20</v>
      </c>
      <c r="AW66" s="52">
        <v>20</v>
      </c>
      <c r="AX66" s="52">
        <v>40</v>
      </c>
      <c r="AY66" s="52">
        <v>0</v>
      </c>
      <c r="AZ66" s="52">
        <v>0</v>
      </c>
      <c r="BA66" s="52">
        <v>0</v>
      </c>
      <c r="BB66" s="52">
        <v>0</v>
      </c>
      <c r="BC66" s="52">
        <v>0</v>
      </c>
      <c r="BD66" s="52">
        <v>0</v>
      </c>
      <c r="BE66" s="52">
        <v>0</v>
      </c>
      <c r="BF66" s="52">
        <v>0</v>
      </c>
      <c r="BG66" s="52">
        <v>0</v>
      </c>
      <c r="BW66" s="52">
        <f t="shared" si="0"/>
        <v>767</v>
      </c>
      <c r="BX66" s="52">
        <f t="shared" si="1"/>
        <v>104</v>
      </c>
      <c r="BY66" s="314">
        <f t="shared" si="2"/>
        <v>0.13559322033898305</v>
      </c>
      <c r="CC66" s="52">
        <f t="shared" si="3"/>
        <v>380</v>
      </c>
    </row>
    <row r="67" spans="1:81" x14ac:dyDescent="0.2">
      <c r="A67" s="52" t="s">
        <v>218</v>
      </c>
      <c r="B67" s="52">
        <v>13138</v>
      </c>
      <c r="C67" s="52">
        <v>0</v>
      </c>
      <c r="D67" s="52">
        <v>0</v>
      </c>
      <c r="E67" s="52">
        <v>0</v>
      </c>
      <c r="F67" s="52">
        <v>2185</v>
      </c>
      <c r="G67" s="52">
        <v>21</v>
      </c>
      <c r="H67" s="52">
        <v>2206</v>
      </c>
      <c r="I67" s="52">
        <v>30</v>
      </c>
      <c r="J67" s="52">
        <v>33</v>
      </c>
      <c r="K67" s="52">
        <v>63</v>
      </c>
      <c r="L67" s="52">
        <v>0</v>
      </c>
      <c r="M67" s="52">
        <v>72</v>
      </c>
      <c r="N67" s="52">
        <v>72</v>
      </c>
      <c r="O67" s="52">
        <v>70</v>
      </c>
      <c r="P67" s="52">
        <v>62</v>
      </c>
      <c r="Q67" s="52">
        <v>132</v>
      </c>
      <c r="R67" s="52">
        <v>500</v>
      </c>
      <c r="S67" s="52">
        <v>61</v>
      </c>
      <c r="T67" s="52">
        <v>561</v>
      </c>
      <c r="U67" s="86">
        <v>1120</v>
      </c>
      <c r="V67" s="86">
        <v>98</v>
      </c>
      <c r="W67" s="52">
        <v>1218</v>
      </c>
      <c r="X67" s="52">
        <v>1150</v>
      </c>
      <c r="Y67" s="52">
        <v>172</v>
      </c>
      <c r="Z67" s="52">
        <v>1322</v>
      </c>
      <c r="AA67" s="54">
        <v>1892</v>
      </c>
      <c r="AB67" s="54">
        <v>0</v>
      </c>
      <c r="AC67" s="52">
        <v>1892</v>
      </c>
      <c r="AD67" s="52">
        <v>1200</v>
      </c>
      <c r="AE67" s="52">
        <v>171</v>
      </c>
      <c r="AF67" s="52">
        <v>1371</v>
      </c>
      <c r="AG67" s="52">
        <v>950</v>
      </c>
      <c r="AH67" s="52">
        <v>91</v>
      </c>
      <c r="AI67" s="52">
        <v>1041</v>
      </c>
      <c r="AJ67" s="52">
        <v>860</v>
      </c>
      <c r="AK67" s="52">
        <v>191</v>
      </c>
      <c r="AL67" s="52">
        <v>1051</v>
      </c>
      <c r="AM67" s="52">
        <v>547</v>
      </c>
      <c r="AN67" s="52">
        <v>0</v>
      </c>
      <c r="AO67" s="52">
        <v>547</v>
      </c>
      <c r="AP67" s="52">
        <v>0</v>
      </c>
      <c r="AQ67" s="52">
        <v>159</v>
      </c>
      <c r="AR67" s="52">
        <v>159</v>
      </c>
      <c r="AS67" s="52">
        <v>1970</v>
      </c>
      <c r="AT67" s="52">
        <v>30</v>
      </c>
      <c r="AU67" s="52">
        <v>2000</v>
      </c>
      <c r="AV67" s="52">
        <v>1025</v>
      </c>
      <c r="AW67" s="52">
        <v>204</v>
      </c>
      <c r="AX67" s="52">
        <v>1229</v>
      </c>
      <c r="AY67" s="52">
        <v>-74</v>
      </c>
      <c r="AZ67" s="52">
        <v>184</v>
      </c>
      <c r="BA67" s="52">
        <v>110</v>
      </c>
      <c r="BB67" s="52">
        <v>-26</v>
      </c>
      <c r="BC67" s="52">
        <v>0</v>
      </c>
      <c r="BD67" s="52">
        <v>-26</v>
      </c>
      <c r="BE67" s="52">
        <v>1290</v>
      </c>
      <c r="BF67" s="52">
        <v>0</v>
      </c>
      <c r="BG67" s="52">
        <v>1290</v>
      </c>
      <c r="BW67" s="52">
        <f t="shared" si="0"/>
        <v>4732</v>
      </c>
      <c r="BX67" s="52">
        <f t="shared" si="1"/>
        <v>577</v>
      </c>
      <c r="BY67" s="314">
        <f t="shared" si="2"/>
        <v>0.12193575655114117</v>
      </c>
      <c r="CC67" s="52">
        <f t="shared" si="3"/>
        <v>9957</v>
      </c>
    </row>
    <row r="68" spans="1:81" x14ac:dyDescent="0.2">
      <c r="A68" s="52" t="s">
        <v>219</v>
      </c>
      <c r="B68" s="52">
        <v>13112</v>
      </c>
      <c r="C68" s="52">
        <v>-35</v>
      </c>
      <c r="D68" s="52">
        <v>248</v>
      </c>
      <c r="E68" s="52">
        <v>213</v>
      </c>
      <c r="F68" s="52">
        <v>2364</v>
      </c>
      <c r="G68" s="52">
        <v>327</v>
      </c>
      <c r="H68" s="52">
        <v>2691</v>
      </c>
      <c r="I68" s="52">
        <v>2700</v>
      </c>
      <c r="J68" s="52">
        <v>400</v>
      </c>
      <c r="K68" s="52">
        <v>3100</v>
      </c>
      <c r="L68" s="52">
        <v>1510</v>
      </c>
      <c r="M68" s="52">
        <v>315</v>
      </c>
      <c r="N68" s="52">
        <v>1825</v>
      </c>
      <c r="O68" s="52">
        <v>3041</v>
      </c>
      <c r="P68" s="52">
        <v>427</v>
      </c>
      <c r="Q68" s="52">
        <v>3468</v>
      </c>
      <c r="R68" s="52">
        <v>2324</v>
      </c>
      <c r="S68" s="52">
        <v>515</v>
      </c>
      <c r="T68" s="52">
        <v>2839</v>
      </c>
      <c r="U68" s="86">
        <v>2321</v>
      </c>
      <c r="V68" s="86">
        <v>363</v>
      </c>
      <c r="W68" s="52">
        <v>2684</v>
      </c>
      <c r="X68" s="52">
        <v>2421</v>
      </c>
      <c r="Y68" s="52">
        <v>490</v>
      </c>
      <c r="Z68" s="52">
        <v>2911</v>
      </c>
      <c r="AA68" s="54">
        <v>2841</v>
      </c>
      <c r="AB68" s="54">
        <v>371</v>
      </c>
      <c r="AC68" s="52">
        <v>3212</v>
      </c>
      <c r="AD68" s="52">
        <v>1787</v>
      </c>
      <c r="AE68" s="52">
        <v>361</v>
      </c>
      <c r="AF68" s="52">
        <v>2148</v>
      </c>
      <c r="AG68" s="52">
        <v>2491</v>
      </c>
      <c r="AH68" s="52">
        <v>273</v>
      </c>
      <c r="AI68" s="52">
        <v>2764</v>
      </c>
      <c r="AJ68" s="52">
        <v>1720</v>
      </c>
      <c r="AK68" s="52">
        <v>448</v>
      </c>
      <c r="AL68" s="52">
        <v>2168</v>
      </c>
      <c r="AM68" s="52">
        <v>2418</v>
      </c>
      <c r="AN68" s="52">
        <v>318</v>
      </c>
      <c r="AO68" s="52">
        <v>2736</v>
      </c>
      <c r="AP68" s="52">
        <v>2658</v>
      </c>
      <c r="AQ68" s="52">
        <v>341</v>
      </c>
      <c r="AR68" s="52">
        <v>2999</v>
      </c>
      <c r="AS68" s="52">
        <v>2806</v>
      </c>
      <c r="AT68" s="52">
        <v>394</v>
      </c>
      <c r="AU68" s="52">
        <v>3200</v>
      </c>
      <c r="AV68" s="52">
        <v>3161</v>
      </c>
      <c r="AW68" s="52">
        <v>350</v>
      </c>
      <c r="AX68" s="52">
        <v>3511</v>
      </c>
      <c r="AY68" s="52">
        <v>3234</v>
      </c>
      <c r="AZ68" s="52">
        <v>417</v>
      </c>
      <c r="BA68" s="52">
        <v>3651</v>
      </c>
      <c r="BB68" s="52">
        <v>3597</v>
      </c>
      <c r="BC68" s="52">
        <v>411</v>
      </c>
      <c r="BD68" s="52">
        <v>4008</v>
      </c>
      <c r="BE68" s="52">
        <v>2460</v>
      </c>
      <c r="BF68" s="52">
        <v>357</v>
      </c>
      <c r="BG68" s="52">
        <v>2817</v>
      </c>
      <c r="BW68" s="52">
        <f t="shared" si="0"/>
        <v>20334</v>
      </c>
      <c r="BX68" s="52">
        <f t="shared" si="1"/>
        <v>2588</v>
      </c>
      <c r="BY68" s="314">
        <f t="shared" si="2"/>
        <v>0.1272745155896528</v>
      </c>
      <c r="CC68" s="52">
        <f t="shared" si="3"/>
        <v>25485</v>
      </c>
    </row>
    <row r="69" spans="1:81" x14ac:dyDescent="0.2">
      <c r="A69" s="52" t="s">
        <v>220</v>
      </c>
      <c r="B69" s="52">
        <v>13009</v>
      </c>
      <c r="C69" s="52">
        <v>300</v>
      </c>
      <c r="D69" s="52">
        <v>12</v>
      </c>
      <c r="E69" s="52">
        <v>312</v>
      </c>
      <c r="F69" s="52">
        <v>50</v>
      </c>
      <c r="G69" s="52">
        <v>2</v>
      </c>
      <c r="H69" s="52">
        <v>52</v>
      </c>
      <c r="I69" s="52">
        <v>-33</v>
      </c>
      <c r="J69" s="52">
        <v>12</v>
      </c>
      <c r="K69" s="52">
        <v>-21</v>
      </c>
      <c r="L69" s="52">
        <v>-141</v>
      </c>
      <c r="M69" s="52">
        <v>20</v>
      </c>
      <c r="N69" s="52">
        <v>-121</v>
      </c>
      <c r="O69" s="52">
        <v>173</v>
      </c>
      <c r="P69" s="52">
        <v>13</v>
      </c>
      <c r="Q69" s="52">
        <v>186</v>
      </c>
      <c r="R69" s="52">
        <v>-7</v>
      </c>
      <c r="S69" s="52">
        <v>10</v>
      </c>
      <c r="T69" s="52">
        <v>3</v>
      </c>
      <c r="U69" s="86">
        <v>-5</v>
      </c>
      <c r="V69" s="86">
        <v>9</v>
      </c>
      <c r="W69" s="52">
        <v>4</v>
      </c>
      <c r="X69" s="52">
        <v>0</v>
      </c>
      <c r="Y69" s="52">
        <v>3</v>
      </c>
      <c r="Z69" s="52">
        <v>3</v>
      </c>
      <c r="AA69" s="54">
        <v>0</v>
      </c>
      <c r="AB69" s="54">
        <v>14</v>
      </c>
      <c r="AC69" s="52">
        <v>14</v>
      </c>
      <c r="AD69" s="52">
        <v>0</v>
      </c>
      <c r="AE69" s="52">
        <v>35</v>
      </c>
      <c r="AF69" s="52">
        <v>35</v>
      </c>
      <c r="AG69" s="52">
        <v>-259</v>
      </c>
      <c r="AH69" s="52">
        <v>0</v>
      </c>
      <c r="AI69" s="52">
        <v>-259</v>
      </c>
      <c r="AJ69" s="52">
        <v>0</v>
      </c>
      <c r="AK69" s="52">
        <v>0</v>
      </c>
      <c r="AL69" s="52">
        <v>0</v>
      </c>
      <c r="AM69" s="52">
        <v>0</v>
      </c>
      <c r="AN69" s="52">
        <v>0</v>
      </c>
      <c r="AO69" s="52">
        <v>0</v>
      </c>
      <c r="AP69" s="52">
        <v>-38</v>
      </c>
      <c r="AQ69" s="52">
        <v>0</v>
      </c>
      <c r="AR69" s="52">
        <v>-38</v>
      </c>
      <c r="AS69" s="52">
        <v>-31</v>
      </c>
      <c r="AT69" s="52">
        <v>0</v>
      </c>
      <c r="AU69" s="52">
        <v>-31</v>
      </c>
      <c r="AV69" s="52">
        <v>-38</v>
      </c>
      <c r="AW69" s="52">
        <v>0</v>
      </c>
      <c r="AX69" s="52">
        <v>-38</v>
      </c>
      <c r="AY69" s="52">
        <v>-82</v>
      </c>
      <c r="AZ69" s="52">
        <v>0</v>
      </c>
      <c r="BA69" s="52">
        <v>-82</v>
      </c>
      <c r="BB69" s="52">
        <v>0</v>
      </c>
      <c r="BC69" s="52">
        <v>0</v>
      </c>
      <c r="BD69" s="52">
        <v>0</v>
      </c>
      <c r="BE69" s="52">
        <v>-2</v>
      </c>
      <c r="BF69" s="52">
        <v>0</v>
      </c>
      <c r="BG69" s="52">
        <v>-2</v>
      </c>
      <c r="BW69" s="52">
        <f t="shared" si="0"/>
        <v>-191</v>
      </c>
      <c r="BX69" s="52">
        <f t="shared" si="1"/>
        <v>0</v>
      </c>
      <c r="BY69" s="314">
        <f t="shared" si="2"/>
        <v>0</v>
      </c>
      <c r="CC69" s="52">
        <f t="shared" si="3"/>
        <v>78</v>
      </c>
    </row>
    <row r="70" spans="1:81" x14ac:dyDescent="0.2">
      <c r="A70" s="52" t="s">
        <v>221</v>
      </c>
      <c r="B70" s="52">
        <v>13008</v>
      </c>
      <c r="C70" s="52">
        <v>0</v>
      </c>
      <c r="D70" s="52">
        <v>0</v>
      </c>
      <c r="E70" s="52">
        <v>0</v>
      </c>
      <c r="F70" s="52">
        <v>0</v>
      </c>
      <c r="G70" s="52">
        <v>0</v>
      </c>
      <c r="H70" s="52">
        <v>0</v>
      </c>
      <c r="I70" s="52">
        <v>0</v>
      </c>
      <c r="J70" s="52">
        <v>0</v>
      </c>
      <c r="K70" s="52">
        <v>0</v>
      </c>
      <c r="L70" s="52">
        <v>-12</v>
      </c>
      <c r="M70" s="52">
        <v>0</v>
      </c>
      <c r="N70" s="52">
        <v>-12</v>
      </c>
      <c r="O70" s="52">
        <v>-4</v>
      </c>
      <c r="P70" s="52">
        <v>0</v>
      </c>
      <c r="Q70" s="52">
        <v>-4</v>
      </c>
      <c r="R70" s="52">
        <v>-1</v>
      </c>
      <c r="S70" s="52">
        <v>0</v>
      </c>
      <c r="T70" s="52">
        <v>-1</v>
      </c>
      <c r="U70" s="86">
        <v>0</v>
      </c>
      <c r="V70" s="86">
        <v>0</v>
      </c>
      <c r="W70" s="52">
        <v>0</v>
      </c>
      <c r="X70" s="52">
        <v>0</v>
      </c>
      <c r="Y70" s="52">
        <v>0</v>
      </c>
      <c r="Z70" s="52">
        <v>0</v>
      </c>
      <c r="AA70" s="54">
        <v>0</v>
      </c>
      <c r="AB70" s="54">
        <v>0</v>
      </c>
      <c r="AC70" s="52">
        <v>0</v>
      </c>
      <c r="AD70" s="52">
        <v>0</v>
      </c>
      <c r="AE70" s="52">
        <v>0</v>
      </c>
      <c r="AF70" s="52">
        <v>0</v>
      </c>
      <c r="AG70" s="52">
        <v>0</v>
      </c>
      <c r="AH70" s="52">
        <v>0</v>
      </c>
      <c r="AI70" s="52">
        <v>0</v>
      </c>
      <c r="AJ70" s="52">
        <v>0</v>
      </c>
      <c r="AK70" s="52">
        <v>0</v>
      </c>
      <c r="AL70" s="52">
        <v>0</v>
      </c>
      <c r="AM70" s="52">
        <v>0</v>
      </c>
      <c r="AN70" s="52">
        <v>0</v>
      </c>
      <c r="AO70" s="52">
        <v>0</v>
      </c>
      <c r="AP70" s="52">
        <v>0</v>
      </c>
      <c r="AQ70" s="52">
        <v>0</v>
      </c>
      <c r="AR70" s="52">
        <v>0</v>
      </c>
      <c r="AS70" s="52">
        <v>0</v>
      </c>
      <c r="AT70" s="52">
        <v>0</v>
      </c>
      <c r="AU70" s="52">
        <v>0</v>
      </c>
      <c r="AV70" s="52">
        <v>0</v>
      </c>
      <c r="AW70" s="52">
        <v>0</v>
      </c>
      <c r="AX70" s="52">
        <v>0</v>
      </c>
      <c r="AY70" s="52">
        <v>0</v>
      </c>
      <c r="AZ70" s="52">
        <v>0</v>
      </c>
      <c r="BA70" s="52">
        <v>0</v>
      </c>
      <c r="BB70" s="52">
        <v>0</v>
      </c>
      <c r="BC70" s="52">
        <v>0</v>
      </c>
      <c r="BD70" s="52">
        <v>0</v>
      </c>
      <c r="BE70" s="52">
        <v>0</v>
      </c>
      <c r="BF70" s="52">
        <v>0</v>
      </c>
      <c r="BG70" s="52">
        <v>0</v>
      </c>
      <c r="BW70" s="52">
        <f t="shared" ref="BW70:BW121" si="4">AM70+AP70+AS70+AV70+AY70+BB70+BE70+BH70+BK70+BN70+BQ70+BT70</f>
        <v>0</v>
      </c>
      <c r="BX70" s="52">
        <f t="shared" ref="BX70:BX121" si="5">AN70+AQ70+AT70+AW70+AZ70+BC70+BF70+BI70+BL70+BO70+BR70+BU70</f>
        <v>0</v>
      </c>
      <c r="BY70" s="314" t="e">
        <f t="shared" ref="BY70:BY121" si="6">+BX70/BW70</f>
        <v>#DIV/0!</v>
      </c>
      <c r="CC70" s="52">
        <f t="shared" ref="CC70:CC99" si="7">SUM(C70,F70,I70,L70,O70,R70,U70,X70,AA70,AD70,AG70,AJ70)</f>
        <v>-17</v>
      </c>
    </row>
    <row r="71" spans="1:81" x14ac:dyDescent="0.2">
      <c r="A71" s="52" t="s">
        <v>222</v>
      </c>
      <c r="B71" s="52">
        <v>13054</v>
      </c>
      <c r="C71" s="52">
        <v>-5</v>
      </c>
      <c r="D71" s="52">
        <v>36</v>
      </c>
      <c r="E71" s="52">
        <v>31</v>
      </c>
      <c r="F71" s="52">
        <v>-22</v>
      </c>
      <c r="G71" s="52">
        <v>55</v>
      </c>
      <c r="H71" s="52">
        <v>33</v>
      </c>
      <c r="I71" s="52">
        <v>645</v>
      </c>
      <c r="J71" s="52">
        <v>61</v>
      </c>
      <c r="K71" s="52">
        <v>706</v>
      </c>
      <c r="L71" s="52">
        <v>277</v>
      </c>
      <c r="M71" s="52">
        <v>39</v>
      </c>
      <c r="N71" s="52">
        <v>316</v>
      </c>
      <c r="O71" s="52">
        <v>967</v>
      </c>
      <c r="P71" s="52">
        <v>66</v>
      </c>
      <c r="Q71" s="52">
        <v>1033</v>
      </c>
      <c r="R71" s="52">
        <v>547</v>
      </c>
      <c r="S71" s="52">
        <v>44</v>
      </c>
      <c r="T71" s="52">
        <v>591</v>
      </c>
      <c r="U71" s="86">
        <v>540</v>
      </c>
      <c r="V71" s="86">
        <v>36</v>
      </c>
      <c r="W71" s="52">
        <v>576</v>
      </c>
      <c r="X71" s="52">
        <v>640</v>
      </c>
      <c r="Y71" s="52">
        <v>94</v>
      </c>
      <c r="Z71" s="52">
        <v>734</v>
      </c>
      <c r="AA71" s="54">
        <v>680</v>
      </c>
      <c r="AB71" s="54">
        <v>52</v>
      </c>
      <c r="AC71" s="52">
        <v>732</v>
      </c>
      <c r="AD71" s="52">
        <v>305</v>
      </c>
      <c r="AE71" s="52">
        <v>0</v>
      </c>
      <c r="AF71" s="52">
        <v>305</v>
      </c>
      <c r="AG71" s="52">
        <v>0</v>
      </c>
      <c r="AH71" s="52">
        <v>0</v>
      </c>
      <c r="AI71" s="52">
        <v>0</v>
      </c>
      <c r="AJ71" s="52">
        <v>0</v>
      </c>
      <c r="AK71" s="52">
        <v>0</v>
      </c>
      <c r="AL71" s="52">
        <v>0</v>
      </c>
      <c r="AM71" s="52">
        <v>1185</v>
      </c>
      <c r="AN71" s="52">
        <v>0</v>
      </c>
      <c r="AO71" s="52">
        <v>1185</v>
      </c>
      <c r="AP71" s="52">
        <v>889</v>
      </c>
      <c r="AQ71" s="52">
        <v>98</v>
      </c>
      <c r="AR71" s="52">
        <v>987</v>
      </c>
      <c r="AS71" s="52">
        <v>1620</v>
      </c>
      <c r="AT71" s="52">
        <v>137</v>
      </c>
      <c r="AU71" s="52">
        <v>1757</v>
      </c>
      <c r="AV71" s="52">
        <v>830</v>
      </c>
      <c r="AW71" s="52">
        <v>0</v>
      </c>
      <c r="AX71" s="52">
        <v>830</v>
      </c>
      <c r="AY71" s="52">
        <v>139</v>
      </c>
      <c r="AZ71" s="52">
        <v>0</v>
      </c>
      <c r="BA71" s="52">
        <v>139</v>
      </c>
      <c r="BB71" s="52">
        <v>0</v>
      </c>
      <c r="BC71" s="52">
        <v>0</v>
      </c>
      <c r="BD71" s="52">
        <v>0</v>
      </c>
      <c r="BE71" s="52">
        <v>0</v>
      </c>
      <c r="BF71" s="52">
        <v>0</v>
      </c>
      <c r="BG71" s="52">
        <v>0</v>
      </c>
      <c r="BW71" s="52">
        <f t="shared" si="4"/>
        <v>4663</v>
      </c>
      <c r="BX71" s="52">
        <f t="shared" si="5"/>
        <v>235</v>
      </c>
      <c r="BY71" s="314">
        <f t="shared" si="6"/>
        <v>5.0396740295946818E-2</v>
      </c>
      <c r="CC71" s="52">
        <f t="shared" si="7"/>
        <v>4574</v>
      </c>
    </row>
    <row r="72" spans="1:81" x14ac:dyDescent="0.2">
      <c r="A72" s="52" t="s">
        <v>223</v>
      </c>
      <c r="B72" s="52">
        <v>13146</v>
      </c>
      <c r="C72" s="52">
        <v>0</v>
      </c>
      <c r="D72" s="52">
        <v>0</v>
      </c>
      <c r="E72" s="52">
        <v>0</v>
      </c>
      <c r="F72" s="52">
        <v>0</v>
      </c>
      <c r="G72" s="52">
        <v>0</v>
      </c>
      <c r="H72" s="52">
        <v>0</v>
      </c>
      <c r="I72" s="52">
        <v>0</v>
      </c>
      <c r="J72" s="52">
        <v>0</v>
      </c>
      <c r="K72" s="52">
        <v>0</v>
      </c>
      <c r="L72" s="52">
        <v>0</v>
      </c>
      <c r="M72" s="52">
        <v>0</v>
      </c>
      <c r="N72" s="52">
        <v>0</v>
      </c>
      <c r="O72" s="52">
        <v>0</v>
      </c>
      <c r="P72" s="52">
        <v>0</v>
      </c>
      <c r="Q72" s="52">
        <v>0</v>
      </c>
      <c r="R72" s="52">
        <v>2300</v>
      </c>
      <c r="S72" s="52">
        <v>0</v>
      </c>
      <c r="T72" s="52">
        <v>2300</v>
      </c>
      <c r="U72" s="86">
        <v>2000</v>
      </c>
      <c r="V72" s="86">
        <v>138</v>
      </c>
      <c r="W72" s="52">
        <v>2138</v>
      </c>
      <c r="X72" s="52">
        <v>1000</v>
      </c>
      <c r="Y72" s="52">
        <v>251</v>
      </c>
      <c r="Z72" s="52">
        <v>1251</v>
      </c>
      <c r="AA72" s="54">
        <v>0</v>
      </c>
      <c r="AB72" s="54">
        <v>0</v>
      </c>
      <c r="AC72" s="52">
        <v>0</v>
      </c>
      <c r="AD72" s="52">
        <v>780</v>
      </c>
      <c r="AE72" s="52">
        <v>162</v>
      </c>
      <c r="AF72" s="52">
        <v>942</v>
      </c>
      <c r="AG72" s="52">
        <v>500</v>
      </c>
      <c r="AH72" s="52">
        <v>162</v>
      </c>
      <c r="AI72" s="52">
        <v>662</v>
      </c>
      <c r="AJ72" s="52">
        <v>1290</v>
      </c>
      <c r="AK72" s="52">
        <v>253</v>
      </c>
      <c r="AL72" s="52">
        <v>1543</v>
      </c>
      <c r="AM72" s="52">
        <v>1644</v>
      </c>
      <c r="AN72" s="52">
        <v>187</v>
      </c>
      <c r="AO72" s="52">
        <v>1831</v>
      </c>
      <c r="AP72" s="52">
        <v>0</v>
      </c>
      <c r="AQ72" s="52">
        <v>234</v>
      </c>
      <c r="AR72" s="52">
        <v>234</v>
      </c>
      <c r="AS72" s="52">
        <v>3383</v>
      </c>
      <c r="AT72" s="52">
        <v>212</v>
      </c>
      <c r="AU72" s="52">
        <v>3595</v>
      </c>
      <c r="AV72" s="52">
        <v>0</v>
      </c>
      <c r="AW72" s="52">
        <v>212</v>
      </c>
      <c r="AX72" s="52">
        <v>212</v>
      </c>
      <c r="AY72" s="52">
        <v>0</v>
      </c>
      <c r="AZ72" s="52">
        <v>11</v>
      </c>
      <c r="BA72" s="52">
        <v>11</v>
      </c>
      <c r="BB72" s="52">
        <v>3700</v>
      </c>
      <c r="BC72" s="52">
        <v>2</v>
      </c>
      <c r="BD72" s="52">
        <v>3702</v>
      </c>
      <c r="BE72" s="52">
        <v>420</v>
      </c>
      <c r="BF72" s="52">
        <v>510</v>
      </c>
      <c r="BG72" s="52">
        <v>930</v>
      </c>
      <c r="BW72" s="52">
        <f t="shared" si="4"/>
        <v>9147</v>
      </c>
      <c r="BX72" s="52">
        <f t="shared" si="5"/>
        <v>1368</v>
      </c>
      <c r="BY72" s="314">
        <f t="shared" si="6"/>
        <v>0.1495572318793047</v>
      </c>
      <c r="CC72" s="52">
        <f t="shared" si="7"/>
        <v>7870</v>
      </c>
    </row>
    <row r="73" spans="1:81" x14ac:dyDescent="0.2">
      <c r="A73" s="52" t="s">
        <v>224</v>
      </c>
      <c r="B73" s="52">
        <v>13067</v>
      </c>
      <c r="C73" s="52">
        <v>-13</v>
      </c>
      <c r="D73" s="52">
        <v>193</v>
      </c>
      <c r="E73" s="52">
        <v>180</v>
      </c>
      <c r="F73" s="52">
        <v>1717</v>
      </c>
      <c r="G73" s="52">
        <v>292</v>
      </c>
      <c r="H73" s="52">
        <v>2009</v>
      </c>
      <c r="I73" s="52">
        <v>2621</v>
      </c>
      <c r="J73" s="52">
        <v>315</v>
      </c>
      <c r="K73" s="52">
        <v>2936</v>
      </c>
      <c r="L73" s="52">
        <v>1416</v>
      </c>
      <c r="M73" s="52">
        <v>227</v>
      </c>
      <c r="N73" s="52">
        <v>1643</v>
      </c>
      <c r="O73" s="52">
        <v>2003</v>
      </c>
      <c r="P73" s="52">
        <v>296</v>
      </c>
      <c r="Q73" s="52">
        <v>2299</v>
      </c>
      <c r="R73" s="52">
        <v>1642</v>
      </c>
      <c r="S73" s="52">
        <v>325</v>
      </c>
      <c r="T73" s="52">
        <v>1967</v>
      </c>
      <c r="U73" s="86">
        <v>2090</v>
      </c>
      <c r="V73" s="86">
        <v>231</v>
      </c>
      <c r="W73" s="52">
        <v>2321</v>
      </c>
      <c r="X73" s="52">
        <v>2616</v>
      </c>
      <c r="Y73" s="52">
        <v>431</v>
      </c>
      <c r="Z73" s="52">
        <v>3047</v>
      </c>
      <c r="AA73" s="54">
        <v>2696</v>
      </c>
      <c r="AB73" s="54">
        <v>317</v>
      </c>
      <c r="AC73" s="52">
        <v>3013</v>
      </c>
      <c r="AD73" s="52">
        <v>2550</v>
      </c>
      <c r="AE73" s="52">
        <v>332</v>
      </c>
      <c r="AF73" s="52">
        <v>2882</v>
      </c>
      <c r="AG73" s="52">
        <v>2120</v>
      </c>
      <c r="AH73" s="52">
        <v>213</v>
      </c>
      <c r="AI73" s="52">
        <v>2333</v>
      </c>
      <c r="AJ73" s="52">
        <v>2340</v>
      </c>
      <c r="AK73" s="52">
        <v>422</v>
      </c>
      <c r="AL73" s="52">
        <v>2762</v>
      </c>
      <c r="AM73" s="52">
        <v>1238</v>
      </c>
      <c r="AN73" s="52">
        <v>175</v>
      </c>
      <c r="AO73" s="52">
        <v>1413</v>
      </c>
      <c r="AP73" s="52">
        <v>2255</v>
      </c>
      <c r="AQ73" s="52">
        <v>303</v>
      </c>
      <c r="AR73" s="52">
        <v>2558</v>
      </c>
      <c r="AS73" s="52">
        <v>2247</v>
      </c>
      <c r="AT73" s="52">
        <v>246</v>
      </c>
      <c r="AU73" s="52">
        <v>2493</v>
      </c>
      <c r="AV73" s="52">
        <v>2450</v>
      </c>
      <c r="AW73" s="52">
        <v>254</v>
      </c>
      <c r="AX73" s="52">
        <v>2704</v>
      </c>
      <c r="AY73" s="52">
        <v>3006</v>
      </c>
      <c r="AZ73" s="52">
        <v>296</v>
      </c>
      <c r="BA73" s="52">
        <v>3302</v>
      </c>
      <c r="BB73" s="52">
        <v>1778</v>
      </c>
      <c r="BC73" s="52">
        <v>242</v>
      </c>
      <c r="BD73" s="52">
        <v>2020</v>
      </c>
      <c r="BE73" s="52">
        <v>2210</v>
      </c>
      <c r="BF73" s="52">
        <v>236</v>
      </c>
      <c r="BG73" s="52">
        <v>2446</v>
      </c>
      <c r="BW73" s="52">
        <f t="shared" si="4"/>
        <v>15184</v>
      </c>
      <c r="BX73" s="52">
        <f t="shared" si="5"/>
        <v>1752</v>
      </c>
      <c r="BY73" s="314">
        <f t="shared" si="6"/>
        <v>0.11538461538461539</v>
      </c>
      <c r="CC73" s="52">
        <f t="shared" si="7"/>
        <v>23798</v>
      </c>
    </row>
    <row r="74" spans="1:81" x14ac:dyDescent="0.2">
      <c r="A74" s="52" t="s">
        <v>225</v>
      </c>
      <c r="B74" s="52">
        <v>13068</v>
      </c>
      <c r="C74" s="52">
        <v>107</v>
      </c>
      <c r="D74" s="52">
        <v>86</v>
      </c>
      <c r="E74" s="52">
        <v>193</v>
      </c>
      <c r="F74" s="52">
        <v>1986</v>
      </c>
      <c r="G74" s="52">
        <v>152</v>
      </c>
      <c r="H74" s="52">
        <v>2138</v>
      </c>
      <c r="I74" s="52">
        <v>1191</v>
      </c>
      <c r="J74" s="52">
        <v>105</v>
      </c>
      <c r="K74" s="52">
        <v>1296</v>
      </c>
      <c r="L74" s="52">
        <v>1487</v>
      </c>
      <c r="M74" s="52">
        <v>243</v>
      </c>
      <c r="N74" s="52">
        <v>1730</v>
      </c>
      <c r="O74" s="52">
        <v>613</v>
      </c>
      <c r="P74" s="52">
        <v>87</v>
      </c>
      <c r="Q74" s="52">
        <v>700</v>
      </c>
      <c r="R74" s="52">
        <v>825</v>
      </c>
      <c r="S74" s="52">
        <v>179</v>
      </c>
      <c r="T74" s="52">
        <v>1004</v>
      </c>
      <c r="U74" s="86">
        <v>1233</v>
      </c>
      <c r="V74" s="86">
        <v>127</v>
      </c>
      <c r="W74" s="52">
        <v>1360</v>
      </c>
      <c r="X74" s="52">
        <v>1438</v>
      </c>
      <c r="Y74" s="52">
        <v>230</v>
      </c>
      <c r="Z74" s="52">
        <v>1668</v>
      </c>
      <c r="AA74" s="54">
        <v>1568</v>
      </c>
      <c r="AB74" s="54">
        <v>248</v>
      </c>
      <c r="AC74" s="52">
        <v>1816</v>
      </c>
      <c r="AD74" s="52">
        <v>1000</v>
      </c>
      <c r="AE74" s="52">
        <v>272</v>
      </c>
      <c r="AF74" s="52">
        <v>1272</v>
      </c>
      <c r="AG74" s="52">
        <v>652</v>
      </c>
      <c r="AH74" s="52">
        <v>93</v>
      </c>
      <c r="AI74" s="52">
        <v>745</v>
      </c>
      <c r="AJ74" s="52">
        <v>1130</v>
      </c>
      <c r="AK74" s="52">
        <v>228</v>
      </c>
      <c r="AL74" s="52">
        <v>1358</v>
      </c>
      <c r="AM74" s="52">
        <v>720</v>
      </c>
      <c r="AN74" s="52">
        <v>89</v>
      </c>
      <c r="AO74" s="52">
        <v>809</v>
      </c>
      <c r="AP74" s="52">
        <v>880</v>
      </c>
      <c r="AQ74" s="52">
        <v>133</v>
      </c>
      <c r="AR74" s="52">
        <v>1013</v>
      </c>
      <c r="AS74" s="52">
        <v>867</v>
      </c>
      <c r="AT74" s="52">
        <v>119</v>
      </c>
      <c r="AU74" s="52">
        <v>986</v>
      </c>
      <c r="AV74" s="52">
        <v>1317</v>
      </c>
      <c r="AW74" s="52">
        <v>162</v>
      </c>
      <c r="AX74" s="52">
        <v>1479</v>
      </c>
      <c r="AY74" s="52">
        <v>1646</v>
      </c>
      <c r="AZ74" s="52">
        <v>96</v>
      </c>
      <c r="BA74" s="52">
        <v>1742</v>
      </c>
      <c r="BB74" s="52">
        <v>660</v>
      </c>
      <c r="BC74" s="52">
        <v>134</v>
      </c>
      <c r="BD74" s="52">
        <v>794</v>
      </c>
      <c r="BE74" s="52">
        <v>1252</v>
      </c>
      <c r="BF74" s="52">
        <v>119</v>
      </c>
      <c r="BG74" s="52">
        <v>1371</v>
      </c>
      <c r="BW74" s="52">
        <f t="shared" si="4"/>
        <v>7342</v>
      </c>
      <c r="BX74" s="52">
        <f t="shared" si="5"/>
        <v>852</v>
      </c>
      <c r="BY74" s="314">
        <f t="shared" si="6"/>
        <v>0.11604467447561972</v>
      </c>
      <c r="CC74" s="52">
        <f t="shared" si="7"/>
        <v>13230</v>
      </c>
    </row>
    <row r="75" spans="1:81" x14ac:dyDescent="0.2">
      <c r="A75" s="52" t="s">
        <v>226</v>
      </c>
      <c r="B75" s="52">
        <v>13038</v>
      </c>
      <c r="C75" s="52">
        <v>-206</v>
      </c>
      <c r="D75" s="52">
        <v>0</v>
      </c>
      <c r="E75" s="52">
        <v>-206</v>
      </c>
      <c r="F75" s="52">
        <v>-5</v>
      </c>
      <c r="G75" s="52">
        <v>119</v>
      </c>
      <c r="H75" s="52">
        <v>114</v>
      </c>
      <c r="I75" s="52">
        <v>-2</v>
      </c>
      <c r="J75" s="52">
        <v>21</v>
      </c>
      <c r="K75" s="52">
        <v>19</v>
      </c>
      <c r="L75" s="52">
        <v>6251</v>
      </c>
      <c r="M75" s="52">
        <v>281</v>
      </c>
      <c r="N75" s="52">
        <v>6532</v>
      </c>
      <c r="O75" s="52">
        <v>3243</v>
      </c>
      <c r="P75" s="52">
        <v>285</v>
      </c>
      <c r="Q75" s="52">
        <v>3528</v>
      </c>
      <c r="R75" s="52">
        <v>1170</v>
      </c>
      <c r="S75" s="52">
        <v>261</v>
      </c>
      <c r="T75" s="52">
        <v>1431</v>
      </c>
      <c r="U75" s="86">
        <v>2750</v>
      </c>
      <c r="V75" s="86">
        <v>193</v>
      </c>
      <c r="W75" s="52">
        <v>2943</v>
      </c>
      <c r="X75" s="52">
        <v>459</v>
      </c>
      <c r="Y75" s="52">
        <v>261</v>
      </c>
      <c r="Z75" s="52">
        <v>720</v>
      </c>
      <c r="AA75" s="54">
        <v>1990</v>
      </c>
      <c r="AB75" s="54">
        <v>211</v>
      </c>
      <c r="AC75" s="52">
        <v>2201</v>
      </c>
      <c r="AD75" s="52">
        <v>2001</v>
      </c>
      <c r="AE75" s="52">
        <v>244</v>
      </c>
      <c r="AF75" s="52">
        <v>2245</v>
      </c>
      <c r="AG75" s="52">
        <v>2028</v>
      </c>
      <c r="AH75" s="52">
        <v>186</v>
      </c>
      <c r="AI75" s="52">
        <v>2214</v>
      </c>
      <c r="AJ75" s="52">
        <v>1350</v>
      </c>
      <c r="AK75" s="52">
        <v>305</v>
      </c>
      <c r="AL75" s="52">
        <v>1655</v>
      </c>
      <c r="AM75" s="52">
        <v>869</v>
      </c>
      <c r="AN75" s="52">
        <v>77</v>
      </c>
      <c r="AO75" s="52">
        <v>946</v>
      </c>
      <c r="AP75" s="52">
        <v>1340</v>
      </c>
      <c r="AQ75" s="52">
        <v>274</v>
      </c>
      <c r="AR75" s="52">
        <v>1614</v>
      </c>
      <c r="AS75" s="52">
        <v>1600</v>
      </c>
      <c r="AT75" s="52">
        <v>699</v>
      </c>
      <c r="AU75" s="52">
        <v>2299</v>
      </c>
      <c r="AV75" s="52">
        <v>2450</v>
      </c>
      <c r="AW75" s="52">
        <v>214</v>
      </c>
      <c r="AX75" s="52">
        <v>2664</v>
      </c>
      <c r="AY75" s="52">
        <v>1976</v>
      </c>
      <c r="AZ75" s="52">
        <v>184</v>
      </c>
      <c r="BA75" s="52">
        <v>2160</v>
      </c>
      <c r="BB75" s="52">
        <v>610</v>
      </c>
      <c r="BC75" s="52">
        <v>147</v>
      </c>
      <c r="BD75" s="52">
        <v>757</v>
      </c>
      <c r="BE75" s="52">
        <v>1363</v>
      </c>
      <c r="BF75" s="52">
        <v>165</v>
      </c>
      <c r="BG75" s="52">
        <v>1528</v>
      </c>
      <c r="BW75" s="52">
        <f t="shared" si="4"/>
        <v>10208</v>
      </c>
      <c r="BX75" s="52">
        <f t="shared" si="5"/>
        <v>1760</v>
      </c>
      <c r="BY75" s="314">
        <f t="shared" si="6"/>
        <v>0.17241379310344829</v>
      </c>
      <c r="CC75" s="52">
        <f t="shared" si="7"/>
        <v>21029</v>
      </c>
    </row>
    <row r="76" spans="1:81" x14ac:dyDescent="0.2">
      <c r="A76" s="52" t="s">
        <v>227</v>
      </c>
      <c r="B76" s="52">
        <v>13121</v>
      </c>
      <c r="C76" s="52">
        <v>1371</v>
      </c>
      <c r="D76" s="52">
        <v>512</v>
      </c>
      <c r="E76" s="52">
        <v>1883</v>
      </c>
      <c r="F76" s="52">
        <v>4758</v>
      </c>
      <c r="G76" s="52">
        <v>394</v>
      </c>
      <c r="H76" s="52">
        <v>5152</v>
      </c>
      <c r="I76" s="52">
        <v>4699</v>
      </c>
      <c r="J76" s="52">
        <v>463</v>
      </c>
      <c r="K76" s="52">
        <v>5162</v>
      </c>
      <c r="L76" s="52">
        <v>2146</v>
      </c>
      <c r="M76" s="52">
        <v>571</v>
      </c>
      <c r="N76" s="52">
        <v>2717</v>
      </c>
      <c r="O76" s="52">
        <v>5700</v>
      </c>
      <c r="P76" s="52">
        <v>748</v>
      </c>
      <c r="Q76" s="52">
        <v>6448</v>
      </c>
      <c r="R76" s="52">
        <v>4090</v>
      </c>
      <c r="S76" s="52">
        <v>1166</v>
      </c>
      <c r="T76" s="52">
        <v>5256</v>
      </c>
      <c r="U76" s="86">
        <v>3292</v>
      </c>
      <c r="V76" s="86">
        <v>601</v>
      </c>
      <c r="W76" s="52">
        <v>3893</v>
      </c>
      <c r="X76" s="52">
        <v>5067</v>
      </c>
      <c r="Y76" s="52">
        <v>899</v>
      </c>
      <c r="Z76" s="52">
        <v>5966</v>
      </c>
      <c r="AA76" s="54">
        <v>5370</v>
      </c>
      <c r="AB76" s="54">
        <v>824</v>
      </c>
      <c r="AC76" s="52">
        <v>6194</v>
      </c>
      <c r="AD76" s="52">
        <v>3000</v>
      </c>
      <c r="AE76" s="52">
        <v>1056</v>
      </c>
      <c r="AF76" s="52">
        <v>4056</v>
      </c>
      <c r="AG76" s="52">
        <v>4598</v>
      </c>
      <c r="AH76" s="52">
        <v>363</v>
      </c>
      <c r="AI76" s="52">
        <v>4961</v>
      </c>
      <c r="AJ76" s="52">
        <v>4850</v>
      </c>
      <c r="AK76" s="52">
        <v>1058</v>
      </c>
      <c r="AL76" s="52">
        <v>5908</v>
      </c>
      <c r="AM76" s="52">
        <v>3820</v>
      </c>
      <c r="AN76" s="52">
        <v>542</v>
      </c>
      <c r="AO76" s="52">
        <v>4362</v>
      </c>
      <c r="AP76" s="52">
        <v>7828</v>
      </c>
      <c r="AQ76" s="52">
        <v>867</v>
      </c>
      <c r="AR76" s="52">
        <v>8695</v>
      </c>
      <c r="AS76" s="52">
        <v>4330</v>
      </c>
      <c r="AT76" s="52">
        <v>543</v>
      </c>
      <c r="AU76" s="52">
        <v>4873</v>
      </c>
      <c r="AV76" s="52">
        <v>9472</v>
      </c>
      <c r="AW76" s="52">
        <v>770</v>
      </c>
      <c r="AX76" s="52">
        <v>10242</v>
      </c>
      <c r="AY76" s="52">
        <v>5381</v>
      </c>
      <c r="AZ76" s="52">
        <v>621</v>
      </c>
      <c r="BA76" s="52">
        <v>6002</v>
      </c>
      <c r="BB76" s="52">
        <v>4590</v>
      </c>
      <c r="BC76" s="52">
        <v>798</v>
      </c>
      <c r="BD76" s="52">
        <v>5388</v>
      </c>
      <c r="BE76" s="52">
        <v>4361</v>
      </c>
      <c r="BF76" s="52">
        <v>510</v>
      </c>
      <c r="BG76" s="52">
        <v>4871</v>
      </c>
      <c r="BW76" s="52">
        <f t="shared" si="4"/>
        <v>39782</v>
      </c>
      <c r="BX76" s="52">
        <f t="shared" si="5"/>
        <v>4651</v>
      </c>
      <c r="BY76" s="314">
        <f t="shared" si="6"/>
        <v>0.11691217133376904</v>
      </c>
      <c r="CC76" s="52">
        <f t="shared" si="7"/>
        <v>48941</v>
      </c>
    </row>
    <row r="77" spans="1:81" x14ac:dyDescent="0.2">
      <c r="A77" s="52" t="s">
        <v>228</v>
      </c>
      <c r="B77" s="52">
        <v>13079</v>
      </c>
      <c r="C77" s="52">
        <v>-36</v>
      </c>
      <c r="D77" s="52">
        <v>35</v>
      </c>
      <c r="E77" s="52">
        <v>-1</v>
      </c>
      <c r="F77" s="52">
        <v>230</v>
      </c>
      <c r="G77" s="52">
        <v>90</v>
      </c>
      <c r="H77" s="52">
        <v>320</v>
      </c>
      <c r="I77" s="52">
        <v>0</v>
      </c>
      <c r="J77" s="52">
        <v>666</v>
      </c>
      <c r="K77" s="52">
        <v>666</v>
      </c>
      <c r="L77" s="52">
        <v>100</v>
      </c>
      <c r="M77" s="52">
        <v>325</v>
      </c>
      <c r="N77" s="52">
        <v>425</v>
      </c>
      <c r="O77" s="52">
        <v>50</v>
      </c>
      <c r="P77" s="52">
        <v>28</v>
      </c>
      <c r="Q77" s="52">
        <v>78</v>
      </c>
      <c r="R77" s="52">
        <v>0</v>
      </c>
      <c r="S77" s="52">
        <v>32</v>
      </c>
      <c r="T77" s="52">
        <v>32</v>
      </c>
      <c r="U77" s="86">
        <v>0</v>
      </c>
      <c r="V77" s="86">
        <v>79</v>
      </c>
      <c r="W77" s="52">
        <v>79</v>
      </c>
      <c r="X77" s="52">
        <v>0</v>
      </c>
      <c r="Y77" s="52">
        <v>86</v>
      </c>
      <c r="Z77" s="52">
        <v>86</v>
      </c>
      <c r="AA77" s="54">
        <v>-2</v>
      </c>
      <c r="AB77" s="54">
        <v>62</v>
      </c>
      <c r="AC77" s="52">
        <v>60</v>
      </c>
      <c r="AD77" s="52">
        <v>0</v>
      </c>
      <c r="AE77" s="52">
        <v>0</v>
      </c>
      <c r="AF77" s="52">
        <v>0</v>
      </c>
      <c r="AG77" s="52">
        <v>0</v>
      </c>
      <c r="AH77" s="52">
        <v>0</v>
      </c>
      <c r="AI77" s="52">
        <v>0</v>
      </c>
      <c r="AJ77" s="52">
        <v>0</v>
      </c>
      <c r="AK77" s="52">
        <v>0</v>
      </c>
      <c r="AL77" s="52">
        <v>0</v>
      </c>
      <c r="AM77" s="52">
        <v>0</v>
      </c>
      <c r="AN77" s="52">
        <v>0</v>
      </c>
      <c r="AO77" s="52">
        <v>0</v>
      </c>
      <c r="AP77" s="52">
        <v>-3</v>
      </c>
      <c r="AQ77" s="52">
        <v>0</v>
      </c>
      <c r="AR77" s="52">
        <v>-3</v>
      </c>
      <c r="AS77" s="52">
        <v>-1370</v>
      </c>
      <c r="AT77" s="52">
        <v>0</v>
      </c>
      <c r="AU77" s="52">
        <v>-1370</v>
      </c>
      <c r="AV77" s="52">
        <v>-886</v>
      </c>
      <c r="AW77" s="52">
        <v>0</v>
      </c>
      <c r="AX77" s="52">
        <v>-886</v>
      </c>
      <c r="AY77" s="52">
        <v>-655</v>
      </c>
      <c r="AZ77" s="52">
        <v>0</v>
      </c>
      <c r="BA77" s="52">
        <v>-655</v>
      </c>
      <c r="BB77" s="52">
        <v>-64</v>
      </c>
      <c r="BC77" s="52">
        <v>0</v>
      </c>
      <c r="BD77" s="52">
        <v>-64</v>
      </c>
      <c r="BE77" s="52">
        <v>-9</v>
      </c>
      <c r="BF77" s="52">
        <v>0</v>
      </c>
      <c r="BG77" s="52">
        <v>-9</v>
      </c>
      <c r="BW77" s="52">
        <f t="shared" si="4"/>
        <v>-2987</v>
      </c>
      <c r="BX77" s="52">
        <f t="shared" si="5"/>
        <v>0</v>
      </c>
      <c r="BY77" s="314">
        <f t="shared" si="6"/>
        <v>0</v>
      </c>
      <c r="CC77" s="52">
        <f t="shared" si="7"/>
        <v>342</v>
      </c>
    </row>
    <row r="78" spans="1:81" x14ac:dyDescent="0.2">
      <c r="A78" s="52" t="s">
        <v>229</v>
      </c>
      <c r="B78" s="52">
        <v>13049</v>
      </c>
      <c r="C78" s="52">
        <v>0</v>
      </c>
      <c r="D78" s="52">
        <v>0</v>
      </c>
      <c r="E78" s="52">
        <v>0</v>
      </c>
      <c r="F78" s="52">
        <v>0</v>
      </c>
      <c r="G78" s="52">
        <v>0</v>
      </c>
      <c r="H78" s="52">
        <v>0</v>
      </c>
      <c r="I78" s="52">
        <v>-4</v>
      </c>
      <c r="J78" s="52">
        <v>0</v>
      </c>
      <c r="K78" s="52">
        <v>-4</v>
      </c>
      <c r="L78" s="52">
        <v>-16</v>
      </c>
      <c r="M78" s="52">
        <v>0</v>
      </c>
      <c r="N78" s="52">
        <v>-16</v>
      </c>
      <c r="O78" s="52">
        <v>-3</v>
      </c>
      <c r="P78" s="52">
        <v>0</v>
      </c>
      <c r="Q78" s="52">
        <v>-3</v>
      </c>
      <c r="R78" s="52">
        <v>-17</v>
      </c>
      <c r="S78" s="52">
        <v>0</v>
      </c>
      <c r="T78" s="52">
        <v>-17</v>
      </c>
      <c r="U78" s="86">
        <v>-14</v>
      </c>
      <c r="V78" s="86">
        <v>0</v>
      </c>
      <c r="W78" s="52">
        <v>-14</v>
      </c>
      <c r="X78" s="52">
        <v>0</v>
      </c>
      <c r="Y78" s="52">
        <v>0</v>
      </c>
      <c r="Z78" s="52">
        <v>0</v>
      </c>
      <c r="AA78" s="54">
        <v>0</v>
      </c>
      <c r="AB78" s="54">
        <v>0</v>
      </c>
      <c r="AC78" s="52">
        <v>0</v>
      </c>
      <c r="AD78" s="52">
        <v>0</v>
      </c>
      <c r="AE78" s="52">
        <v>0</v>
      </c>
      <c r="AF78" s="52">
        <v>0</v>
      </c>
      <c r="AG78" s="52">
        <v>0</v>
      </c>
      <c r="AH78" s="52">
        <v>0</v>
      </c>
      <c r="AI78" s="52">
        <v>0</v>
      </c>
      <c r="AJ78" s="52">
        <v>0</v>
      </c>
      <c r="AK78" s="52">
        <v>0</v>
      </c>
      <c r="AL78" s="52">
        <v>0</v>
      </c>
      <c r="AM78" s="52">
        <v>0</v>
      </c>
      <c r="AN78" s="52">
        <v>0</v>
      </c>
      <c r="AO78" s="52">
        <v>0</v>
      </c>
      <c r="AP78" s="52">
        <v>0</v>
      </c>
      <c r="AQ78" s="52">
        <v>0</v>
      </c>
      <c r="AR78" s="52">
        <v>0</v>
      </c>
      <c r="AS78" s="52">
        <v>0</v>
      </c>
      <c r="AT78" s="52">
        <v>0</v>
      </c>
      <c r="AU78" s="52">
        <v>0</v>
      </c>
      <c r="AV78" s="52">
        <v>0</v>
      </c>
      <c r="AW78" s="52">
        <v>0</v>
      </c>
      <c r="AX78" s="52">
        <v>0</v>
      </c>
      <c r="AY78" s="52">
        <v>0</v>
      </c>
      <c r="AZ78" s="52">
        <v>0</v>
      </c>
      <c r="BA78" s="52">
        <v>0</v>
      </c>
      <c r="BB78" s="52">
        <v>0</v>
      </c>
      <c r="BC78" s="52">
        <v>0</v>
      </c>
      <c r="BD78" s="52">
        <v>0</v>
      </c>
      <c r="BE78" s="52">
        <v>0</v>
      </c>
      <c r="BF78" s="52">
        <v>0</v>
      </c>
      <c r="BG78" s="52">
        <v>0</v>
      </c>
      <c r="BW78" s="52">
        <f t="shared" si="4"/>
        <v>0</v>
      </c>
      <c r="BX78" s="52">
        <f t="shared" si="5"/>
        <v>0</v>
      </c>
      <c r="BY78" s="314" t="e">
        <f t="shared" si="6"/>
        <v>#DIV/0!</v>
      </c>
      <c r="CC78" s="52">
        <f t="shared" si="7"/>
        <v>-54</v>
      </c>
    </row>
    <row r="79" spans="1:81" x14ac:dyDescent="0.2">
      <c r="A79" s="52" t="s">
        <v>259</v>
      </c>
      <c r="B79" s="52">
        <v>13143</v>
      </c>
      <c r="U79" s="86"/>
      <c r="V79" s="86"/>
      <c r="AA79" s="54">
        <v>18100</v>
      </c>
      <c r="AB79" s="54">
        <v>2081</v>
      </c>
      <c r="AC79" s="52">
        <v>20181</v>
      </c>
      <c r="AD79" s="52">
        <v>0</v>
      </c>
      <c r="AE79" s="52">
        <v>2677</v>
      </c>
      <c r="AF79" s="52">
        <v>2677</v>
      </c>
      <c r="AG79" s="52">
        <v>20000</v>
      </c>
      <c r="AH79" s="52">
        <v>2360</v>
      </c>
      <c r="AI79" s="52">
        <v>22360</v>
      </c>
      <c r="AJ79" s="52">
        <v>18500</v>
      </c>
      <c r="AK79" s="52">
        <v>1673</v>
      </c>
      <c r="AL79" s="52">
        <v>20173</v>
      </c>
      <c r="AM79" s="52">
        <v>16000</v>
      </c>
      <c r="AN79" s="52">
        <v>1332</v>
      </c>
      <c r="AO79" s="52">
        <v>17332</v>
      </c>
      <c r="AP79" s="52">
        <v>0</v>
      </c>
      <c r="AQ79" s="52">
        <v>1466</v>
      </c>
      <c r="AR79" s="52">
        <v>1466</v>
      </c>
      <c r="AS79" s="52">
        <v>12469</v>
      </c>
      <c r="AT79" s="52">
        <v>2398</v>
      </c>
      <c r="AU79" s="52">
        <v>14867</v>
      </c>
      <c r="AV79" s="52">
        <v>14892</v>
      </c>
      <c r="AW79" s="52">
        <v>2708</v>
      </c>
      <c r="AX79" s="52">
        <v>17600</v>
      </c>
      <c r="AY79" s="52">
        <v>16848</v>
      </c>
      <c r="AZ79" s="52">
        <v>3859</v>
      </c>
      <c r="BA79" s="52">
        <v>20707</v>
      </c>
      <c r="BB79" s="52">
        <v>11799</v>
      </c>
      <c r="BC79" s="52">
        <v>2165</v>
      </c>
      <c r="BD79" s="52">
        <v>13964</v>
      </c>
      <c r="BE79" s="52">
        <v>9717</v>
      </c>
      <c r="BF79" s="52">
        <v>2018</v>
      </c>
      <c r="BG79" s="52">
        <v>11735</v>
      </c>
      <c r="BW79" s="52">
        <f t="shared" si="4"/>
        <v>81725</v>
      </c>
      <c r="BX79" s="52">
        <f t="shared" si="5"/>
        <v>15946</v>
      </c>
      <c r="BY79" s="314">
        <f t="shared" si="6"/>
        <v>0.19511777301927194</v>
      </c>
      <c r="CC79" s="52">
        <f t="shared" si="7"/>
        <v>56600</v>
      </c>
    </row>
    <row r="80" spans="1:81" x14ac:dyDescent="0.2">
      <c r="A80" s="52" t="s">
        <v>260</v>
      </c>
      <c r="B80" s="52">
        <v>13144</v>
      </c>
      <c r="U80" s="86"/>
      <c r="V80" s="86"/>
      <c r="AA80" s="54">
        <v>0</v>
      </c>
      <c r="AB80" s="54">
        <v>0</v>
      </c>
      <c r="AC80" s="52">
        <v>0</v>
      </c>
      <c r="AD80" s="52">
        <v>0</v>
      </c>
      <c r="AE80" s="52">
        <v>420</v>
      </c>
      <c r="AF80" s="52">
        <v>420</v>
      </c>
      <c r="AG80" s="52">
        <v>6500</v>
      </c>
      <c r="AH80" s="52">
        <v>1381</v>
      </c>
      <c r="AI80" s="52">
        <v>7881</v>
      </c>
      <c r="AJ80" s="52">
        <v>2838</v>
      </c>
      <c r="AK80" s="52">
        <v>558</v>
      </c>
      <c r="AL80" s="52">
        <v>3396</v>
      </c>
      <c r="AM80" s="52">
        <v>7784</v>
      </c>
      <c r="AN80" s="52">
        <v>133</v>
      </c>
      <c r="AO80" s="52">
        <v>7917</v>
      </c>
      <c r="AP80" s="52">
        <v>4451</v>
      </c>
      <c r="AQ80" s="52">
        <v>392</v>
      </c>
      <c r="AR80" s="52">
        <v>4843</v>
      </c>
      <c r="AS80" s="52">
        <v>2197</v>
      </c>
      <c r="AT80" s="52">
        <v>437</v>
      </c>
      <c r="AU80" s="52">
        <v>2634</v>
      </c>
      <c r="AV80" s="52">
        <v>143</v>
      </c>
      <c r="AW80" s="52">
        <v>598</v>
      </c>
      <c r="AX80" s="52">
        <v>741</v>
      </c>
      <c r="AY80" s="52">
        <v>0</v>
      </c>
      <c r="AZ80" s="52">
        <v>238</v>
      </c>
      <c r="BA80" s="52">
        <v>238</v>
      </c>
      <c r="BB80" s="52">
        <v>0</v>
      </c>
      <c r="BC80" s="52">
        <v>361</v>
      </c>
      <c r="BD80" s="52">
        <v>361</v>
      </c>
      <c r="BE80" s="52">
        <v>7035</v>
      </c>
      <c r="BF80" s="52">
        <v>344</v>
      </c>
      <c r="BG80" s="52">
        <v>7379</v>
      </c>
      <c r="BW80" s="52">
        <f t="shared" si="4"/>
        <v>21610</v>
      </c>
      <c r="BX80" s="52">
        <f t="shared" si="5"/>
        <v>2503</v>
      </c>
      <c r="BY80" s="314">
        <f t="shared" si="6"/>
        <v>0.11582600647848218</v>
      </c>
      <c r="CC80" s="52">
        <f t="shared" si="7"/>
        <v>9338</v>
      </c>
    </row>
    <row r="81" spans="1:81" x14ac:dyDescent="0.2">
      <c r="A81" s="52" t="s">
        <v>230</v>
      </c>
      <c r="B81" s="52">
        <v>13020</v>
      </c>
      <c r="C81" s="52">
        <v>5478</v>
      </c>
      <c r="D81" s="52">
        <v>40</v>
      </c>
      <c r="E81" s="52">
        <v>5518</v>
      </c>
      <c r="F81" s="52">
        <v>1500</v>
      </c>
      <c r="G81" s="52">
        <v>282</v>
      </c>
      <c r="H81" s="52">
        <v>1782</v>
      </c>
      <c r="I81" s="52">
        <v>3200</v>
      </c>
      <c r="J81" s="52">
        <v>274</v>
      </c>
      <c r="K81" s="52">
        <v>3474</v>
      </c>
      <c r="L81" s="52">
        <v>1600</v>
      </c>
      <c r="M81" s="52">
        <v>455</v>
      </c>
      <c r="N81" s="52">
        <v>2055</v>
      </c>
      <c r="O81" s="52">
        <v>3250</v>
      </c>
      <c r="P81" s="52">
        <v>411</v>
      </c>
      <c r="Q81" s="52">
        <v>3661</v>
      </c>
      <c r="R81" s="52">
        <v>1150</v>
      </c>
      <c r="S81" s="52">
        <v>520</v>
      </c>
      <c r="T81" s="52">
        <v>1670</v>
      </c>
      <c r="U81" s="86">
        <v>2200</v>
      </c>
      <c r="V81" s="86">
        <v>294</v>
      </c>
      <c r="W81" s="52">
        <v>2494</v>
      </c>
      <c r="X81" s="52">
        <v>2250</v>
      </c>
      <c r="Y81" s="52">
        <v>558</v>
      </c>
      <c r="Z81" s="52">
        <v>2808</v>
      </c>
      <c r="AA81" s="54">
        <v>4240</v>
      </c>
      <c r="AB81" s="54">
        <v>549</v>
      </c>
      <c r="AC81" s="52">
        <v>4789</v>
      </c>
      <c r="AD81" s="52">
        <v>3608</v>
      </c>
      <c r="AE81" s="52">
        <v>0</v>
      </c>
      <c r="AF81" s="52">
        <v>3608</v>
      </c>
      <c r="AG81" s="52">
        <v>-14</v>
      </c>
      <c r="AH81" s="52">
        <v>0</v>
      </c>
      <c r="AI81" s="52">
        <v>-14</v>
      </c>
      <c r="AJ81" s="52">
        <v>0</v>
      </c>
      <c r="AK81" s="52">
        <v>0</v>
      </c>
      <c r="AL81" s="52">
        <v>0</v>
      </c>
      <c r="AM81" s="52">
        <v>-25</v>
      </c>
      <c r="AN81" s="52">
        <v>0</v>
      </c>
      <c r="AO81" s="52">
        <v>-25</v>
      </c>
      <c r="AP81" s="52">
        <v>-4</v>
      </c>
      <c r="AQ81" s="52">
        <v>0</v>
      </c>
      <c r="AR81" s="52">
        <v>-4</v>
      </c>
      <c r="AS81" s="52">
        <v>-78</v>
      </c>
      <c r="AT81" s="52">
        <v>0</v>
      </c>
      <c r="AU81" s="52">
        <v>-78</v>
      </c>
      <c r="AV81" s="52">
        <v>0</v>
      </c>
      <c r="AW81" s="52">
        <v>0</v>
      </c>
      <c r="AX81" s="52">
        <v>0</v>
      </c>
      <c r="AY81" s="52">
        <v>0</v>
      </c>
      <c r="AZ81" s="52">
        <v>0</v>
      </c>
      <c r="BA81" s="52">
        <v>0</v>
      </c>
      <c r="BB81" s="52">
        <v>-9</v>
      </c>
      <c r="BC81" s="52">
        <v>0</v>
      </c>
      <c r="BD81" s="52">
        <v>-9</v>
      </c>
      <c r="BE81" s="52">
        <v>0</v>
      </c>
      <c r="BF81" s="52">
        <v>0</v>
      </c>
      <c r="BG81" s="52">
        <v>0</v>
      </c>
      <c r="BW81" s="52">
        <f t="shared" si="4"/>
        <v>-116</v>
      </c>
      <c r="BX81" s="52">
        <f t="shared" si="5"/>
        <v>0</v>
      </c>
      <c r="BY81" s="314">
        <f t="shared" si="6"/>
        <v>0</v>
      </c>
      <c r="CC81" s="52">
        <f t="shared" si="7"/>
        <v>28462</v>
      </c>
    </row>
    <row r="82" spans="1:81" x14ac:dyDescent="0.2">
      <c r="A82" s="52" t="s">
        <v>231</v>
      </c>
      <c r="B82" s="52">
        <v>13019</v>
      </c>
      <c r="C82" s="52">
        <v>-30</v>
      </c>
      <c r="D82" s="52">
        <v>1699</v>
      </c>
      <c r="E82" s="52">
        <v>1669</v>
      </c>
      <c r="F82" s="52">
        <v>-11</v>
      </c>
      <c r="G82" s="52">
        <v>2984</v>
      </c>
      <c r="H82" s="52">
        <v>2973</v>
      </c>
      <c r="I82" s="52">
        <v>30045</v>
      </c>
      <c r="J82" s="52">
        <v>3298</v>
      </c>
      <c r="K82" s="52">
        <v>33343</v>
      </c>
      <c r="L82" s="52">
        <v>7713</v>
      </c>
      <c r="M82" s="52">
        <v>2372</v>
      </c>
      <c r="N82" s="52">
        <v>10085</v>
      </c>
      <c r="O82" s="52">
        <v>9164</v>
      </c>
      <c r="P82" s="52">
        <v>4681</v>
      </c>
      <c r="Q82" s="52">
        <v>13845</v>
      </c>
      <c r="R82" s="52">
        <v>9841</v>
      </c>
      <c r="S82" s="52">
        <v>2988</v>
      </c>
      <c r="T82" s="52">
        <v>12829</v>
      </c>
      <c r="U82" s="86">
        <v>20837</v>
      </c>
      <c r="V82" s="86">
        <v>2088</v>
      </c>
      <c r="W82" s="52">
        <v>22925</v>
      </c>
      <c r="X82" s="52">
        <v>9477</v>
      </c>
      <c r="Y82" s="52">
        <v>2719</v>
      </c>
      <c r="Z82" s="52">
        <v>12196</v>
      </c>
      <c r="AA82" s="54">
        <v>120</v>
      </c>
      <c r="AB82" s="54">
        <v>0</v>
      </c>
      <c r="AC82" s="52">
        <v>120</v>
      </c>
      <c r="AD82" s="52">
        <v>-4</v>
      </c>
      <c r="AE82" s="52">
        <v>0</v>
      </c>
      <c r="AF82" s="52">
        <v>-4</v>
      </c>
      <c r="AG82" s="52">
        <v>-16</v>
      </c>
      <c r="AH82" s="52">
        <v>0</v>
      </c>
      <c r="AI82" s="52">
        <v>-16</v>
      </c>
      <c r="AJ82" s="52">
        <v>0</v>
      </c>
      <c r="AK82" s="52">
        <v>0</v>
      </c>
      <c r="AL82" s="52">
        <v>0</v>
      </c>
      <c r="AM82" s="52">
        <v>-46</v>
      </c>
      <c r="AN82" s="52">
        <v>0</v>
      </c>
      <c r="AO82" s="52">
        <v>-46</v>
      </c>
      <c r="AP82" s="52">
        <v>-40</v>
      </c>
      <c r="AQ82" s="52">
        <v>0</v>
      </c>
      <c r="AR82" s="52">
        <v>-40</v>
      </c>
      <c r="AS82" s="52">
        <v>-51</v>
      </c>
      <c r="AT82" s="52">
        <v>0</v>
      </c>
      <c r="AU82" s="52">
        <v>-51</v>
      </c>
      <c r="AV82" s="52">
        <v>0</v>
      </c>
      <c r="AW82" s="52">
        <v>0</v>
      </c>
      <c r="AX82" s="52">
        <v>0</v>
      </c>
      <c r="AY82" s="52">
        <v>-24</v>
      </c>
      <c r="AZ82" s="52">
        <v>0</v>
      </c>
      <c r="BA82" s="52">
        <v>-24</v>
      </c>
      <c r="BB82" s="52">
        <v>-29</v>
      </c>
      <c r="BC82" s="52">
        <v>0</v>
      </c>
      <c r="BD82" s="52">
        <v>-29</v>
      </c>
      <c r="BE82" s="52">
        <v>-44</v>
      </c>
      <c r="BF82" s="52">
        <v>0</v>
      </c>
      <c r="BG82" s="52">
        <v>-44</v>
      </c>
      <c r="BW82" s="52">
        <f t="shared" si="4"/>
        <v>-234</v>
      </c>
      <c r="BX82" s="52">
        <f t="shared" si="5"/>
        <v>0</v>
      </c>
      <c r="BY82" s="314">
        <f t="shared" si="6"/>
        <v>0</v>
      </c>
      <c r="CC82" s="52">
        <f t="shared" si="7"/>
        <v>87136</v>
      </c>
    </row>
    <row r="83" spans="1:81" x14ac:dyDescent="0.2">
      <c r="A83" s="52" t="s">
        <v>232</v>
      </c>
      <c r="B83" s="52">
        <v>13047</v>
      </c>
      <c r="C83" s="52">
        <v>-48</v>
      </c>
      <c r="D83" s="52">
        <v>360</v>
      </c>
      <c r="E83" s="52">
        <v>312</v>
      </c>
      <c r="F83" s="52">
        <v>-4</v>
      </c>
      <c r="G83" s="52">
        <v>499</v>
      </c>
      <c r="H83" s="52">
        <v>495</v>
      </c>
      <c r="I83" s="52">
        <v>1650</v>
      </c>
      <c r="J83" s="52">
        <v>429</v>
      </c>
      <c r="K83" s="52">
        <v>2079</v>
      </c>
      <c r="L83" s="52">
        <v>886</v>
      </c>
      <c r="M83" s="52">
        <v>519</v>
      </c>
      <c r="N83" s="52">
        <v>1405</v>
      </c>
      <c r="O83" s="52">
        <v>3593</v>
      </c>
      <c r="P83" s="52">
        <v>429</v>
      </c>
      <c r="Q83" s="52">
        <v>4022</v>
      </c>
      <c r="R83" s="52">
        <v>2238</v>
      </c>
      <c r="S83" s="52">
        <v>701</v>
      </c>
      <c r="T83" s="52">
        <v>2939</v>
      </c>
      <c r="U83" s="86">
        <v>6588</v>
      </c>
      <c r="V83" s="86">
        <v>515</v>
      </c>
      <c r="W83" s="52">
        <v>7103</v>
      </c>
      <c r="X83" s="52">
        <v>828</v>
      </c>
      <c r="Y83" s="52">
        <v>625</v>
      </c>
      <c r="Z83" s="52">
        <v>1453</v>
      </c>
      <c r="AA83" s="54">
        <v>4300</v>
      </c>
      <c r="AB83" s="54">
        <v>549</v>
      </c>
      <c r="AC83" s="52">
        <v>4849</v>
      </c>
      <c r="AD83" s="52">
        <v>258</v>
      </c>
      <c r="AE83" s="52">
        <v>0</v>
      </c>
      <c r="AF83" s="52">
        <v>258</v>
      </c>
      <c r="AG83" s="52">
        <v>0</v>
      </c>
      <c r="AH83" s="52">
        <v>0</v>
      </c>
      <c r="AI83" s="52">
        <v>0</v>
      </c>
      <c r="AJ83" s="52">
        <v>0</v>
      </c>
      <c r="AK83" s="52">
        <v>0</v>
      </c>
      <c r="AL83" s="52">
        <v>0</v>
      </c>
      <c r="AM83" s="52">
        <v>-3</v>
      </c>
      <c r="AN83" s="52">
        <v>0</v>
      </c>
      <c r="AO83" s="52">
        <v>-3</v>
      </c>
      <c r="AP83" s="52">
        <v>-2</v>
      </c>
      <c r="AQ83" s="52">
        <v>0</v>
      </c>
      <c r="AR83" s="52">
        <v>-2</v>
      </c>
      <c r="AS83" s="52">
        <v>-2</v>
      </c>
      <c r="AT83" s="52">
        <v>0</v>
      </c>
      <c r="AU83" s="52">
        <v>-2</v>
      </c>
      <c r="AV83" s="52">
        <v>-5</v>
      </c>
      <c r="AW83" s="52">
        <v>0</v>
      </c>
      <c r="AX83" s="52">
        <v>-5</v>
      </c>
      <c r="AY83" s="52">
        <v>0</v>
      </c>
      <c r="AZ83" s="52">
        <v>0</v>
      </c>
      <c r="BA83" s="52">
        <v>0</v>
      </c>
      <c r="BB83" s="52">
        <v>0</v>
      </c>
      <c r="BC83" s="52">
        <v>0</v>
      </c>
      <c r="BD83" s="52">
        <v>0</v>
      </c>
      <c r="BE83" s="52">
        <v>0</v>
      </c>
      <c r="BF83" s="52">
        <v>0</v>
      </c>
      <c r="BG83" s="52">
        <v>0</v>
      </c>
      <c r="BW83" s="52">
        <f t="shared" si="4"/>
        <v>-12</v>
      </c>
      <c r="BX83" s="52">
        <f t="shared" si="5"/>
        <v>0</v>
      </c>
      <c r="BY83" s="314">
        <f t="shared" si="6"/>
        <v>0</v>
      </c>
      <c r="CC83" s="52">
        <f t="shared" si="7"/>
        <v>20289</v>
      </c>
    </row>
    <row r="84" spans="1:81" x14ac:dyDescent="0.2">
      <c r="A84" s="52" t="s">
        <v>381</v>
      </c>
      <c r="B84" s="52">
        <v>13159</v>
      </c>
      <c r="U84" s="86"/>
      <c r="V84" s="86"/>
      <c r="AA84" s="54"/>
      <c r="AB84" s="54"/>
      <c r="AS84" s="52">
        <v>4498</v>
      </c>
      <c r="AU84" s="52">
        <v>4498</v>
      </c>
      <c r="AV84" s="52">
        <v>11650</v>
      </c>
      <c r="AW84" s="52">
        <v>1069</v>
      </c>
      <c r="AY84" s="52">
        <v>7508</v>
      </c>
      <c r="AZ84" s="52">
        <v>1271</v>
      </c>
      <c r="BA84" s="52">
        <v>8779</v>
      </c>
      <c r="BB84" s="52">
        <v>3132</v>
      </c>
      <c r="BC84" s="52">
        <v>565</v>
      </c>
      <c r="BD84" s="52">
        <v>3697</v>
      </c>
      <c r="BE84" s="52">
        <v>4536</v>
      </c>
      <c r="BF84" s="52">
        <v>633</v>
      </c>
      <c r="BG84" s="52">
        <v>5169</v>
      </c>
      <c r="BW84" s="52">
        <f t="shared" si="4"/>
        <v>31324</v>
      </c>
      <c r="BX84" s="52">
        <f t="shared" si="5"/>
        <v>3538</v>
      </c>
      <c r="BY84" s="314">
        <f t="shared" si="6"/>
        <v>0.11294853786234198</v>
      </c>
      <c r="CC84" s="52">
        <f t="shared" si="7"/>
        <v>0</v>
      </c>
    </row>
    <row r="85" spans="1:81" x14ac:dyDescent="0.2">
      <c r="A85" s="52" t="s">
        <v>233</v>
      </c>
      <c r="B85" s="52">
        <v>13018</v>
      </c>
      <c r="C85" s="52">
        <v>0</v>
      </c>
      <c r="D85" s="52">
        <v>54</v>
      </c>
      <c r="E85" s="52">
        <v>54</v>
      </c>
      <c r="F85" s="52">
        <v>0</v>
      </c>
      <c r="G85" s="52">
        <v>129</v>
      </c>
      <c r="H85" s="52">
        <v>129</v>
      </c>
      <c r="I85" s="52">
        <v>-2272</v>
      </c>
      <c r="J85" s="52">
        <v>0</v>
      </c>
      <c r="K85" s="52">
        <v>-2272</v>
      </c>
      <c r="L85" s="52">
        <v>0</v>
      </c>
      <c r="M85" s="52">
        <v>0</v>
      </c>
      <c r="N85" s="52">
        <v>0</v>
      </c>
      <c r="O85" s="52">
        <v>-1</v>
      </c>
      <c r="P85" s="52">
        <v>0</v>
      </c>
      <c r="Q85" s="52">
        <v>-1</v>
      </c>
      <c r="R85" s="52">
        <v>-29</v>
      </c>
      <c r="S85" s="52">
        <v>0</v>
      </c>
      <c r="T85" s="52">
        <v>-29</v>
      </c>
      <c r="U85" s="86">
        <v>-67</v>
      </c>
      <c r="V85" s="86">
        <v>0</v>
      </c>
      <c r="W85" s="52">
        <v>-67</v>
      </c>
      <c r="X85" s="52">
        <v>-656</v>
      </c>
      <c r="Y85" s="52">
        <v>0</v>
      </c>
      <c r="Z85" s="52">
        <v>-656</v>
      </c>
      <c r="AA85" s="54">
        <v>-279</v>
      </c>
      <c r="AB85" s="54">
        <v>0</v>
      </c>
      <c r="AC85" s="52">
        <v>-279</v>
      </c>
      <c r="AD85" s="52">
        <v>-200</v>
      </c>
      <c r="AE85" s="52">
        <v>0</v>
      </c>
      <c r="AF85" s="52">
        <v>-200</v>
      </c>
      <c r="AG85" s="52">
        <v>-1</v>
      </c>
      <c r="AH85" s="52">
        <v>0</v>
      </c>
      <c r="AI85" s="52">
        <v>-1</v>
      </c>
      <c r="AJ85" s="52">
        <v>0</v>
      </c>
      <c r="AK85" s="52">
        <v>0</v>
      </c>
      <c r="AL85" s="52">
        <v>0</v>
      </c>
      <c r="AM85" s="52">
        <v>0</v>
      </c>
      <c r="AN85" s="52">
        <v>0</v>
      </c>
      <c r="AO85" s="52">
        <v>0</v>
      </c>
      <c r="AP85" s="52">
        <v>0</v>
      </c>
      <c r="AQ85" s="52">
        <v>0</v>
      </c>
      <c r="AR85" s="52">
        <v>0</v>
      </c>
      <c r="AS85" s="52">
        <v>0</v>
      </c>
      <c r="AT85" s="52">
        <v>0</v>
      </c>
      <c r="AU85" s="52">
        <v>0</v>
      </c>
      <c r="AV85" s="52">
        <v>0</v>
      </c>
      <c r="AW85" s="52">
        <v>0</v>
      </c>
      <c r="AX85" s="52">
        <v>0</v>
      </c>
      <c r="AY85" s="52">
        <v>0</v>
      </c>
      <c r="AZ85" s="52">
        <v>0</v>
      </c>
      <c r="BA85" s="52">
        <v>0</v>
      </c>
      <c r="BB85" s="52">
        <v>0</v>
      </c>
      <c r="BC85" s="52">
        <v>0</v>
      </c>
      <c r="BD85" s="52">
        <v>0</v>
      </c>
      <c r="BE85" s="52">
        <v>0</v>
      </c>
      <c r="BF85" s="52">
        <v>0</v>
      </c>
      <c r="BG85" s="52">
        <v>0</v>
      </c>
      <c r="BW85" s="52">
        <f t="shared" si="4"/>
        <v>0</v>
      </c>
      <c r="BX85" s="52">
        <f t="shared" si="5"/>
        <v>0</v>
      </c>
      <c r="BY85" s="314" t="e">
        <f t="shared" si="6"/>
        <v>#DIV/0!</v>
      </c>
      <c r="CC85" s="52">
        <f t="shared" si="7"/>
        <v>-3505</v>
      </c>
    </row>
    <row r="86" spans="1:81" x14ac:dyDescent="0.2">
      <c r="A86" s="52" t="s">
        <v>234</v>
      </c>
      <c r="B86" s="52">
        <v>13001</v>
      </c>
      <c r="C86" s="52">
        <v>-1</v>
      </c>
      <c r="D86" s="52">
        <v>0</v>
      </c>
      <c r="E86" s="52">
        <v>-1</v>
      </c>
      <c r="F86" s="52">
        <v>0</v>
      </c>
      <c r="G86" s="52">
        <v>0</v>
      </c>
      <c r="H86" s="52">
        <v>0</v>
      </c>
      <c r="I86" s="52">
        <v>0</v>
      </c>
      <c r="J86" s="52">
        <v>0</v>
      </c>
      <c r="K86" s="52">
        <v>0</v>
      </c>
      <c r="L86" s="52">
        <v>-1</v>
      </c>
      <c r="M86" s="52">
        <v>0</v>
      </c>
      <c r="N86" s="52">
        <v>-1</v>
      </c>
      <c r="O86" s="52">
        <v>0</v>
      </c>
      <c r="P86" s="52">
        <v>0</v>
      </c>
      <c r="Q86" s="52">
        <v>0</v>
      </c>
      <c r="R86" s="52">
        <v>-2</v>
      </c>
      <c r="S86" s="52">
        <v>0</v>
      </c>
      <c r="T86" s="52">
        <v>-2</v>
      </c>
      <c r="U86" s="86">
        <v>-8</v>
      </c>
      <c r="V86" s="86">
        <v>0</v>
      </c>
      <c r="W86" s="52">
        <v>-8</v>
      </c>
      <c r="X86" s="52">
        <v>-1</v>
      </c>
      <c r="Y86" s="52">
        <v>0</v>
      </c>
      <c r="Z86" s="52">
        <v>-1</v>
      </c>
      <c r="AA86" s="54">
        <v>0</v>
      </c>
      <c r="AB86" s="54">
        <v>0</v>
      </c>
      <c r="AC86" s="52">
        <v>0</v>
      </c>
      <c r="AD86" s="52">
        <v>0</v>
      </c>
      <c r="AE86" s="52">
        <v>0</v>
      </c>
      <c r="AF86" s="52">
        <v>0</v>
      </c>
      <c r="AG86" s="52">
        <v>-1</v>
      </c>
      <c r="AH86" s="52">
        <v>0</v>
      </c>
      <c r="AI86" s="52">
        <v>-1</v>
      </c>
      <c r="AJ86" s="52">
        <v>0</v>
      </c>
      <c r="AK86" s="52">
        <v>0</v>
      </c>
      <c r="AL86" s="52">
        <v>0</v>
      </c>
      <c r="AM86" s="52">
        <v>-5</v>
      </c>
      <c r="AN86" s="52">
        <v>0</v>
      </c>
      <c r="AO86" s="52">
        <v>-5</v>
      </c>
      <c r="AP86" s="52">
        <v>-5</v>
      </c>
      <c r="AQ86" s="52">
        <v>0</v>
      </c>
      <c r="AR86" s="52">
        <v>-5</v>
      </c>
      <c r="AS86" s="52">
        <v>-2</v>
      </c>
      <c r="AT86" s="52">
        <v>0</v>
      </c>
      <c r="AU86" s="52">
        <v>-2</v>
      </c>
      <c r="AV86" s="52">
        <v>-5</v>
      </c>
      <c r="AW86" s="52">
        <v>0</v>
      </c>
      <c r="AX86" s="52">
        <v>-5</v>
      </c>
      <c r="AY86" s="52">
        <v>0</v>
      </c>
      <c r="AZ86" s="52">
        <v>0</v>
      </c>
      <c r="BA86" s="52">
        <v>0</v>
      </c>
      <c r="BB86" s="52">
        <v>0</v>
      </c>
      <c r="BC86" s="52">
        <v>0</v>
      </c>
      <c r="BD86" s="52">
        <v>0</v>
      </c>
      <c r="BE86" s="52">
        <v>0</v>
      </c>
      <c r="BF86" s="52">
        <v>0</v>
      </c>
      <c r="BG86" s="52">
        <v>0</v>
      </c>
      <c r="BW86" s="52">
        <f t="shared" si="4"/>
        <v>-17</v>
      </c>
      <c r="BX86" s="52">
        <f t="shared" si="5"/>
        <v>0</v>
      </c>
      <c r="BY86" s="314">
        <f t="shared" si="6"/>
        <v>0</v>
      </c>
      <c r="CC86" s="52">
        <f t="shared" si="7"/>
        <v>-14</v>
      </c>
    </row>
    <row r="87" spans="1:81" x14ac:dyDescent="0.2">
      <c r="A87" s="52" t="s">
        <v>235</v>
      </c>
      <c r="B87" s="52">
        <v>13000</v>
      </c>
      <c r="C87" s="52">
        <v>0</v>
      </c>
      <c r="D87" s="52">
        <v>0</v>
      </c>
      <c r="E87" s="52">
        <v>0</v>
      </c>
      <c r="F87" s="52">
        <v>0</v>
      </c>
      <c r="G87" s="52">
        <v>0</v>
      </c>
      <c r="H87" s="52">
        <v>0</v>
      </c>
      <c r="I87" s="52">
        <v>0</v>
      </c>
      <c r="J87" s="52">
        <v>0</v>
      </c>
      <c r="K87" s="52">
        <v>0</v>
      </c>
      <c r="L87" s="52">
        <v>0</v>
      </c>
      <c r="M87" s="52">
        <v>0</v>
      </c>
      <c r="N87" s="52">
        <v>0</v>
      </c>
      <c r="O87" s="52">
        <v>0</v>
      </c>
      <c r="P87" s="52">
        <v>0</v>
      </c>
      <c r="Q87" s="52">
        <v>0</v>
      </c>
      <c r="R87" s="52">
        <v>0</v>
      </c>
      <c r="S87" s="52">
        <v>0</v>
      </c>
      <c r="T87" s="52">
        <v>0</v>
      </c>
      <c r="U87" s="86">
        <v>0</v>
      </c>
      <c r="V87" s="86">
        <v>0</v>
      </c>
      <c r="W87" s="52">
        <v>0</v>
      </c>
      <c r="X87" s="52">
        <v>-35</v>
      </c>
      <c r="Y87" s="52">
        <v>0</v>
      </c>
      <c r="Z87" s="52">
        <v>-35</v>
      </c>
      <c r="AA87" s="54">
        <v>-10</v>
      </c>
      <c r="AB87" s="54">
        <v>0</v>
      </c>
      <c r="AC87" s="52">
        <v>-10</v>
      </c>
      <c r="AD87" s="52">
        <v>0</v>
      </c>
      <c r="AE87" s="52">
        <v>0</v>
      </c>
      <c r="AF87" s="52">
        <v>0</v>
      </c>
      <c r="AG87" s="52">
        <v>-1</v>
      </c>
      <c r="AH87" s="52">
        <v>0</v>
      </c>
      <c r="AI87" s="52">
        <v>-1</v>
      </c>
      <c r="AJ87" s="52">
        <v>0</v>
      </c>
      <c r="AK87" s="52">
        <v>0</v>
      </c>
      <c r="AL87" s="52">
        <v>0</v>
      </c>
      <c r="AM87" s="52">
        <v>-3</v>
      </c>
      <c r="AN87" s="52">
        <v>0</v>
      </c>
      <c r="AO87" s="52">
        <v>-3</v>
      </c>
      <c r="AP87" s="52">
        <v>-9</v>
      </c>
      <c r="AQ87" s="52">
        <v>0</v>
      </c>
      <c r="AR87" s="52">
        <v>-9</v>
      </c>
      <c r="AS87" s="52">
        <v>-4</v>
      </c>
      <c r="AT87" s="52">
        <v>0</v>
      </c>
      <c r="AU87" s="52">
        <v>-4</v>
      </c>
      <c r="AV87" s="52">
        <v>-28</v>
      </c>
      <c r="AW87" s="52">
        <v>0</v>
      </c>
      <c r="AX87" s="52">
        <v>-28</v>
      </c>
      <c r="AY87" s="52">
        <v>0</v>
      </c>
      <c r="AZ87" s="52">
        <v>0</v>
      </c>
      <c r="BA87" s="52">
        <v>0</v>
      </c>
      <c r="BB87" s="52">
        <v>0</v>
      </c>
      <c r="BC87" s="52">
        <v>0</v>
      </c>
      <c r="BD87" s="52">
        <v>0</v>
      </c>
      <c r="BE87" s="52">
        <v>0</v>
      </c>
      <c r="BF87" s="52">
        <v>0</v>
      </c>
      <c r="BG87" s="52">
        <v>0</v>
      </c>
      <c r="BW87" s="52">
        <f t="shared" si="4"/>
        <v>-44</v>
      </c>
      <c r="BX87" s="52">
        <f t="shared" si="5"/>
        <v>0</v>
      </c>
      <c r="BY87" s="314">
        <f t="shared" si="6"/>
        <v>0</v>
      </c>
      <c r="CC87" s="52">
        <f t="shared" si="7"/>
        <v>-46</v>
      </c>
    </row>
    <row r="88" spans="1:81" x14ac:dyDescent="0.2">
      <c r="A88" s="52" t="s">
        <v>236</v>
      </c>
      <c r="B88" s="52">
        <v>13081</v>
      </c>
      <c r="C88" s="52">
        <v>223</v>
      </c>
      <c r="D88" s="52">
        <v>41</v>
      </c>
      <c r="E88" s="52">
        <v>264</v>
      </c>
      <c r="F88" s="52">
        <v>49</v>
      </c>
      <c r="G88" s="52">
        <v>62</v>
      </c>
      <c r="H88" s="52">
        <v>111</v>
      </c>
      <c r="I88" s="52">
        <v>-85</v>
      </c>
      <c r="J88" s="52">
        <v>94</v>
      </c>
      <c r="K88" s="52">
        <v>9</v>
      </c>
      <c r="L88" s="52">
        <v>-284</v>
      </c>
      <c r="M88" s="52">
        <v>69</v>
      </c>
      <c r="N88" s="52">
        <v>-215</v>
      </c>
      <c r="O88" s="52">
        <v>661</v>
      </c>
      <c r="P88" s="52">
        <v>16</v>
      </c>
      <c r="Q88" s="52">
        <v>677</v>
      </c>
      <c r="R88" s="52">
        <v>140</v>
      </c>
      <c r="S88" s="52">
        <v>44</v>
      </c>
      <c r="T88" s="52">
        <v>184</v>
      </c>
      <c r="U88" s="86">
        <v>-17</v>
      </c>
      <c r="V88" s="86">
        <v>11</v>
      </c>
      <c r="W88" s="52">
        <v>-6</v>
      </c>
      <c r="X88" s="52">
        <v>0</v>
      </c>
      <c r="Y88" s="52">
        <v>58</v>
      </c>
      <c r="Z88" s="52">
        <v>58</v>
      </c>
      <c r="AA88" s="54">
        <v>860</v>
      </c>
      <c r="AB88" s="54">
        <v>194</v>
      </c>
      <c r="AC88" s="52">
        <v>1054</v>
      </c>
      <c r="AD88" s="52">
        <v>-267</v>
      </c>
      <c r="AE88" s="52">
        <v>84</v>
      </c>
      <c r="AF88" s="52">
        <v>-183</v>
      </c>
      <c r="AG88" s="52">
        <v>494</v>
      </c>
      <c r="AH88" s="52">
        <v>158</v>
      </c>
      <c r="AI88" s="52">
        <v>652</v>
      </c>
      <c r="AJ88" s="52">
        <v>280</v>
      </c>
      <c r="AK88" s="52">
        <v>-75</v>
      </c>
      <c r="AL88" s="52">
        <v>205</v>
      </c>
      <c r="AM88" s="52">
        <v>225</v>
      </c>
      <c r="AN88" s="52">
        <v>26</v>
      </c>
      <c r="AO88" s="52">
        <v>251</v>
      </c>
      <c r="AP88" s="52">
        <v>283</v>
      </c>
      <c r="AQ88" s="52">
        <v>77</v>
      </c>
      <c r="AR88" s="52">
        <v>360</v>
      </c>
      <c r="AS88" s="52">
        <v>309</v>
      </c>
      <c r="AT88" s="52">
        <v>47</v>
      </c>
      <c r="AU88" s="52">
        <v>356</v>
      </c>
      <c r="AV88" s="52">
        <v>153</v>
      </c>
      <c r="AW88" s="52">
        <v>33</v>
      </c>
      <c r="AX88" s="52">
        <v>186</v>
      </c>
      <c r="AY88" s="52">
        <v>165</v>
      </c>
      <c r="AZ88" s="52">
        <v>36</v>
      </c>
      <c r="BA88" s="52">
        <v>201</v>
      </c>
      <c r="BB88" s="52">
        <v>596</v>
      </c>
      <c r="BC88" s="52">
        <v>48</v>
      </c>
      <c r="BD88" s="52">
        <v>644</v>
      </c>
      <c r="BE88" s="52">
        <v>348</v>
      </c>
      <c r="BF88" s="52">
        <v>9</v>
      </c>
      <c r="BG88" s="52">
        <v>357</v>
      </c>
      <c r="BW88" s="52">
        <f t="shared" si="4"/>
        <v>2079</v>
      </c>
      <c r="BX88" s="52">
        <f t="shared" si="5"/>
        <v>276</v>
      </c>
      <c r="BY88" s="314">
        <f t="shared" si="6"/>
        <v>0.13275613275613277</v>
      </c>
      <c r="CC88" s="52">
        <f t="shared" si="7"/>
        <v>2054</v>
      </c>
    </row>
    <row r="89" spans="1:81" x14ac:dyDescent="0.2">
      <c r="A89" s="52" t="s">
        <v>237</v>
      </c>
      <c r="B89" s="52">
        <v>13117</v>
      </c>
      <c r="C89" s="52">
        <v>0</v>
      </c>
      <c r="D89" s="52">
        <v>106</v>
      </c>
      <c r="E89" s="52">
        <v>106</v>
      </c>
      <c r="F89" s="52">
        <v>430</v>
      </c>
      <c r="G89" s="52">
        <v>392</v>
      </c>
      <c r="H89" s="52">
        <v>822</v>
      </c>
      <c r="I89" s="52">
        <v>1067</v>
      </c>
      <c r="J89" s="52">
        <v>235</v>
      </c>
      <c r="K89" s="52">
        <v>1302</v>
      </c>
      <c r="L89" s="52">
        <v>-17</v>
      </c>
      <c r="M89" s="52">
        <v>0</v>
      </c>
      <c r="N89" s="52">
        <v>-17</v>
      </c>
      <c r="O89" s="52">
        <v>-4</v>
      </c>
      <c r="P89" s="52">
        <v>0</v>
      </c>
      <c r="Q89" s="52">
        <v>-4</v>
      </c>
      <c r="R89" s="52">
        <v>0</v>
      </c>
      <c r="S89" s="52">
        <v>228</v>
      </c>
      <c r="T89" s="52">
        <v>228</v>
      </c>
      <c r="U89" s="86">
        <v>-14</v>
      </c>
      <c r="V89" s="86">
        <v>0</v>
      </c>
      <c r="W89" s="52">
        <v>-14</v>
      </c>
      <c r="X89" s="52">
        <v>-16</v>
      </c>
      <c r="Y89" s="52">
        <v>0</v>
      </c>
      <c r="Z89" s="52">
        <v>-16</v>
      </c>
      <c r="AA89" s="54">
        <v>-24</v>
      </c>
      <c r="AB89" s="54">
        <v>0</v>
      </c>
      <c r="AC89" s="52">
        <v>-24</v>
      </c>
      <c r="AD89" s="52">
        <v>-57</v>
      </c>
      <c r="AE89" s="52">
        <v>0</v>
      </c>
      <c r="AF89" s="52">
        <v>-57</v>
      </c>
      <c r="AG89" s="52">
        <v>-86</v>
      </c>
      <c r="AH89" s="52">
        <v>0</v>
      </c>
      <c r="AI89" s="52">
        <v>-86</v>
      </c>
      <c r="AJ89" s="52">
        <v>0</v>
      </c>
      <c r="AK89" s="52">
        <v>0</v>
      </c>
      <c r="AL89" s="52">
        <v>0</v>
      </c>
      <c r="AM89" s="52">
        <v>-113</v>
      </c>
      <c r="AN89" s="52">
        <v>0</v>
      </c>
      <c r="AO89" s="52">
        <v>-113</v>
      </c>
      <c r="AP89" s="52">
        <v>-66</v>
      </c>
      <c r="AQ89" s="52">
        <v>0</v>
      </c>
      <c r="AR89" s="52">
        <v>-66</v>
      </c>
      <c r="AS89" s="52">
        <v>-30</v>
      </c>
      <c r="AT89" s="52">
        <v>0</v>
      </c>
      <c r="AU89" s="52">
        <v>-30</v>
      </c>
      <c r="AV89" s="52">
        <v>-8</v>
      </c>
      <c r="AW89" s="52">
        <v>0</v>
      </c>
      <c r="AX89" s="52">
        <v>-8</v>
      </c>
      <c r="AY89" s="52">
        <v>-32</v>
      </c>
      <c r="AZ89" s="52">
        <v>0</v>
      </c>
      <c r="BA89" s="52">
        <v>-32</v>
      </c>
      <c r="BB89" s="52">
        <v>-254</v>
      </c>
      <c r="BC89" s="52">
        <v>0</v>
      </c>
      <c r="BD89" s="52">
        <v>-254</v>
      </c>
      <c r="BE89" s="52">
        <v>-40</v>
      </c>
      <c r="BF89" s="52">
        <v>0</v>
      </c>
      <c r="BG89" s="52">
        <v>-40</v>
      </c>
      <c r="BW89" s="52">
        <f t="shared" si="4"/>
        <v>-543</v>
      </c>
      <c r="BX89" s="52">
        <f t="shared" si="5"/>
        <v>0</v>
      </c>
      <c r="BY89" s="314">
        <f t="shared" si="6"/>
        <v>0</v>
      </c>
      <c r="CC89" s="52">
        <f t="shared" si="7"/>
        <v>1279</v>
      </c>
    </row>
    <row r="90" spans="1:81" x14ac:dyDescent="0.2">
      <c r="A90" s="52" t="s">
        <v>238</v>
      </c>
      <c r="B90" s="52">
        <v>13115</v>
      </c>
      <c r="C90" s="52">
        <v>-68</v>
      </c>
      <c r="D90" s="52">
        <v>0</v>
      </c>
      <c r="E90" s="52">
        <v>-68</v>
      </c>
      <c r="F90" s="52">
        <v>0</v>
      </c>
      <c r="G90" s="52">
        <v>0</v>
      </c>
      <c r="H90" s="52">
        <v>0</v>
      </c>
      <c r="I90" s="52">
        <v>-31</v>
      </c>
      <c r="J90" s="52">
        <v>0</v>
      </c>
      <c r="K90" s="52">
        <v>-31</v>
      </c>
      <c r="L90" s="52">
        <v>-10</v>
      </c>
      <c r="M90" s="52">
        <v>0</v>
      </c>
      <c r="N90" s="52">
        <v>-10</v>
      </c>
      <c r="O90" s="52">
        <v>-3</v>
      </c>
      <c r="P90" s="52">
        <v>0</v>
      </c>
      <c r="Q90" s="52">
        <v>-3</v>
      </c>
      <c r="R90" s="52">
        <v>0</v>
      </c>
      <c r="S90" s="52">
        <v>0</v>
      </c>
      <c r="T90" s="52">
        <v>0</v>
      </c>
      <c r="U90" s="86">
        <v>-14</v>
      </c>
      <c r="V90" s="86">
        <v>0</v>
      </c>
      <c r="W90" s="52">
        <v>-14</v>
      </c>
      <c r="X90" s="52">
        <v>-44</v>
      </c>
      <c r="Y90" s="52">
        <v>0</v>
      </c>
      <c r="Z90" s="52">
        <v>-44</v>
      </c>
      <c r="AA90" s="54">
        <v>-29</v>
      </c>
      <c r="AB90" s="54">
        <v>0</v>
      </c>
      <c r="AC90" s="52">
        <v>-29</v>
      </c>
      <c r="AD90" s="52">
        <v>-23</v>
      </c>
      <c r="AE90" s="52">
        <v>0</v>
      </c>
      <c r="AF90" s="52">
        <v>-23</v>
      </c>
      <c r="AG90" s="52">
        <v>-58</v>
      </c>
      <c r="AH90" s="52">
        <v>0</v>
      </c>
      <c r="AI90" s="52">
        <v>-58</v>
      </c>
      <c r="AJ90" s="52">
        <v>0</v>
      </c>
      <c r="AK90" s="52">
        <v>0</v>
      </c>
      <c r="AL90" s="52">
        <v>0</v>
      </c>
      <c r="AM90" s="52">
        <v>-52</v>
      </c>
      <c r="AN90" s="52">
        <v>0</v>
      </c>
      <c r="AO90" s="52">
        <v>-52</v>
      </c>
      <c r="AP90" s="52">
        <v>-192</v>
      </c>
      <c r="AQ90" s="52">
        <v>0</v>
      </c>
      <c r="AR90" s="52">
        <v>-192</v>
      </c>
      <c r="AS90" s="52">
        <v>-34</v>
      </c>
      <c r="AT90" s="52">
        <v>0</v>
      </c>
      <c r="AU90" s="52">
        <v>-34</v>
      </c>
      <c r="AV90" s="52">
        <v>-11</v>
      </c>
      <c r="AW90" s="52">
        <v>0</v>
      </c>
      <c r="AX90" s="52">
        <v>-11</v>
      </c>
      <c r="AY90" s="52">
        <v>0</v>
      </c>
      <c r="AZ90" s="52">
        <v>0</v>
      </c>
      <c r="BA90" s="52">
        <v>0</v>
      </c>
      <c r="BB90" s="52">
        <v>0</v>
      </c>
      <c r="BC90" s="52">
        <v>0</v>
      </c>
      <c r="BD90" s="52">
        <v>0</v>
      </c>
      <c r="BE90" s="52">
        <v>-1</v>
      </c>
      <c r="BF90" s="52">
        <v>0</v>
      </c>
      <c r="BG90" s="52">
        <v>-1</v>
      </c>
      <c r="BW90" s="52">
        <f t="shared" si="4"/>
        <v>-290</v>
      </c>
      <c r="BX90" s="52">
        <f t="shared" si="5"/>
        <v>0</v>
      </c>
      <c r="BY90" s="314">
        <f t="shared" si="6"/>
        <v>0</v>
      </c>
      <c r="CC90" s="52">
        <f t="shared" si="7"/>
        <v>-280</v>
      </c>
    </row>
    <row r="91" spans="1:81" x14ac:dyDescent="0.2">
      <c r="A91" s="52" t="s">
        <v>239</v>
      </c>
      <c r="B91" s="52">
        <v>13141</v>
      </c>
      <c r="C91" s="52">
        <v>3700</v>
      </c>
      <c r="D91" s="52">
        <v>0</v>
      </c>
      <c r="E91" s="52">
        <v>3700</v>
      </c>
      <c r="F91" s="52">
        <v>5187</v>
      </c>
      <c r="G91" s="52">
        <v>410</v>
      </c>
      <c r="H91" s="52">
        <v>5597</v>
      </c>
      <c r="I91" s="52">
        <v>0</v>
      </c>
      <c r="J91" s="52">
        <v>364</v>
      </c>
      <c r="K91" s="52">
        <v>364</v>
      </c>
      <c r="L91" s="52">
        <v>300</v>
      </c>
      <c r="M91" s="52">
        <v>200</v>
      </c>
      <c r="N91" s="52">
        <v>500</v>
      </c>
      <c r="O91" s="52">
        <v>0</v>
      </c>
      <c r="P91" s="52">
        <v>271</v>
      </c>
      <c r="Q91" s="52">
        <v>271</v>
      </c>
      <c r="R91" s="52">
        <v>250</v>
      </c>
      <c r="S91" s="52">
        <v>448</v>
      </c>
      <c r="T91" s="52">
        <v>698</v>
      </c>
      <c r="U91" s="86">
        <v>1200</v>
      </c>
      <c r="V91" s="86">
        <v>177</v>
      </c>
      <c r="W91" s="52">
        <v>1377</v>
      </c>
      <c r="X91" s="52">
        <v>1210</v>
      </c>
      <c r="Y91" s="52">
        <v>284</v>
      </c>
      <c r="Z91" s="52">
        <v>1494</v>
      </c>
      <c r="AA91" s="54">
        <v>2740</v>
      </c>
      <c r="AB91" s="54">
        <v>318</v>
      </c>
      <c r="AC91" s="52">
        <v>3058</v>
      </c>
      <c r="AD91" s="52">
        <v>1100</v>
      </c>
      <c r="AE91" s="52">
        <v>300</v>
      </c>
      <c r="AF91" s="52">
        <v>1400</v>
      </c>
      <c r="AG91" s="52">
        <v>1350</v>
      </c>
      <c r="AH91" s="52">
        <v>224</v>
      </c>
      <c r="AI91" s="52">
        <v>1574</v>
      </c>
      <c r="AJ91" s="52">
        <v>480</v>
      </c>
      <c r="AK91" s="52">
        <v>343</v>
      </c>
      <c r="AL91" s="52">
        <v>823</v>
      </c>
      <c r="AM91" s="52">
        <v>230</v>
      </c>
      <c r="AN91" s="52">
        <v>182</v>
      </c>
      <c r="AO91" s="52">
        <v>412</v>
      </c>
      <c r="AP91" s="52">
        <v>1660</v>
      </c>
      <c r="AQ91" s="52">
        <v>211</v>
      </c>
      <c r="AR91" s="52">
        <v>1871</v>
      </c>
      <c r="AS91" s="52">
        <v>1200</v>
      </c>
      <c r="AT91" s="52">
        <v>208</v>
      </c>
      <c r="AU91" s="52">
        <v>1408</v>
      </c>
      <c r="AV91" s="52">
        <v>1792</v>
      </c>
      <c r="AW91" s="52">
        <v>236</v>
      </c>
      <c r="AX91" s="52">
        <v>2028</v>
      </c>
      <c r="AY91" s="52">
        <v>1308</v>
      </c>
      <c r="AZ91" s="52">
        <v>197</v>
      </c>
      <c r="BA91" s="52">
        <v>1505</v>
      </c>
      <c r="BB91" s="52">
        <v>2356</v>
      </c>
      <c r="BC91" s="52">
        <v>243</v>
      </c>
      <c r="BD91" s="52">
        <v>2599</v>
      </c>
      <c r="BE91" s="52">
        <v>1680</v>
      </c>
      <c r="BF91" s="52">
        <v>181</v>
      </c>
      <c r="BG91" s="52">
        <v>1861</v>
      </c>
      <c r="BW91" s="52">
        <f t="shared" si="4"/>
        <v>10226</v>
      </c>
      <c r="BX91" s="52">
        <f t="shared" si="5"/>
        <v>1458</v>
      </c>
      <c r="BY91" s="314">
        <f t="shared" si="6"/>
        <v>0.14257774300801879</v>
      </c>
      <c r="CC91" s="52">
        <f t="shared" si="7"/>
        <v>17517</v>
      </c>
    </row>
    <row r="92" spans="1:81" x14ac:dyDescent="0.2">
      <c r="A92" s="52" t="s">
        <v>240</v>
      </c>
      <c r="B92" s="52">
        <v>13142</v>
      </c>
      <c r="C92" s="52">
        <v>0</v>
      </c>
      <c r="D92" s="52">
        <v>0</v>
      </c>
      <c r="E92" s="52">
        <v>0</v>
      </c>
      <c r="F92" s="52">
        <v>0</v>
      </c>
      <c r="G92" s="52">
        <v>0</v>
      </c>
      <c r="H92" s="52">
        <v>0</v>
      </c>
      <c r="I92" s="52">
        <v>0</v>
      </c>
      <c r="J92" s="52">
        <v>0</v>
      </c>
      <c r="K92" s="52">
        <v>0</v>
      </c>
      <c r="L92" s="52">
        <v>200</v>
      </c>
      <c r="M92" s="52">
        <v>125</v>
      </c>
      <c r="N92" s="52">
        <v>325</v>
      </c>
      <c r="O92" s="52">
        <v>3100</v>
      </c>
      <c r="P92" s="52">
        <v>143</v>
      </c>
      <c r="Q92" s="52">
        <v>3243</v>
      </c>
      <c r="R92" s="52">
        <v>1750</v>
      </c>
      <c r="S92" s="52">
        <v>155</v>
      </c>
      <c r="T92" s="52">
        <v>1905</v>
      </c>
      <c r="U92" s="86">
        <v>2300</v>
      </c>
      <c r="V92" s="86">
        <v>228</v>
      </c>
      <c r="W92" s="52">
        <v>2528</v>
      </c>
      <c r="X92" s="52">
        <v>0</v>
      </c>
      <c r="Y92" s="52">
        <v>136</v>
      </c>
      <c r="Z92" s="52">
        <v>136</v>
      </c>
      <c r="AA92" s="54">
        <v>0</v>
      </c>
      <c r="AB92" s="54">
        <v>116</v>
      </c>
      <c r="AC92" s="52">
        <v>116</v>
      </c>
      <c r="AD92" s="52">
        <v>0</v>
      </c>
      <c r="AE92" s="52">
        <v>113</v>
      </c>
      <c r="AF92" s="52">
        <v>113</v>
      </c>
      <c r="AG92" s="52">
        <v>0</v>
      </c>
      <c r="AH92" s="52">
        <v>225</v>
      </c>
      <c r="AI92" s="52">
        <v>225</v>
      </c>
      <c r="AJ92" s="52">
        <v>300</v>
      </c>
      <c r="AK92" s="52">
        <v>224</v>
      </c>
      <c r="AL92" s="52">
        <v>524</v>
      </c>
      <c r="AM92" s="52">
        <v>730</v>
      </c>
      <c r="AN92" s="52">
        <v>126</v>
      </c>
      <c r="AO92" s="52">
        <v>856</v>
      </c>
      <c r="AP92" s="52">
        <v>1440</v>
      </c>
      <c r="AQ92" s="52">
        <v>242</v>
      </c>
      <c r="AR92" s="52">
        <v>1682</v>
      </c>
      <c r="AS92" s="52">
        <v>0</v>
      </c>
      <c r="AT92" s="52">
        <v>151</v>
      </c>
      <c r="AU92" s="52">
        <v>151</v>
      </c>
      <c r="AV92" s="52">
        <v>1023</v>
      </c>
      <c r="AW92" s="52">
        <v>241</v>
      </c>
      <c r="AX92" s="52">
        <v>1264</v>
      </c>
      <c r="AY92" s="52">
        <v>1666</v>
      </c>
      <c r="AZ92" s="52">
        <v>212</v>
      </c>
      <c r="BA92" s="52">
        <v>1878</v>
      </c>
      <c r="BB92" s="52">
        <v>1046</v>
      </c>
      <c r="BC92" s="52">
        <v>206</v>
      </c>
      <c r="BD92" s="52">
        <v>1252</v>
      </c>
      <c r="BE92" s="52">
        <v>1407</v>
      </c>
      <c r="BF92" s="52">
        <v>173</v>
      </c>
      <c r="BG92" s="52">
        <v>1580</v>
      </c>
      <c r="BW92" s="52">
        <f t="shared" si="4"/>
        <v>7312</v>
      </c>
      <c r="BX92" s="52">
        <f t="shared" si="5"/>
        <v>1351</v>
      </c>
      <c r="BY92" s="314">
        <f t="shared" si="6"/>
        <v>0.18476477024070023</v>
      </c>
      <c r="CC92" s="52">
        <f t="shared" si="7"/>
        <v>7650</v>
      </c>
    </row>
    <row r="93" spans="1:81" x14ac:dyDescent="0.2">
      <c r="A93" s="52" t="s">
        <v>241</v>
      </c>
      <c r="B93" s="52">
        <v>13022</v>
      </c>
      <c r="C93" s="52">
        <v>31641</v>
      </c>
      <c r="D93" s="52">
        <v>12036</v>
      </c>
      <c r="E93" s="52">
        <v>43677</v>
      </c>
      <c r="F93" s="52">
        <v>31887</v>
      </c>
      <c r="G93" s="52">
        <v>31079</v>
      </c>
      <c r="H93" s="52">
        <v>62966</v>
      </c>
      <c r="I93" s="52">
        <v>25784</v>
      </c>
      <c r="J93" s="52">
        <v>16918</v>
      </c>
      <c r="K93" s="52">
        <v>42702</v>
      </c>
      <c r="L93" s="52">
        <v>60434</v>
      </c>
      <c r="M93" s="52">
        <v>30845</v>
      </c>
      <c r="N93" s="52">
        <v>91279</v>
      </c>
      <c r="O93" s="52">
        <v>4884</v>
      </c>
      <c r="P93" s="52">
        <v>29682</v>
      </c>
      <c r="Q93" s="52">
        <v>34566</v>
      </c>
      <c r="R93" s="52">
        <v>64864</v>
      </c>
      <c r="S93" s="52">
        <v>23540</v>
      </c>
      <c r="T93" s="52">
        <v>88404</v>
      </c>
      <c r="U93" s="86">
        <v>5121</v>
      </c>
      <c r="V93" s="86">
        <v>6648</v>
      </c>
      <c r="W93" s="52">
        <v>11769</v>
      </c>
      <c r="X93" s="52">
        <v>51830</v>
      </c>
      <c r="Y93" s="52">
        <v>14598</v>
      </c>
      <c r="Z93" s="52">
        <v>66428</v>
      </c>
      <c r="AA93" s="54">
        <v>9794</v>
      </c>
      <c r="AB93" s="54">
        <v>21443</v>
      </c>
      <c r="AC93" s="52">
        <v>31237</v>
      </c>
      <c r="AD93" s="52">
        <v>80073</v>
      </c>
      <c r="AE93" s="52">
        <v>23064</v>
      </c>
      <c r="AF93" s="52">
        <v>103137</v>
      </c>
      <c r="AG93" s="52">
        <v>44656</v>
      </c>
      <c r="AH93" s="52">
        <v>25549</v>
      </c>
      <c r="AI93" s="52">
        <v>70205</v>
      </c>
      <c r="AJ93" s="52">
        <v>42500</v>
      </c>
      <c r="AK93" s="52">
        <v>36495</v>
      </c>
      <c r="AL93" s="52">
        <v>78995</v>
      </c>
      <c r="AM93" s="52">
        <v>59029</v>
      </c>
      <c r="AN93" s="52">
        <v>16162</v>
      </c>
      <c r="AO93" s="52">
        <v>75191</v>
      </c>
      <c r="AP93" s="52">
        <v>39496</v>
      </c>
      <c r="AQ93" s="52">
        <v>19758</v>
      </c>
      <c r="AR93" s="52">
        <v>59254</v>
      </c>
      <c r="AS93" s="52">
        <v>33607</v>
      </c>
      <c r="AT93" s="52">
        <v>25754</v>
      </c>
      <c r="AU93" s="52">
        <v>59361</v>
      </c>
      <c r="AV93" s="52">
        <v>51635</v>
      </c>
      <c r="AW93" s="52">
        <v>27369</v>
      </c>
      <c r="AX93" s="52">
        <v>79004</v>
      </c>
      <c r="AY93" s="52">
        <v>46769</v>
      </c>
      <c r="AZ93" s="52">
        <v>28016</v>
      </c>
      <c r="BA93" s="52">
        <v>74785</v>
      </c>
      <c r="BB93" s="52">
        <v>52729</v>
      </c>
      <c r="BC93" s="52">
        <v>31667</v>
      </c>
      <c r="BD93" s="52">
        <v>84396</v>
      </c>
      <c r="BE93" s="52">
        <v>47641</v>
      </c>
      <c r="BF93" s="52">
        <v>18693</v>
      </c>
      <c r="BG93" s="52">
        <v>66334</v>
      </c>
      <c r="BW93" s="52">
        <f t="shared" si="4"/>
        <v>330906</v>
      </c>
      <c r="BX93" s="52">
        <f t="shared" si="5"/>
        <v>167419</v>
      </c>
      <c r="BY93" s="314">
        <f t="shared" si="6"/>
        <v>0.50594126428653452</v>
      </c>
      <c r="CC93" s="52">
        <f t="shared" si="7"/>
        <v>453468</v>
      </c>
    </row>
    <row r="94" spans="1:81" x14ac:dyDescent="0.2">
      <c r="A94" s="52" t="s">
        <v>242</v>
      </c>
      <c r="B94" s="52">
        <v>13078</v>
      </c>
      <c r="C94" s="52">
        <v>233</v>
      </c>
      <c r="D94" s="52">
        <v>78</v>
      </c>
      <c r="E94" s="52">
        <v>311</v>
      </c>
      <c r="F94" s="52">
        <v>1025</v>
      </c>
      <c r="G94" s="52">
        <v>257</v>
      </c>
      <c r="H94" s="52">
        <v>1282</v>
      </c>
      <c r="I94" s="52">
        <v>687</v>
      </c>
      <c r="J94" s="52">
        <v>169</v>
      </c>
      <c r="K94" s="52">
        <v>856</v>
      </c>
      <c r="L94" s="52">
        <v>868</v>
      </c>
      <c r="M94" s="52">
        <v>142</v>
      </c>
      <c r="N94" s="52">
        <v>1010</v>
      </c>
      <c r="O94" s="52">
        <v>1077</v>
      </c>
      <c r="P94" s="52">
        <v>230</v>
      </c>
      <c r="Q94" s="52">
        <v>1307</v>
      </c>
      <c r="R94" s="52">
        <v>1543</v>
      </c>
      <c r="S94" s="52">
        <v>267</v>
      </c>
      <c r="T94" s="52">
        <v>1810</v>
      </c>
      <c r="U94" s="86">
        <v>796</v>
      </c>
      <c r="V94" s="86">
        <v>134</v>
      </c>
      <c r="W94" s="52">
        <v>930</v>
      </c>
      <c r="X94" s="52">
        <v>390</v>
      </c>
      <c r="Y94" s="52">
        <v>187</v>
      </c>
      <c r="Z94" s="52">
        <v>577</v>
      </c>
      <c r="AA94" s="54">
        <v>1781</v>
      </c>
      <c r="AB94" s="54">
        <v>159</v>
      </c>
      <c r="AC94" s="52">
        <v>1940</v>
      </c>
      <c r="AD94" s="52">
        <v>519</v>
      </c>
      <c r="AE94" s="52">
        <v>90</v>
      </c>
      <c r="AF94" s="52">
        <v>609</v>
      </c>
      <c r="AG94" s="52">
        <v>1250</v>
      </c>
      <c r="AH94" s="52">
        <v>111</v>
      </c>
      <c r="AI94" s="52">
        <v>1361</v>
      </c>
      <c r="AJ94" s="52">
        <v>1250</v>
      </c>
      <c r="AK94" s="52">
        <v>217</v>
      </c>
      <c r="AL94" s="52">
        <v>1467</v>
      </c>
      <c r="AM94" s="52">
        <v>766</v>
      </c>
      <c r="AN94" s="52">
        <v>73</v>
      </c>
      <c r="AO94" s="52">
        <v>839</v>
      </c>
      <c r="AP94" s="52">
        <v>1284</v>
      </c>
      <c r="AQ94" s="52">
        <v>102</v>
      </c>
      <c r="AR94" s="52">
        <v>1386</v>
      </c>
      <c r="AS94" s="52">
        <v>744</v>
      </c>
      <c r="AT94" s="52">
        <v>98</v>
      </c>
      <c r="AU94" s="52">
        <v>842</v>
      </c>
      <c r="AV94" s="52">
        <v>86</v>
      </c>
      <c r="AW94" s="52">
        <v>124</v>
      </c>
      <c r="AX94" s="52">
        <v>210</v>
      </c>
      <c r="AY94" s="52">
        <v>-62</v>
      </c>
      <c r="AZ94" s="52">
        <v>151</v>
      </c>
      <c r="BA94" s="52">
        <v>89</v>
      </c>
      <c r="BB94" s="52">
        <v>-25</v>
      </c>
      <c r="BC94" s="52">
        <v>-9</v>
      </c>
      <c r="BD94" s="52">
        <v>-34</v>
      </c>
      <c r="BE94" s="52">
        <v>2277</v>
      </c>
      <c r="BF94" s="52">
        <v>0</v>
      </c>
      <c r="BG94" s="52">
        <v>2277</v>
      </c>
      <c r="BW94" s="52">
        <f t="shared" si="4"/>
        <v>5070</v>
      </c>
      <c r="BX94" s="52">
        <f t="shared" si="5"/>
        <v>539</v>
      </c>
      <c r="BY94" s="314">
        <f t="shared" si="6"/>
        <v>0.10631163708086785</v>
      </c>
      <c r="CC94" s="52">
        <f t="shared" si="7"/>
        <v>11419</v>
      </c>
    </row>
    <row r="95" spans="1:81" x14ac:dyDescent="0.2">
      <c r="A95" s="52" t="s">
        <v>243</v>
      </c>
      <c r="B95" s="52">
        <v>13120</v>
      </c>
      <c r="C95" s="52">
        <v>-192</v>
      </c>
      <c r="D95" s="52">
        <v>19</v>
      </c>
      <c r="E95" s="52">
        <v>-173</v>
      </c>
      <c r="F95" s="52">
        <v>-59</v>
      </c>
      <c r="G95" s="52">
        <v>0</v>
      </c>
      <c r="H95" s="52">
        <v>-59</v>
      </c>
      <c r="I95" s="52">
        <v>-8</v>
      </c>
      <c r="J95" s="52">
        <v>0</v>
      </c>
      <c r="K95" s="52">
        <v>-8</v>
      </c>
      <c r="L95" s="52">
        <v>13</v>
      </c>
      <c r="M95" s="52">
        <v>0</v>
      </c>
      <c r="N95" s="52">
        <v>13</v>
      </c>
      <c r="O95" s="52">
        <v>0</v>
      </c>
      <c r="P95" s="52">
        <v>0</v>
      </c>
      <c r="Q95" s="52">
        <v>0</v>
      </c>
      <c r="R95" s="52">
        <v>-4</v>
      </c>
      <c r="S95" s="52">
        <v>0</v>
      </c>
      <c r="T95" s="52">
        <v>-4</v>
      </c>
      <c r="U95" s="86">
        <v>-4</v>
      </c>
      <c r="V95" s="86">
        <v>0</v>
      </c>
      <c r="W95" s="52">
        <v>-4</v>
      </c>
      <c r="X95" s="52">
        <v>830</v>
      </c>
      <c r="Y95" s="52">
        <v>0</v>
      </c>
      <c r="Z95" s="52">
        <v>830</v>
      </c>
      <c r="AA95" s="54">
        <v>350</v>
      </c>
      <c r="AB95" s="54">
        <v>94</v>
      </c>
      <c r="AC95" s="52">
        <v>444</v>
      </c>
      <c r="AD95" s="52">
        <v>350</v>
      </c>
      <c r="AE95" s="52">
        <v>47</v>
      </c>
      <c r="AF95" s="52">
        <v>397</v>
      </c>
      <c r="AG95" s="52">
        <v>0</v>
      </c>
      <c r="AH95" s="52">
        <v>39</v>
      </c>
      <c r="AI95" s="52">
        <v>39</v>
      </c>
      <c r="AJ95" s="52">
        <v>0</v>
      </c>
      <c r="AK95" s="52">
        <v>31</v>
      </c>
      <c r="AL95" s="52">
        <v>31</v>
      </c>
      <c r="AM95" s="52">
        <v>0</v>
      </c>
      <c r="AN95" s="52">
        <v>12</v>
      </c>
      <c r="AO95" s="52">
        <v>12</v>
      </c>
      <c r="AP95" s="52">
        <v>350</v>
      </c>
      <c r="AQ95" s="52">
        <v>20</v>
      </c>
      <c r="AR95" s="52">
        <v>370</v>
      </c>
      <c r="AS95" s="52">
        <v>415</v>
      </c>
      <c r="AT95" s="52">
        <v>18</v>
      </c>
      <c r="AU95" s="52">
        <v>433</v>
      </c>
      <c r="AV95" s="52">
        <v>750</v>
      </c>
      <c r="AW95" s="52">
        <v>47</v>
      </c>
      <c r="AX95" s="52">
        <v>797</v>
      </c>
      <c r="AY95" s="52">
        <v>-466</v>
      </c>
      <c r="AZ95" s="52">
        <v>16</v>
      </c>
      <c r="BA95" s="52">
        <v>-450</v>
      </c>
      <c r="BB95" s="52">
        <v>-9</v>
      </c>
      <c r="BC95" s="52">
        <v>20</v>
      </c>
      <c r="BD95" s="52">
        <v>11</v>
      </c>
      <c r="BE95" s="52">
        <v>568</v>
      </c>
      <c r="BF95" s="52">
        <v>13</v>
      </c>
      <c r="BG95" s="52">
        <v>581</v>
      </c>
      <c r="BW95" s="52">
        <f t="shared" si="4"/>
        <v>1608</v>
      </c>
      <c r="BX95" s="52">
        <f t="shared" si="5"/>
        <v>146</v>
      </c>
      <c r="BY95" s="314">
        <f t="shared" si="6"/>
        <v>9.0796019900497515E-2</v>
      </c>
      <c r="CC95" s="52">
        <f t="shared" si="7"/>
        <v>1276</v>
      </c>
    </row>
    <row r="96" spans="1:81" x14ac:dyDescent="0.2">
      <c r="A96" s="52" t="s">
        <v>244</v>
      </c>
      <c r="B96" s="52">
        <v>13053</v>
      </c>
      <c r="C96" s="52">
        <v>-6</v>
      </c>
      <c r="D96" s="52">
        <v>80</v>
      </c>
      <c r="E96" s="52">
        <v>74</v>
      </c>
      <c r="F96" s="52">
        <v>488</v>
      </c>
      <c r="G96" s="52">
        <v>176</v>
      </c>
      <c r="H96" s="52">
        <v>664</v>
      </c>
      <c r="I96" s="52">
        <v>981</v>
      </c>
      <c r="J96" s="52">
        <v>175</v>
      </c>
      <c r="K96" s="52">
        <v>1156</v>
      </c>
      <c r="L96" s="52">
        <v>1252</v>
      </c>
      <c r="M96" s="52">
        <v>257</v>
      </c>
      <c r="N96" s="52">
        <v>1509</v>
      </c>
      <c r="O96" s="52">
        <v>2039</v>
      </c>
      <c r="P96" s="52">
        <v>299</v>
      </c>
      <c r="Q96" s="52">
        <v>2338</v>
      </c>
      <c r="R96" s="52">
        <v>1799</v>
      </c>
      <c r="S96" s="52">
        <v>359</v>
      </c>
      <c r="T96" s="52">
        <v>2158</v>
      </c>
      <c r="U96" s="86">
        <v>1199</v>
      </c>
      <c r="V96" s="86">
        <v>137</v>
      </c>
      <c r="W96" s="52">
        <v>1336</v>
      </c>
      <c r="X96" s="52">
        <v>1378</v>
      </c>
      <c r="Y96" s="52">
        <v>311</v>
      </c>
      <c r="Z96" s="52">
        <v>1689</v>
      </c>
      <c r="AA96" s="54">
        <v>1647</v>
      </c>
      <c r="AB96" s="54">
        <v>205</v>
      </c>
      <c r="AC96" s="52">
        <v>1852</v>
      </c>
      <c r="AD96" s="52">
        <v>1897</v>
      </c>
      <c r="AE96" s="52">
        <v>207</v>
      </c>
      <c r="AF96" s="52">
        <v>2104</v>
      </c>
      <c r="AG96" s="52">
        <v>1700</v>
      </c>
      <c r="AH96" s="52">
        <v>139</v>
      </c>
      <c r="AI96" s="52">
        <v>1839</v>
      </c>
      <c r="AJ96" s="52">
        <v>1970</v>
      </c>
      <c r="AK96" s="52">
        <v>357</v>
      </c>
      <c r="AL96" s="52">
        <v>2327</v>
      </c>
      <c r="AM96" s="52">
        <v>987</v>
      </c>
      <c r="AN96" s="52">
        <v>137</v>
      </c>
      <c r="AO96" s="52">
        <v>1124</v>
      </c>
      <c r="AP96" s="52">
        <v>2032</v>
      </c>
      <c r="AQ96" s="52">
        <v>150</v>
      </c>
      <c r="AR96" s="52">
        <v>2182</v>
      </c>
      <c r="AS96" s="52">
        <v>1293</v>
      </c>
      <c r="AT96" s="52">
        <v>161</v>
      </c>
      <c r="AU96" s="52">
        <v>1454</v>
      </c>
      <c r="AV96" s="52">
        <v>684</v>
      </c>
      <c r="AW96" s="52">
        <v>189</v>
      </c>
      <c r="AX96" s="52">
        <v>873</v>
      </c>
      <c r="AY96" s="52">
        <v>83</v>
      </c>
      <c r="AZ96" s="52">
        <v>227</v>
      </c>
      <c r="BA96" s="52">
        <v>310</v>
      </c>
      <c r="BB96" s="52">
        <v>4226</v>
      </c>
      <c r="BC96" s="52">
        <v>174</v>
      </c>
      <c r="BD96" s="52">
        <v>4400</v>
      </c>
      <c r="BE96" s="52">
        <v>1909</v>
      </c>
      <c r="BF96" s="52">
        <v>111</v>
      </c>
      <c r="BG96" s="52">
        <v>2020</v>
      </c>
      <c r="BW96" s="52">
        <f t="shared" si="4"/>
        <v>11214</v>
      </c>
      <c r="BX96" s="52">
        <f t="shared" si="5"/>
        <v>1149</v>
      </c>
      <c r="BY96" s="314">
        <f t="shared" si="6"/>
        <v>0.10246120920278223</v>
      </c>
      <c r="CC96" s="52">
        <f t="shared" si="7"/>
        <v>16344</v>
      </c>
    </row>
    <row r="97" spans="1:81" x14ac:dyDescent="0.2">
      <c r="A97" s="52" t="s">
        <v>245</v>
      </c>
      <c r="B97" s="52">
        <v>13017</v>
      </c>
      <c r="C97" s="52">
        <v>603</v>
      </c>
      <c r="D97" s="52">
        <v>28</v>
      </c>
      <c r="E97" s="52">
        <v>631</v>
      </c>
      <c r="F97" s="52">
        <v>1098</v>
      </c>
      <c r="G97" s="52">
        <v>305</v>
      </c>
      <c r="H97" s="52">
        <v>1403</v>
      </c>
      <c r="I97" s="52">
        <v>228</v>
      </c>
      <c r="J97" s="52">
        <v>123</v>
      </c>
      <c r="K97" s="52">
        <v>351</v>
      </c>
      <c r="L97" s="52">
        <v>173</v>
      </c>
      <c r="M97" s="52">
        <v>55</v>
      </c>
      <c r="N97" s="52">
        <v>228</v>
      </c>
      <c r="O97" s="52">
        <v>1513</v>
      </c>
      <c r="P97" s="52">
        <v>2829</v>
      </c>
      <c r="Q97" s="52">
        <v>4342</v>
      </c>
      <c r="R97" s="52">
        <v>99</v>
      </c>
      <c r="S97" s="52">
        <v>154</v>
      </c>
      <c r="T97" s="52">
        <v>253</v>
      </c>
      <c r="U97" s="86">
        <v>2802</v>
      </c>
      <c r="V97" s="86">
        <v>310</v>
      </c>
      <c r="W97" s="52">
        <v>3112</v>
      </c>
      <c r="X97" s="52">
        <v>183</v>
      </c>
      <c r="Y97" s="52">
        <v>437</v>
      </c>
      <c r="Z97" s="52">
        <v>620</v>
      </c>
      <c r="AA97" s="54">
        <v>192</v>
      </c>
      <c r="AB97" s="54">
        <v>864</v>
      </c>
      <c r="AC97" s="52">
        <v>1056</v>
      </c>
      <c r="AD97" s="52">
        <v>-70</v>
      </c>
      <c r="AE97" s="52">
        <v>0</v>
      </c>
      <c r="AF97" s="52">
        <v>-70</v>
      </c>
      <c r="AG97" s="52">
        <v>-383</v>
      </c>
      <c r="AH97" s="52">
        <v>0</v>
      </c>
      <c r="AI97" s="52">
        <v>-383</v>
      </c>
      <c r="AJ97" s="52">
        <v>0</v>
      </c>
      <c r="AK97" s="52">
        <v>0</v>
      </c>
      <c r="AL97" s="52">
        <v>0</v>
      </c>
      <c r="AM97" s="52">
        <v>0</v>
      </c>
      <c r="AN97" s="52">
        <v>0</v>
      </c>
      <c r="AO97" s="52">
        <v>0</v>
      </c>
      <c r="AP97" s="52">
        <v>-1</v>
      </c>
      <c r="AQ97" s="52">
        <v>0</v>
      </c>
      <c r="AR97" s="52">
        <v>-1</v>
      </c>
      <c r="AS97" s="52">
        <v>-1556</v>
      </c>
      <c r="AT97" s="52">
        <v>0</v>
      </c>
      <c r="AU97" s="52">
        <v>-1556</v>
      </c>
      <c r="AV97" s="52">
        <v>-279</v>
      </c>
      <c r="AW97" s="52">
        <v>0</v>
      </c>
      <c r="AX97" s="52">
        <v>-279</v>
      </c>
      <c r="AY97" s="52">
        <v>-642</v>
      </c>
      <c r="AZ97" s="52">
        <v>0</v>
      </c>
      <c r="BA97" s="52">
        <v>-642</v>
      </c>
      <c r="BB97" s="52">
        <v>-115</v>
      </c>
      <c r="BC97" s="52">
        <v>0</v>
      </c>
      <c r="BD97" s="52">
        <v>-115</v>
      </c>
      <c r="BE97" s="52">
        <v>-245</v>
      </c>
      <c r="BF97" s="52">
        <v>0</v>
      </c>
      <c r="BG97" s="52">
        <v>-245</v>
      </c>
      <c r="BW97" s="52">
        <f t="shared" si="4"/>
        <v>-2838</v>
      </c>
      <c r="BX97" s="52">
        <f t="shared" si="5"/>
        <v>0</v>
      </c>
      <c r="BY97" s="314">
        <f t="shared" si="6"/>
        <v>0</v>
      </c>
      <c r="CC97" s="52">
        <f t="shared" si="7"/>
        <v>6438</v>
      </c>
    </row>
    <row r="98" spans="1:81" x14ac:dyDescent="0.2">
      <c r="A98" s="52" t="s">
        <v>246</v>
      </c>
      <c r="B98" s="52">
        <v>13016</v>
      </c>
      <c r="C98" s="52">
        <v>742</v>
      </c>
      <c r="D98" s="52">
        <v>130</v>
      </c>
      <c r="E98" s="52">
        <v>872</v>
      </c>
      <c r="F98" s="52">
        <v>979</v>
      </c>
      <c r="G98" s="52">
        <v>327</v>
      </c>
      <c r="H98" s="52">
        <v>1306</v>
      </c>
      <c r="I98" s="52">
        <v>-214</v>
      </c>
      <c r="J98" s="52">
        <v>169</v>
      </c>
      <c r="K98" s="52">
        <v>-45</v>
      </c>
      <c r="L98" s="52">
        <v>1160</v>
      </c>
      <c r="M98" s="52">
        <v>110</v>
      </c>
      <c r="N98" s="52">
        <v>1270</v>
      </c>
      <c r="O98" s="52">
        <v>1669</v>
      </c>
      <c r="P98" s="52">
        <v>2620</v>
      </c>
      <c r="Q98" s="52">
        <v>4289</v>
      </c>
      <c r="R98" s="52">
        <v>80</v>
      </c>
      <c r="S98" s="52">
        <v>142</v>
      </c>
      <c r="T98" s="52">
        <v>222</v>
      </c>
      <c r="U98" s="86">
        <v>392</v>
      </c>
      <c r="V98" s="86">
        <v>0</v>
      </c>
      <c r="W98" s="52">
        <v>392</v>
      </c>
      <c r="X98" s="52">
        <v>-145</v>
      </c>
      <c r="Y98" s="52">
        <v>0</v>
      </c>
      <c r="Z98" s="52">
        <v>-145</v>
      </c>
      <c r="AA98" s="54">
        <v>-481</v>
      </c>
      <c r="AB98" s="54">
        <v>0</v>
      </c>
      <c r="AC98" s="52">
        <v>-481</v>
      </c>
      <c r="AD98" s="52">
        <v>-60</v>
      </c>
      <c r="AE98" s="52">
        <v>0</v>
      </c>
      <c r="AF98" s="52">
        <v>-60</v>
      </c>
      <c r="AG98" s="52">
        <v>-55</v>
      </c>
      <c r="AH98" s="52">
        <v>0</v>
      </c>
      <c r="AI98" s="52">
        <v>-55</v>
      </c>
      <c r="AJ98" s="52">
        <v>0</v>
      </c>
      <c r="AK98" s="52">
        <v>0</v>
      </c>
      <c r="AL98" s="52">
        <v>0</v>
      </c>
      <c r="AM98" s="52">
        <v>-8</v>
      </c>
      <c r="AN98" s="52">
        <v>0</v>
      </c>
      <c r="AO98" s="52">
        <v>-8</v>
      </c>
      <c r="AP98" s="52">
        <v>0</v>
      </c>
      <c r="AQ98" s="52">
        <v>0</v>
      </c>
      <c r="AR98" s="52">
        <v>0</v>
      </c>
      <c r="AS98" s="52">
        <v>-7</v>
      </c>
      <c r="AT98" s="52">
        <v>0</v>
      </c>
      <c r="AU98" s="52">
        <v>-7</v>
      </c>
      <c r="AV98" s="52">
        <v>-234</v>
      </c>
      <c r="AW98" s="52">
        <v>0</v>
      </c>
      <c r="AX98" s="52">
        <v>-234</v>
      </c>
      <c r="AY98" s="52">
        <v>-491</v>
      </c>
      <c r="AZ98" s="52">
        <v>0</v>
      </c>
      <c r="BA98" s="52">
        <v>-491</v>
      </c>
      <c r="BB98" s="52">
        <v>-78</v>
      </c>
      <c r="BC98" s="52">
        <v>0</v>
      </c>
      <c r="BD98" s="52">
        <v>-78</v>
      </c>
      <c r="BE98" s="52">
        <v>927</v>
      </c>
      <c r="BF98" s="52">
        <v>2</v>
      </c>
      <c r="BG98" s="52">
        <v>929</v>
      </c>
      <c r="BW98" s="52">
        <f t="shared" si="4"/>
        <v>109</v>
      </c>
      <c r="BX98" s="52">
        <f t="shared" si="5"/>
        <v>2</v>
      </c>
      <c r="BY98" s="314">
        <f t="shared" si="6"/>
        <v>1.834862385321101E-2</v>
      </c>
      <c r="CC98" s="52">
        <f t="shared" si="7"/>
        <v>4067</v>
      </c>
    </row>
    <row r="99" spans="1:81" x14ac:dyDescent="0.2">
      <c r="A99" s="52" t="s">
        <v>247</v>
      </c>
      <c r="B99" s="52">
        <v>13077</v>
      </c>
      <c r="C99" s="52">
        <v>0</v>
      </c>
      <c r="D99" s="52">
        <v>0</v>
      </c>
      <c r="E99" s="52">
        <v>0</v>
      </c>
      <c r="F99" s="52">
        <v>0</v>
      </c>
      <c r="G99" s="52">
        <v>0</v>
      </c>
      <c r="H99" s="52">
        <v>0</v>
      </c>
      <c r="I99" s="52">
        <v>0</v>
      </c>
      <c r="J99" s="52">
        <v>0</v>
      </c>
      <c r="K99" s="52">
        <v>0</v>
      </c>
      <c r="L99" s="52">
        <v>0</v>
      </c>
      <c r="M99" s="52">
        <v>0</v>
      </c>
      <c r="N99" s="52">
        <v>0</v>
      </c>
      <c r="O99" s="52">
        <v>0</v>
      </c>
      <c r="P99" s="52">
        <v>0</v>
      </c>
      <c r="Q99" s="52">
        <v>0</v>
      </c>
      <c r="R99" s="52">
        <v>0</v>
      </c>
      <c r="S99" s="52">
        <v>0</v>
      </c>
      <c r="T99" s="52">
        <v>0</v>
      </c>
      <c r="U99" s="86">
        <v>0</v>
      </c>
      <c r="V99" s="86">
        <v>0</v>
      </c>
      <c r="W99" s="52">
        <v>0</v>
      </c>
      <c r="X99" s="52">
        <v>0</v>
      </c>
      <c r="Y99" s="52">
        <v>0</v>
      </c>
      <c r="Z99" s="52">
        <v>0</v>
      </c>
      <c r="AA99" s="54">
        <v>0</v>
      </c>
      <c r="AB99" s="54">
        <v>0</v>
      </c>
      <c r="AC99" s="52">
        <v>0</v>
      </c>
      <c r="AD99" s="52">
        <v>0</v>
      </c>
      <c r="AE99" s="52">
        <v>0</v>
      </c>
      <c r="AF99" s="52">
        <v>0</v>
      </c>
      <c r="AG99" s="52">
        <v>-2</v>
      </c>
      <c r="AH99" s="52">
        <v>0</v>
      </c>
      <c r="AI99" s="52">
        <v>-2</v>
      </c>
      <c r="AJ99" s="52">
        <v>0</v>
      </c>
      <c r="AK99" s="52">
        <v>0</v>
      </c>
      <c r="AL99" s="52">
        <v>0</v>
      </c>
      <c r="AM99" s="52">
        <v>0</v>
      </c>
      <c r="AN99" s="52">
        <v>0</v>
      </c>
      <c r="AO99" s="52">
        <v>0</v>
      </c>
      <c r="AP99" s="52">
        <v>0</v>
      </c>
      <c r="AQ99" s="52">
        <v>0</v>
      </c>
      <c r="AR99" s="52">
        <v>0</v>
      </c>
      <c r="AS99" s="52">
        <v>0</v>
      </c>
      <c r="AT99" s="52">
        <v>0</v>
      </c>
      <c r="AU99" s="52">
        <v>0</v>
      </c>
      <c r="AV99" s="52">
        <v>-1</v>
      </c>
      <c r="AW99" s="52">
        <v>0</v>
      </c>
      <c r="AX99" s="52">
        <v>-1</v>
      </c>
      <c r="AY99" s="52">
        <v>-12</v>
      </c>
      <c r="AZ99" s="52">
        <v>0</v>
      </c>
      <c r="BA99" s="52">
        <v>-12</v>
      </c>
      <c r="BB99" s="52">
        <v>0</v>
      </c>
      <c r="BC99" s="52">
        <v>0</v>
      </c>
      <c r="BD99" s="52">
        <v>0</v>
      </c>
      <c r="BE99" s="52">
        <v>0</v>
      </c>
      <c r="BF99" s="52">
        <v>0</v>
      </c>
      <c r="BG99" s="52">
        <v>0</v>
      </c>
      <c r="BW99" s="52">
        <f t="shared" si="4"/>
        <v>-13</v>
      </c>
      <c r="BX99" s="52">
        <f t="shared" si="5"/>
        <v>0</v>
      </c>
      <c r="BY99" s="314">
        <f t="shared" si="6"/>
        <v>0</v>
      </c>
      <c r="CC99" s="52">
        <f t="shared" si="7"/>
        <v>-2</v>
      </c>
    </row>
    <row r="100" spans="1:81" x14ac:dyDescent="0.2">
      <c r="A100" s="52" t="s">
        <v>248</v>
      </c>
      <c r="B100" s="52">
        <v>13035</v>
      </c>
      <c r="C100" s="52">
        <v>0</v>
      </c>
      <c r="D100" s="52">
        <v>0</v>
      </c>
      <c r="E100" s="52">
        <v>0</v>
      </c>
      <c r="F100" s="52">
        <v>0</v>
      </c>
      <c r="G100" s="52">
        <v>0</v>
      </c>
      <c r="H100" s="52">
        <v>0</v>
      </c>
      <c r="I100" s="52">
        <v>0</v>
      </c>
      <c r="J100" s="52">
        <v>0</v>
      </c>
      <c r="K100" s="52">
        <v>0</v>
      </c>
      <c r="L100" s="52">
        <v>0</v>
      </c>
      <c r="M100" s="52">
        <v>0</v>
      </c>
      <c r="N100" s="52">
        <v>0</v>
      </c>
      <c r="O100" s="52">
        <v>0</v>
      </c>
      <c r="P100" s="52">
        <v>0</v>
      </c>
      <c r="Q100" s="52">
        <v>0</v>
      </c>
      <c r="R100" s="52">
        <v>0</v>
      </c>
      <c r="S100" s="52">
        <v>0</v>
      </c>
      <c r="T100" s="52">
        <v>0</v>
      </c>
      <c r="U100" s="86">
        <v>0</v>
      </c>
      <c r="V100" s="86">
        <v>0</v>
      </c>
      <c r="W100" s="52">
        <v>0</v>
      </c>
      <c r="X100" s="52">
        <v>0</v>
      </c>
      <c r="Y100" s="52">
        <v>0</v>
      </c>
      <c r="Z100" s="52">
        <v>0</v>
      </c>
      <c r="AA100" s="54">
        <v>0</v>
      </c>
      <c r="AB100" s="54">
        <v>0</v>
      </c>
      <c r="AC100" s="52">
        <v>0</v>
      </c>
      <c r="AD100" s="52">
        <v>0</v>
      </c>
      <c r="AE100" s="52">
        <v>0</v>
      </c>
      <c r="AF100" s="52">
        <v>0</v>
      </c>
      <c r="AG100" s="52">
        <v>-7</v>
      </c>
      <c r="AH100" s="52">
        <v>0</v>
      </c>
      <c r="AI100" s="52">
        <v>-7</v>
      </c>
      <c r="AJ100" s="52">
        <v>0</v>
      </c>
      <c r="AK100" s="52">
        <v>0</v>
      </c>
      <c r="AL100" s="52">
        <v>0</v>
      </c>
      <c r="AM100" s="52">
        <v>0</v>
      </c>
      <c r="AN100" s="52">
        <v>0</v>
      </c>
      <c r="AO100" s="52">
        <v>0</v>
      </c>
      <c r="AP100" s="52">
        <v>0</v>
      </c>
      <c r="AQ100" s="52">
        <v>0</v>
      </c>
      <c r="AR100" s="52">
        <v>0</v>
      </c>
      <c r="AS100" s="52">
        <v>0</v>
      </c>
      <c r="AT100" s="52">
        <v>0</v>
      </c>
      <c r="AU100" s="52">
        <v>0</v>
      </c>
      <c r="AV100" s="52">
        <v>-4</v>
      </c>
      <c r="AW100" s="52">
        <v>0</v>
      </c>
      <c r="AX100" s="52">
        <v>-4</v>
      </c>
      <c r="AY100" s="52">
        <v>8088</v>
      </c>
      <c r="AZ100" s="52">
        <v>0</v>
      </c>
      <c r="BA100" s="52">
        <v>8088</v>
      </c>
      <c r="BB100" s="52">
        <v>13410</v>
      </c>
      <c r="BC100" s="52">
        <v>1483</v>
      </c>
      <c r="BD100" s="52">
        <v>14893</v>
      </c>
      <c r="BE100" s="52">
        <v>-18</v>
      </c>
      <c r="BF100" s="52">
        <v>185</v>
      </c>
      <c r="BG100" s="52">
        <v>167</v>
      </c>
      <c r="BW100" s="52">
        <f t="shared" si="4"/>
        <v>21476</v>
      </c>
      <c r="BX100" s="52">
        <f t="shared" si="5"/>
        <v>1668</v>
      </c>
      <c r="BY100" s="314">
        <f t="shared" si="6"/>
        <v>7.7668094617247163E-2</v>
      </c>
      <c r="CC100" s="52">
        <f>SUM(C100,F100,I100,L100,O100,R100,U100,X100,AA100,AD100,AG100,AJ100)</f>
        <v>-7</v>
      </c>
    </row>
    <row r="101" spans="1:81" x14ac:dyDescent="0.2">
      <c r="A101" s="52" t="s">
        <v>249</v>
      </c>
      <c r="C101" s="52">
        <v>77416</v>
      </c>
      <c r="D101" s="52">
        <v>32232</v>
      </c>
      <c r="E101" s="52">
        <v>109648</v>
      </c>
      <c r="F101" s="52">
        <v>157321</v>
      </c>
      <c r="G101" s="52">
        <v>72613</v>
      </c>
      <c r="H101" s="52">
        <v>229934</v>
      </c>
      <c r="I101" s="52">
        <v>193203</v>
      </c>
      <c r="J101" s="52">
        <v>49974</v>
      </c>
      <c r="K101" s="52">
        <v>243177</v>
      </c>
      <c r="L101" s="52">
        <v>225768</v>
      </c>
      <c r="M101" s="52">
        <v>72853</v>
      </c>
      <c r="N101" s="52">
        <v>298621</v>
      </c>
      <c r="O101" s="52">
        <v>185701</v>
      </c>
      <c r="P101" s="52">
        <v>73435</v>
      </c>
      <c r="Q101" s="52">
        <v>259136</v>
      </c>
      <c r="R101" s="52">
        <v>240850</v>
      </c>
      <c r="S101" s="52">
        <v>62071</v>
      </c>
      <c r="T101" s="52">
        <v>302921</v>
      </c>
      <c r="U101" s="52">
        <v>180340</v>
      </c>
      <c r="V101" s="52">
        <v>42360</v>
      </c>
      <c r="W101" s="52">
        <v>222700</v>
      </c>
      <c r="X101" s="52">
        <v>205084</v>
      </c>
      <c r="Y101" s="52">
        <v>54223</v>
      </c>
      <c r="Z101" s="52">
        <v>259307</v>
      </c>
      <c r="AA101" s="52">
        <v>165666</v>
      </c>
      <c r="AB101" s="52">
        <v>54474</v>
      </c>
      <c r="AC101" s="52">
        <v>220140</v>
      </c>
      <c r="AD101" s="52">
        <v>224784</v>
      </c>
      <c r="AE101" s="52">
        <v>45541</v>
      </c>
      <c r="AF101" s="52">
        <v>270325</v>
      </c>
      <c r="AG101" s="52">
        <v>187027</v>
      </c>
      <c r="AH101" s="52">
        <v>48998</v>
      </c>
      <c r="AI101" s="52">
        <v>236025</v>
      </c>
      <c r="AJ101" s="52">
        <v>153984</v>
      </c>
      <c r="AK101" s="52">
        <v>74228</v>
      </c>
      <c r="AL101" s="52">
        <v>228212</v>
      </c>
      <c r="AM101" s="52">
        <v>152543</v>
      </c>
      <c r="AN101" s="52">
        <v>32526</v>
      </c>
      <c r="AO101" s="52">
        <v>185069</v>
      </c>
      <c r="AP101" s="52">
        <v>147880</v>
      </c>
      <c r="AQ101" s="52">
        <v>40480</v>
      </c>
      <c r="AR101" s="52">
        <v>188360</v>
      </c>
      <c r="AS101" s="52">
        <v>193084</v>
      </c>
      <c r="AT101" s="52">
        <v>61715</v>
      </c>
      <c r="AU101" s="52">
        <v>254799</v>
      </c>
      <c r="AV101" s="52">
        <v>217452</v>
      </c>
      <c r="AW101" s="52">
        <v>56609</v>
      </c>
      <c r="AX101" s="52">
        <v>261342</v>
      </c>
      <c r="AY101" s="52">
        <v>242586</v>
      </c>
      <c r="AZ101" s="52">
        <v>55494</v>
      </c>
      <c r="BA101" s="52">
        <v>298080</v>
      </c>
      <c r="BB101" s="52">
        <v>193617</v>
      </c>
      <c r="BC101" s="52">
        <v>63227</v>
      </c>
      <c r="BD101" s="52">
        <v>256844</v>
      </c>
      <c r="BE101" s="52">
        <v>200091</v>
      </c>
      <c r="BF101" s="52">
        <v>43839</v>
      </c>
      <c r="BG101" s="52">
        <v>243930</v>
      </c>
      <c r="BW101" s="52">
        <f t="shared" si="4"/>
        <v>1347253</v>
      </c>
      <c r="BX101" s="52">
        <f t="shared" si="5"/>
        <v>353890</v>
      </c>
      <c r="BY101" s="314">
        <f t="shared" si="6"/>
        <v>0.26267523620285127</v>
      </c>
    </row>
    <row r="102" spans="1:81" x14ac:dyDescent="0.2">
      <c r="BW102" s="52">
        <f t="shared" si="4"/>
        <v>0</v>
      </c>
      <c r="BX102" s="52">
        <f t="shared" si="5"/>
        <v>0</v>
      </c>
      <c r="BY102" s="314" t="e">
        <f t="shared" si="6"/>
        <v>#DIV/0!</v>
      </c>
    </row>
    <row r="103" spans="1:81" x14ac:dyDescent="0.2">
      <c r="BW103" s="52">
        <f t="shared" si="4"/>
        <v>0</v>
      </c>
      <c r="BX103" s="52">
        <f t="shared" si="5"/>
        <v>0</v>
      </c>
      <c r="BY103" s="314" t="e">
        <f t="shared" si="6"/>
        <v>#DIV/0!</v>
      </c>
    </row>
    <row r="104" spans="1:81" x14ac:dyDescent="0.2">
      <c r="BW104" s="52">
        <f t="shared" si="4"/>
        <v>0</v>
      </c>
      <c r="BX104" s="52">
        <f t="shared" si="5"/>
        <v>0</v>
      </c>
      <c r="BY104" s="314" t="e">
        <f t="shared" si="6"/>
        <v>#DIV/0!</v>
      </c>
    </row>
    <row r="105" spans="1:81" x14ac:dyDescent="0.2">
      <c r="BW105" s="52">
        <f t="shared" si="4"/>
        <v>0</v>
      </c>
      <c r="BX105" s="52">
        <f t="shared" si="5"/>
        <v>0</v>
      </c>
      <c r="BY105" s="314" t="e">
        <f t="shared" si="6"/>
        <v>#DIV/0!</v>
      </c>
    </row>
    <row r="106" spans="1:81" x14ac:dyDescent="0.2">
      <c r="BW106" s="52">
        <f t="shared" si="4"/>
        <v>0</v>
      </c>
      <c r="BX106" s="52">
        <f t="shared" si="5"/>
        <v>0</v>
      </c>
      <c r="BY106" s="314" t="e">
        <f t="shared" si="6"/>
        <v>#DIV/0!</v>
      </c>
    </row>
    <row r="107" spans="1:81" x14ac:dyDescent="0.2">
      <c r="BW107" s="52">
        <f t="shared" si="4"/>
        <v>0</v>
      </c>
      <c r="BX107" s="52">
        <f t="shared" si="5"/>
        <v>0</v>
      </c>
      <c r="BY107" s="314" t="e">
        <f t="shared" si="6"/>
        <v>#DIV/0!</v>
      </c>
    </row>
    <row r="108" spans="1:81" x14ac:dyDescent="0.2">
      <c r="BW108" s="52">
        <f t="shared" si="4"/>
        <v>0</v>
      </c>
      <c r="BX108" s="52">
        <f t="shared" si="5"/>
        <v>0</v>
      </c>
      <c r="BY108" s="314" t="e">
        <f t="shared" si="6"/>
        <v>#DIV/0!</v>
      </c>
    </row>
    <row r="109" spans="1:81" x14ac:dyDescent="0.2">
      <c r="BW109" s="52">
        <f t="shared" si="4"/>
        <v>0</v>
      </c>
      <c r="BX109" s="52">
        <f t="shared" si="5"/>
        <v>0</v>
      </c>
      <c r="BY109" s="314" t="e">
        <f t="shared" si="6"/>
        <v>#DIV/0!</v>
      </c>
    </row>
    <row r="110" spans="1:81" x14ac:dyDescent="0.2">
      <c r="BW110" s="52">
        <f t="shared" si="4"/>
        <v>0</v>
      </c>
      <c r="BX110" s="52">
        <f t="shared" si="5"/>
        <v>0</v>
      </c>
      <c r="BY110" s="314" t="e">
        <f t="shared" si="6"/>
        <v>#DIV/0!</v>
      </c>
    </row>
    <row r="111" spans="1:81" x14ac:dyDescent="0.2">
      <c r="BW111" s="52">
        <f t="shared" si="4"/>
        <v>0</v>
      </c>
      <c r="BX111" s="52">
        <f t="shared" si="5"/>
        <v>0</v>
      </c>
      <c r="BY111" s="314" t="e">
        <f t="shared" si="6"/>
        <v>#DIV/0!</v>
      </c>
    </row>
    <row r="112" spans="1:81" x14ac:dyDescent="0.2">
      <c r="BW112" s="52">
        <f t="shared" si="4"/>
        <v>0</v>
      </c>
      <c r="BX112" s="52">
        <f t="shared" si="5"/>
        <v>0</v>
      </c>
      <c r="BY112" s="314" t="e">
        <f t="shared" si="6"/>
        <v>#DIV/0!</v>
      </c>
    </row>
    <row r="113" spans="2:77" x14ac:dyDescent="0.2">
      <c r="BW113" s="52">
        <f t="shared" si="4"/>
        <v>0</v>
      </c>
      <c r="BX113" s="52">
        <f t="shared" si="5"/>
        <v>0</v>
      </c>
      <c r="BY113" s="314" t="e">
        <f t="shared" si="6"/>
        <v>#DIV/0!</v>
      </c>
    </row>
    <row r="114" spans="2:77" x14ac:dyDescent="0.2">
      <c r="BW114" s="52">
        <f t="shared" si="4"/>
        <v>0</v>
      </c>
      <c r="BX114" s="52">
        <f t="shared" si="5"/>
        <v>0</v>
      </c>
      <c r="BY114" s="314" t="e">
        <f t="shared" si="6"/>
        <v>#DIV/0!</v>
      </c>
    </row>
    <row r="115" spans="2:77" x14ac:dyDescent="0.2">
      <c r="BW115" s="52">
        <f t="shared" si="4"/>
        <v>0</v>
      </c>
      <c r="BX115" s="52">
        <f t="shared" si="5"/>
        <v>0</v>
      </c>
      <c r="BY115" s="314" t="e">
        <f t="shared" si="6"/>
        <v>#DIV/0!</v>
      </c>
    </row>
    <row r="116" spans="2:77" x14ac:dyDescent="0.2">
      <c r="BW116" s="52">
        <f t="shared" si="4"/>
        <v>0</v>
      </c>
      <c r="BX116" s="52">
        <f t="shared" si="5"/>
        <v>0</v>
      </c>
      <c r="BY116" s="314" t="e">
        <f t="shared" si="6"/>
        <v>#DIV/0!</v>
      </c>
    </row>
    <row r="117" spans="2:77" x14ac:dyDescent="0.2">
      <c r="BW117" s="52">
        <f t="shared" si="4"/>
        <v>0</v>
      </c>
      <c r="BX117" s="52">
        <f t="shared" si="5"/>
        <v>0</v>
      </c>
      <c r="BY117" s="314" t="e">
        <f t="shared" si="6"/>
        <v>#DIV/0!</v>
      </c>
    </row>
    <row r="118" spans="2:77" x14ac:dyDescent="0.2">
      <c r="BW118" s="52">
        <f t="shared" si="4"/>
        <v>0</v>
      </c>
      <c r="BX118" s="52">
        <f t="shared" si="5"/>
        <v>0</v>
      </c>
      <c r="BY118" s="314" t="e">
        <f t="shared" si="6"/>
        <v>#DIV/0!</v>
      </c>
    </row>
    <row r="119" spans="2:77" x14ac:dyDescent="0.2">
      <c r="BW119" s="52">
        <f t="shared" si="4"/>
        <v>0</v>
      </c>
      <c r="BX119" s="52">
        <f t="shared" si="5"/>
        <v>0</v>
      </c>
      <c r="BY119" s="314" t="e">
        <f t="shared" si="6"/>
        <v>#DIV/0!</v>
      </c>
    </row>
    <row r="120" spans="2:77" x14ac:dyDescent="0.2">
      <c r="BW120" s="52">
        <f t="shared" si="4"/>
        <v>0</v>
      </c>
      <c r="BX120" s="52">
        <f t="shared" si="5"/>
        <v>0</v>
      </c>
      <c r="BY120" s="314" t="e">
        <f t="shared" si="6"/>
        <v>#DIV/0!</v>
      </c>
    </row>
    <row r="121" spans="2:77" x14ac:dyDescent="0.2">
      <c r="BW121" s="52">
        <f t="shared" si="4"/>
        <v>0</v>
      </c>
      <c r="BX121" s="52">
        <f t="shared" si="5"/>
        <v>0</v>
      </c>
      <c r="BY121" s="314" t="e">
        <f t="shared" si="6"/>
        <v>#DIV/0!</v>
      </c>
    </row>
    <row r="122" spans="2:77" x14ac:dyDescent="0.2">
      <c r="B122" s="52">
        <v>1</v>
      </c>
      <c r="C122" s="52">
        <f>+B122+1</f>
        <v>2</v>
      </c>
      <c r="D122" s="52">
        <f t="shared" ref="D122:BO122" si="8">+C122+1</f>
        <v>3</v>
      </c>
      <c r="E122" s="52">
        <f t="shared" si="8"/>
        <v>4</v>
      </c>
      <c r="F122" s="52">
        <f t="shared" si="8"/>
        <v>5</v>
      </c>
      <c r="G122" s="52">
        <f t="shared" si="8"/>
        <v>6</v>
      </c>
      <c r="H122" s="52">
        <f t="shared" si="8"/>
        <v>7</v>
      </c>
      <c r="I122" s="52">
        <f t="shared" si="8"/>
        <v>8</v>
      </c>
      <c r="J122" s="52">
        <f t="shared" si="8"/>
        <v>9</v>
      </c>
      <c r="K122" s="52">
        <f t="shared" si="8"/>
        <v>10</v>
      </c>
      <c r="L122" s="52">
        <f t="shared" si="8"/>
        <v>11</v>
      </c>
      <c r="M122" s="52">
        <f t="shared" si="8"/>
        <v>12</v>
      </c>
      <c r="N122" s="52">
        <f t="shared" si="8"/>
        <v>13</v>
      </c>
      <c r="O122" s="52">
        <f t="shared" si="8"/>
        <v>14</v>
      </c>
      <c r="P122" s="52">
        <f t="shared" si="8"/>
        <v>15</v>
      </c>
      <c r="Q122" s="52">
        <f t="shared" si="8"/>
        <v>16</v>
      </c>
      <c r="R122" s="52">
        <f t="shared" si="8"/>
        <v>17</v>
      </c>
      <c r="S122" s="52">
        <f t="shared" si="8"/>
        <v>18</v>
      </c>
      <c r="T122" s="52">
        <f t="shared" si="8"/>
        <v>19</v>
      </c>
      <c r="U122" s="52">
        <f t="shared" si="8"/>
        <v>20</v>
      </c>
      <c r="V122" s="52">
        <f t="shared" si="8"/>
        <v>21</v>
      </c>
      <c r="W122" s="52">
        <f t="shared" si="8"/>
        <v>22</v>
      </c>
      <c r="X122" s="52">
        <f t="shared" si="8"/>
        <v>23</v>
      </c>
      <c r="Y122" s="52">
        <f t="shared" si="8"/>
        <v>24</v>
      </c>
      <c r="Z122" s="52">
        <f t="shared" si="8"/>
        <v>25</v>
      </c>
      <c r="AA122" s="52">
        <f t="shared" si="8"/>
        <v>26</v>
      </c>
      <c r="AB122" s="52">
        <f t="shared" si="8"/>
        <v>27</v>
      </c>
      <c r="AC122" s="52">
        <f t="shared" si="8"/>
        <v>28</v>
      </c>
      <c r="AD122" s="52">
        <f t="shared" si="8"/>
        <v>29</v>
      </c>
      <c r="AE122" s="52">
        <f t="shared" si="8"/>
        <v>30</v>
      </c>
      <c r="AF122" s="52">
        <f t="shared" si="8"/>
        <v>31</v>
      </c>
      <c r="AG122" s="52">
        <f t="shared" si="8"/>
        <v>32</v>
      </c>
      <c r="AH122" s="52">
        <f t="shared" si="8"/>
        <v>33</v>
      </c>
      <c r="AI122" s="52">
        <f t="shared" si="8"/>
        <v>34</v>
      </c>
      <c r="AJ122" s="52">
        <f t="shared" si="8"/>
        <v>35</v>
      </c>
      <c r="AK122" s="52">
        <f t="shared" si="8"/>
        <v>36</v>
      </c>
      <c r="AL122" s="52">
        <f t="shared" si="8"/>
        <v>37</v>
      </c>
      <c r="AM122" s="52">
        <f t="shared" si="8"/>
        <v>38</v>
      </c>
      <c r="AN122" s="52">
        <f t="shared" si="8"/>
        <v>39</v>
      </c>
      <c r="AO122" s="52">
        <f t="shared" si="8"/>
        <v>40</v>
      </c>
      <c r="AP122" s="52">
        <f t="shared" si="8"/>
        <v>41</v>
      </c>
      <c r="AQ122" s="52">
        <f t="shared" si="8"/>
        <v>42</v>
      </c>
      <c r="AR122" s="52">
        <f t="shared" si="8"/>
        <v>43</v>
      </c>
      <c r="AS122" s="52">
        <f t="shared" si="8"/>
        <v>44</v>
      </c>
      <c r="AT122" s="52">
        <f t="shared" si="8"/>
        <v>45</v>
      </c>
      <c r="AU122" s="52">
        <f t="shared" si="8"/>
        <v>46</v>
      </c>
      <c r="AV122" s="52">
        <f t="shared" si="8"/>
        <v>47</v>
      </c>
      <c r="AW122" s="52">
        <f t="shared" si="8"/>
        <v>48</v>
      </c>
      <c r="AX122" s="52">
        <f t="shared" si="8"/>
        <v>49</v>
      </c>
      <c r="AY122" s="52">
        <f t="shared" si="8"/>
        <v>50</v>
      </c>
      <c r="AZ122" s="52">
        <f t="shared" si="8"/>
        <v>51</v>
      </c>
      <c r="BA122" s="52">
        <f t="shared" si="8"/>
        <v>52</v>
      </c>
      <c r="BB122" s="52">
        <f t="shared" si="8"/>
        <v>53</v>
      </c>
      <c r="BC122" s="52">
        <f t="shared" si="8"/>
        <v>54</v>
      </c>
      <c r="BD122" s="52">
        <f t="shared" si="8"/>
        <v>55</v>
      </c>
      <c r="BE122" s="52">
        <f t="shared" si="8"/>
        <v>56</v>
      </c>
      <c r="BF122" s="52">
        <f t="shared" si="8"/>
        <v>57</v>
      </c>
      <c r="BG122" s="52">
        <f t="shared" si="8"/>
        <v>58</v>
      </c>
      <c r="BH122" s="52">
        <f t="shared" si="8"/>
        <v>59</v>
      </c>
      <c r="BI122" s="52">
        <f t="shared" si="8"/>
        <v>60</v>
      </c>
      <c r="BJ122" s="52">
        <f t="shared" si="8"/>
        <v>61</v>
      </c>
      <c r="BK122" s="52">
        <f t="shared" si="8"/>
        <v>62</v>
      </c>
      <c r="BL122" s="52">
        <f t="shared" si="8"/>
        <v>63</v>
      </c>
      <c r="BM122" s="52">
        <f t="shared" si="8"/>
        <v>64</v>
      </c>
      <c r="BN122" s="52">
        <f t="shared" si="8"/>
        <v>65</v>
      </c>
      <c r="BO122" s="52">
        <f t="shared" si="8"/>
        <v>66</v>
      </c>
      <c r="BP122" s="52">
        <f t="shared" ref="BP122:BY122" si="9">+BO122+1</f>
        <v>67</v>
      </c>
      <c r="BQ122" s="52">
        <f t="shared" si="9"/>
        <v>68</v>
      </c>
      <c r="BR122" s="52">
        <f t="shared" si="9"/>
        <v>69</v>
      </c>
      <c r="BS122" s="52">
        <f t="shared" si="9"/>
        <v>70</v>
      </c>
      <c r="BT122" s="52">
        <f t="shared" si="9"/>
        <v>71</v>
      </c>
      <c r="BU122" s="52">
        <f t="shared" si="9"/>
        <v>72</v>
      </c>
      <c r="BV122" s="52">
        <f t="shared" si="9"/>
        <v>73</v>
      </c>
      <c r="BW122" s="52">
        <f t="shared" si="9"/>
        <v>74</v>
      </c>
      <c r="BX122" s="52">
        <f t="shared" si="9"/>
        <v>75</v>
      </c>
      <c r="BY122" s="52">
        <f t="shared" si="9"/>
        <v>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2:Z105"/>
  <sheetViews>
    <sheetView topLeftCell="A88" workbookViewId="0">
      <selection activeCell="A105" sqref="A105"/>
    </sheetView>
  </sheetViews>
  <sheetFormatPr baseColWidth="10" defaultRowHeight="12" x14ac:dyDescent="0.2"/>
  <cols>
    <col min="1" max="1" width="38.7109375" style="52" bestFit="1" customWidth="1"/>
    <col min="2" max="16384" width="11.42578125" style="52"/>
  </cols>
  <sheetData>
    <row r="2" spans="1:26" x14ac:dyDescent="0.2">
      <c r="C2" s="52">
        <f t="shared" ref="C2:Z2" si="0">C3*C4</f>
        <v>2016</v>
      </c>
      <c r="D2" s="52">
        <f t="shared" si="0"/>
        <v>4032</v>
      </c>
      <c r="E2" s="52">
        <f t="shared" si="0"/>
        <v>6048</v>
      </c>
      <c r="F2" s="52">
        <f t="shared" si="0"/>
        <v>8064</v>
      </c>
      <c r="G2" s="52">
        <f t="shared" si="0"/>
        <v>10080</v>
      </c>
      <c r="H2" s="52">
        <f t="shared" si="0"/>
        <v>12096</v>
      </c>
      <c r="I2" s="52">
        <f t="shared" si="0"/>
        <v>14112</v>
      </c>
      <c r="J2" s="52">
        <f t="shared" si="0"/>
        <v>16128</v>
      </c>
      <c r="K2" s="52">
        <f t="shared" si="0"/>
        <v>18144</v>
      </c>
      <c r="L2" s="52">
        <f t="shared" si="0"/>
        <v>20160</v>
      </c>
      <c r="M2" s="52">
        <f t="shared" si="0"/>
        <v>22176</v>
      </c>
      <c r="N2" s="52">
        <f t="shared" si="0"/>
        <v>24192</v>
      </c>
      <c r="O2" s="52">
        <f t="shared" si="0"/>
        <v>2017</v>
      </c>
      <c r="P2" s="52">
        <f t="shared" si="0"/>
        <v>4034</v>
      </c>
      <c r="Q2" s="52">
        <f t="shared" si="0"/>
        <v>6051</v>
      </c>
      <c r="R2" s="52">
        <f t="shared" si="0"/>
        <v>8068</v>
      </c>
      <c r="S2" s="52">
        <f t="shared" si="0"/>
        <v>10085</v>
      </c>
      <c r="T2" s="52">
        <f t="shared" si="0"/>
        <v>12102</v>
      </c>
      <c r="U2" s="52">
        <f t="shared" si="0"/>
        <v>14119</v>
      </c>
      <c r="V2" s="52">
        <f t="shared" si="0"/>
        <v>16136</v>
      </c>
      <c r="W2" s="52">
        <f t="shared" si="0"/>
        <v>18153</v>
      </c>
      <c r="X2" s="52">
        <f t="shared" si="0"/>
        <v>20170</v>
      </c>
      <c r="Y2" s="52">
        <f t="shared" si="0"/>
        <v>22187</v>
      </c>
      <c r="Z2" s="52">
        <f t="shared" si="0"/>
        <v>24204</v>
      </c>
    </row>
    <row r="3" spans="1:26" x14ac:dyDescent="0.2">
      <c r="C3" s="52">
        <v>2016</v>
      </c>
      <c r="D3" s="52">
        <v>2016</v>
      </c>
      <c r="E3" s="52">
        <v>2016</v>
      </c>
      <c r="F3" s="52">
        <v>2016</v>
      </c>
      <c r="G3" s="52">
        <v>2016</v>
      </c>
      <c r="H3" s="52">
        <v>2016</v>
      </c>
      <c r="I3" s="52">
        <v>2016</v>
      </c>
      <c r="J3" s="52">
        <v>2016</v>
      </c>
      <c r="K3" s="52">
        <v>2016</v>
      </c>
      <c r="L3" s="52">
        <v>2016</v>
      </c>
      <c r="M3" s="52">
        <v>2016</v>
      </c>
      <c r="N3" s="52">
        <v>2016</v>
      </c>
      <c r="O3" s="52">
        <v>2017</v>
      </c>
      <c r="P3" s="52">
        <v>2017</v>
      </c>
      <c r="Q3" s="52">
        <v>2017</v>
      </c>
      <c r="R3" s="52">
        <v>2017</v>
      </c>
      <c r="S3" s="52">
        <v>2017</v>
      </c>
      <c r="T3" s="52">
        <v>2017</v>
      </c>
      <c r="U3" s="52">
        <v>2017</v>
      </c>
      <c r="V3" s="52">
        <v>2017</v>
      </c>
      <c r="W3" s="52">
        <v>2017</v>
      </c>
      <c r="X3" s="52">
        <v>2017</v>
      </c>
      <c r="Y3" s="52">
        <v>2017</v>
      </c>
      <c r="Z3" s="52">
        <v>2017</v>
      </c>
    </row>
    <row r="4" spans="1:26" x14ac:dyDescent="0.2">
      <c r="A4" s="52" t="s">
        <v>153</v>
      </c>
      <c r="C4" s="52">
        <v>1</v>
      </c>
      <c r="D4" s="52">
        <v>2</v>
      </c>
      <c r="E4" s="52">
        <v>3</v>
      </c>
      <c r="F4" s="52">
        <v>4</v>
      </c>
      <c r="G4" s="52">
        <v>5</v>
      </c>
      <c r="H4" s="52">
        <v>6</v>
      </c>
      <c r="I4" s="52">
        <v>7</v>
      </c>
      <c r="J4" s="52">
        <v>8</v>
      </c>
      <c r="K4" s="52">
        <v>9</v>
      </c>
      <c r="L4" s="52">
        <v>10</v>
      </c>
      <c r="M4" s="52">
        <v>11</v>
      </c>
      <c r="N4" s="52">
        <v>12</v>
      </c>
      <c r="O4" s="52">
        <v>1</v>
      </c>
      <c r="P4" s="52">
        <v>2</v>
      </c>
      <c r="Q4" s="52">
        <v>3</v>
      </c>
      <c r="R4" s="52">
        <v>4</v>
      </c>
      <c r="S4" s="52">
        <v>5</v>
      </c>
      <c r="T4" s="52">
        <v>6</v>
      </c>
      <c r="U4" s="52">
        <v>7</v>
      </c>
      <c r="V4" s="52">
        <v>8</v>
      </c>
      <c r="W4" s="52">
        <v>9</v>
      </c>
      <c r="X4" s="52">
        <v>10</v>
      </c>
      <c r="Y4" s="52">
        <v>11</v>
      </c>
      <c r="Z4" s="52">
        <v>12</v>
      </c>
    </row>
    <row r="5" spans="1:26" ht="12.75" x14ac:dyDescent="0.2">
      <c r="A5" s="1" t="s">
        <v>278</v>
      </c>
      <c r="B5" s="1">
        <v>13022</v>
      </c>
      <c r="C5" s="104">
        <v>84662</v>
      </c>
      <c r="D5" s="104">
        <v>64795</v>
      </c>
      <c r="E5" s="104">
        <v>61597</v>
      </c>
      <c r="F5" s="104">
        <v>69872</v>
      </c>
      <c r="G5" s="104">
        <v>60098</v>
      </c>
      <c r="H5" s="104">
        <v>44621</v>
      </c>
      <c r="I5" s="104">
        <v>43512</v>
      </c>
      <c r="J5" s="104">
        <v>58403</v>
      </c>
      <c r="K5" s="104">
        <v>67413</v>
      </c>
      <c r="L5" s="104">
        <v>61319</v>
      </c>
      <c r="M5" s="104">
        <v>61677</v>
      </c>
      <c r="N5" s="104">
        <v>59376</v>
      </c>
      <c r="O5" s="104">
        <v>63465</v>
      </c>
      <c r="P5" s="104">
        <v>42405</v>
      </c>
      <c r="Q5" s="104">
        <v>53409</v>
      </c>
      <c r="R5" s="104">
        <v>49383</v>
      </c>
      <c r="S5" s="104">
        <v>65401</v>
      </c>
      <c r="T5" s="104">
        <v>57017</v>
      </c>
    </row>
    <row r="6" spans="1:26" ht="12.75" x14ac:dyDescent="0.2">
      <c r="A6" s="1" t="s">
        <v>280</v>
      </c>
      <c r="B6" s="1">
        <v>13121</v>
      </c>
      <c r="C6" s="104">
        <v>5292</v>
      </c>
      <c r="D6" s="104">
        <v>5334</v>
      </c>
      <c r="E6" s="104">
        <v>5473</v>
      </c>
      <c r="F6" s="104">
        <v>5002</v>
      </c>
      <c r="G6" s="104">
        <v>5775</v>
      </c>
      <c r="H6" s="104">
        <v>5104</v>
      </c>
      <c r="I6" s="104">
        <v>4535</v>
      </c>
      <c r="J6" s="104">
        <v>5147</v>
      </c>
      <c r="K6" s="104">
        <v>5135</v>
      </c>
      <c r="L6" s="104">
        <v>4665</v>
      </c>
      <c r="M6" s="104">
        <v>4889</v>
      </c>
      <c r="N6" s="104">
        <v>5293</v>
      </c>
      <c r="O6" s="104">
        <v>6120</v>
      </c>
      <c r="P6" s="104">
        <v>5306</v>
      </c>
      <c r="Q6" s="104">
        <v>6530</v>
      </c>
      <c r="R6" s="104">
        <v>6254</v>
      </c>
      <c r="S6" s="104">
        <v>6204</v>
      </c>
      <c r="T6" s="104">
        <v>6241</v>
      </c>
    </row>
    <row r="7" spans="1:26" ht="12.75" x14ac:dyDescent="0.2">
      <c r="A7" s="1" t="s">
        <v>281</v>
      </c>
      <c r="B7" s="1">
        <v>13063</v>
      </c>
      <c r="C7" s="104">
        <v>6262</v>
      </c>
      <c r="D7" s="104">
        <v>7070</v>
      </c>
      <c r="E7" s="104">
        <v>4825</v>
      </c>
      <c r="F7" s="104">
        <v>5219</v>
      </c>
      <c r="G7" s="104">
        <v>5766</v>
      </c>
      <c r="H7" s="104">
        <v>5154</v>
      </c>
      <c r="I7" s="104">
        <v>5150</v>
      </c>
      <c r="J7" s="104">
        <v>5850</v>
      </c>
      <c r="K7" s="104">
        <v>5715</v>
      </c>
      <c r="L7" s="104">
        <v>5498</v>
      </c>
      <c r="M7" s="104">
        <v>5383</v>
      </c>
      <c r="N7" s="104">
        <v>6232</v>
      </c>
      <c r="O7" s="104">
        <v>5984</v>
      </c>
      <c r="P7" s="104">
        <v>5156</v>
      </c>
      <c r="Q7" s="104">
        <v>6587</v>
      </c>
      <c r="R7" s="104">
        <v>5906</v>
      </c>
      <c r="S7" s="104">
        <v>7781</v>
      </c>
      <c r="T7" s="104">
        <v>5317</v>
      </c>
    </row>
    <row r="8" spans="1:26" ht="12.75" x14ac:dyDescent="0.2">
      <c r="A8" s="1" t="s">
        <v>369</v>
      </c>
      <c r="B8" s="1">
        <v>13143</v>
      </c>
      <c r="C8" s="104">
        <v>0</v>
      </c>
      <c r="D8" s="104">
        <v>0</v>
      </c>
      <c r="E8" s="104">
        <v>0</v>
      </c>
      <c r="F8" s="104">
        <v>0</v>
      </c>
      <c r="G8" s="104">
        <v>0</v>
      </c>
      <c r="H8" s="104">
        <v>0</v>
      </c>
      <c r="I8" s="104">
        <v>0</v>
      </c>
      <c r="J8" s="104">
        <v>0</v>
      </c>
      <c r="K8" s="104">
        <v>0</v>
      </c>
      <c r="L8" s="104">
        <v>0</v>
      </c>
      <c r="M8" s="104">
        <v>0</v>
      </c>
      <c r="N8" s="104">
        <v>7002</v>
      </c>
      <c r="O8" s="104">
        <v>8240</v>
      </c>
      <c r="P8" s="104">
        <v>10617</v>
      </c>
      <c r="Q8" s="104">
        <v>15592</v>
      </c>
      <c r="R8" s="104">
        <v>13712</v>
      </c>
      <c r="S8" s="104">
        <v>18354</v>
      </c>
      <c r="T8" s="104">
        <v>13142</v>
      </c>
    </row>
    <row r="9" spans="1:26" ht="12.75" x14ac:dyDescent="0.2">
      <c r="A9" s="1" t="s">
        <v>284</v>
      </c>
      <c r="B9" s="1">
        <v>13032</v>
      </c>
      <c r="C9" s="104">
        <v>3884</v>
      </c>
      <c r="D9" s="104">
        <v>4088</v>
      </c>
      <c r="E9" s="104">
        <v>4835</v>
      </c>
      <c r="F9" s="104">
        <v>4849</v>
      </c>
      <c r="G9" s="104">
        <v>4709</v>
      </c>
      <c r="H9" s="104">
        <v>4700</v>
      </c>
      <c r="I9" s="104">
        <v>4180</v>
      </c>
      <c r="J9" s="104">
        <v>4807</v>
      </c>
      <c r="K9" s="104">
        <v>4367</v>
      </c>
      <c r="L9" s="104">
        <v>4224</v>
      </c>
      <c r="M9" s="104">
        <v>3594</v>
      </c>
      <c r="N9" s="104">
        <v>3631</v>
      </c>
      <c r="O9" s="104">
        <v>4303</v>
      </c>
      <c r="P9" s="104">
        <v>3547</v>
      </c>
      <c r="Q9" s="104">
        <v>4339</v>
      </c>
      <c r="R9" s="104">
        <v>4034</v>
      </c>
      <c r="S9" s="104">
        <v>4464</v>
      </c>
      <c r="T9" s="104">
        <v>4322</v>
      </c>
    </row>
    <row r="10" spans="1:26" ht="12.75" x14ac:dyDescent="0.2">
      <c r="A10" s="1" t="s">
        <v>283</v>
      </c>
      <c r="B10" s="1">
        <v>13053</v>
      </c>
      <c r="C10" s="104">
        <v>1771</v>
      </c>
      <c r="D10" s="104">
        <v>1837</v>
      </c>
      <c r="E10" s="104">
        <v>1892</v>
      </c>
      <c r="F10" s="104">
        <v>2080</v>
      </c>
      <c r="G10" s="104">
        <v>2018</v>
      </c>
      <c r="H10" s="104">
        <v>1775</v>
      </c>
      <c r="I10" s="104">
        <v>1677</v>
      </c>
      <c r="J10" s="104">
        <v>2013</v>
      </c>
      <c r="K10" s="104">
        <v>1885</v>
      </c>
      <c r="L10" s="104">
        <v>1868</v>
      </c>
      <c r="M10" s="104">
        <v>1805</v>
      </c>
      <c r="N10" s="104">
        <v>1924</v>
      </c>
      <c r="O10" s="104">
        <v>1685</v>
      </c>
      <c r="P10" s="104">
        <v>1788</v>
      </c>
      <c r="Q10" s="104">
        <v>1714</v>
      </c>
      <c r="R10" s="104">
        <v>1728</v>
      </c>
      <c r="S10" s="104">
        <v>1814</v>
      </c>
      <c r="T10" s="104">
        <v>1746</v>
      </c>
    </row>
    <row r="11" spans="1:26" ht="12.75" x14ac:dyDescent="0.2">
      <c r="A11" s="1" t="s">
        <v>282</v>
      </c>
      <c r="B11" s="1">
        <v>13038</v>
      </c>
      <c r="C11" s="104">
        <v>2132</v>
      </c>
      <c r="D11" s="104">
        <v>2075</v>
      </c>
      <c r="E11" s="104">
        <v>1747</v>
      </c>
      <c r="F11" s="104">
        <v>2103</v>
      </c>
      <c r="G11" s="104">
        <v>2497</v>
      </c>
      <c r="H11" s="104">
        <v>1985</v>
      </c>
      <c r="I11" s="104">
        <v>1660</v>
      </c>
      <c r="J11" s="104">
        <v>1942</v>
      </c>
      <c r="K11" s="104">
        <v>1977</v>
      </c>
      <c r="L11" s="104">
        <v>2120</v>
      </c>
      <c r="M11" s="104">
        <v>1885</v>
      </c>
      <c r="N11" s="104">
        <v>1626</v>
      </c>
      <c r="O11" s="104">
        <v>1667</v>
      </c>
      <c r="P11" s="104">
        <v>1616</v>
      </c>
      <c r="Q11" s="104">
        <v>2089</v>
      </c>
      <c r="R11" s="104">
        <v>1767</v>
      </c>
      <c r="S11" s="104">
        <v>1854</v>
      </c>
      <c r="T11" s="104">
        <v>1725</v>
      </c>
    </row>
    <row r="12" spans="1:26" ht="12.75" x14ac:dyDescent="0.2">
      <c r="A12" s="1" t="s">
        <v>287</v>
      </c>
      <c r="B12" s="1">
        <v>13074</v>
      </c>
      <c r="C12" s="104">
        <v>7700</v>
      </c>
      <c r="D12" s="104">
        <v>8832</v>
      </c>
      <c r="E12" s="104">
        <v>8870</v>
      </c>
      <c r="F12" s="104">
        <v>7732</v>
      </c>
      <c r="G12" s="104">
        <v>7717</v>
      </c>
      <c r="H12" s="104">
        <v>7820</v>
      </c>
      <c r="I12" s="104">
        <v>7537</v>
      </c>
      <c r="J12" s="104">
        <v>7360</v>
      </c>
      <c r="K12" s="104">
        <v>7086</v>
      </c>
      <c r="L12" s="104">
        <v>8669</v>
      </c>
      <c r="M12" s="104">
        <v>7620</v>
      </c>
      <c r="N12" s="104">
        <v>7333</v>
      </c>
      <c r="O12" s="104">
        <v>8386</v>
      </c>
      <c r="P12" s="104">
        <v>7254</v>
      </c>
      <c r="Q12" s="104">
        <v>7788</v>
      </c>
      <c r="R12" s="104">
        <v>8540</v>
      </c>
      <c r="S12" s="104">
        <v>8605</v>
      </c>
      <c r="T12" s="104">
        <v>7394</v>
      </c>
    </row>
    <row r="13" spans="1:26" ht="12.75" x14ac:dyDescent="0.2">
      <c r="A13" s="1" t="s">
        <v>285</v>
      </c>
      <c r="B13" s="1">
        <v>13037</v>
      </c>
      <c r="C13" s="104">
        <v>2691</v>
      </c>
      <c r="D13" s="104">
        <v>3142</v>
      </c>
      <c r="E13" s="104">
        <v>3145</v>
      </c>
      <c r="F13" s="104">
        <v>3610</v>
      </c>
      <c r="G13" s="104">
        <v>3519</v>
      </c>
      <c r="H13" s="104">
        <v>3177</v>
      </c>
      <c r="I13" s="104">
        <v>2881</v>
      </c>
      <c r="J13" s="104">
        <v>3479</v>
      </c>
      <c r="K13" s="104">
        <v>3349</v>
      </c>
      <c r="L13" s="104">
        <v>2601</v>
      </c>
      <c r="M13" s="104">
        <v>3076</v>
      </c>
      <c r="N13" s="104">
        <v>2423</v>
      </c>
      <c r="O13" s="104">
        <v>2697</v>
      </c>
      <c r="P13" s="104">
        <v>2507</v>
      </c>
      <c r="Q13" s="104">
        <v>2919</v>
      </c>
      <c r="R13" s="104">
        <v>2935</v>
      </c>
      <c r="S13" s="104">
        <v>3191</v>
      </c>
      <c r="T13" s="104">
        <v>3556</v>
      </c>
    </row>
    <row r="14" spans="1:26" ht="12.75" x14ac:dyDescent="0.2">
      <c r="A14" s="1" t="s">
        <v>288</v>
      </c>
      <c r="B14" s="1">
        <v>13112</v>
      </c>
      <c r="C14" s="104">
        <v>2955</v>
      </c>
      <c r="D14" s="104">
        <v>2813</v>
      </c>
      <c r="E14" s="104">
        <v>3333</v>
      </c>
      <c r="F14" s="104">
        <v>2984</v>
      </c>
      <c r="G14" s="104">
        <v>3088</v>
      </c>
      <c r="H14" s="104">
        <v>3026</v>
      </c>
      <c r="I14" s="104">
        <v>2720</v>
      </c>
      <c r="J14" s="104">
        <v>2746</v>
      </c>
      <c r="K14" s="104">
        <v>2895</v>
      </c>
      <c r="L14" s="104">
        <v>2881</v>
      </c>
      <c r="M14" s="104">
        <v>2967</v>
      </c>
      <c r="N14" s="104">
        <v>2622</v>
      </c>
      <c r="O14" s="104">
        <v>2969</v>
      </c>
      <c r="P14" s="104">
        <v>2871</v>
      </c>
      <c r="Q14" s="104">
        <v>3029</v>
      </c>
      <c r="R14" s="104">
        <v>3154</v>
      </c>
      <c r="S14" s="104">
        <v>3189</v>
      </c>
      <c r="T14" s="104">
        <v>3187</v>
      </c>
    </row>
    <row r="15" spans="1:26" ht="12.75" x14ac:dyDescent="0.2">
      <c r="A15" s="1" t="s">
        <v>370</v>
      </c>
      <c r="B15" s="1">
        <v>13144</v>
      </c>
      <c r="C15" s="104">
        <v>0</v>
      </c>
      <c r="D15" s="104">
        <v>0</v>
      </c>
      <c r="E15" s="104">
        <v>0</v>
      </c>
      <c r="F15" s="104">
        <v>0</v>
      </c>
      <c r="G15" s="104">
        <v>0</v>
      </c>
      <c r="H15" s="104">
        <v>0</v>
      </c>
      <c r="I15" s="104">
        <v>0</v>
      </c>
      <c r="J15" s="104">
        <v>0</v>
      </c>
      <c r="K15" s="104">
        <v>0</v>
      </c>
      <c r="L15" s="104">
        <v>0</v>
      </c>
      <c r="M15" s="104">
        <v>0</v>
      </c>
      <c r="N15" s="104">
        <v>4197</v>
      </c>
      <c r="O15" s="104">
        <v>2882</v>
      </c>
      <c r="P15" s="104">
        <v>2557</v>
      </c>
      <c r="Q15" s="104">
        <v>2544</v>
      </c>
      <c r="R15" s="104">
        <v>2532</v>
      </c>
      <c r="S15" s="104">
        <v>2922</v>
      </c>
      <c r="T15" s="104">
        <v>2590</v>
      </c>
    </row>
    <row r="16" spans="1:26" ht="12.75" x14ac:dyDescent="0.2">
      <c r="A16" s="1" t="s">
        <v>291</v>
      </c>
      <c r="B16" s="1">
        <v>13110</v>
      </c>
      <c r="C16" s="104">
        <v>12036</v>
      </c>
      <c r="D16" s="104">
        <v>15036</v>
      </c>
      <c r="E16" s="104">
        <v>11929</v>
      </c>
      <c r="F16" s="104">
        <v>11850</v>
      </c>
      <c r="G16" s="104">
        <v>11033</v>
      </c>
      <c r="H16" s="104">
        <v>10008</v>
      </c>
      <c r="I16" s="104">
        <v>7854</v>
      </c>
      <c r="J16" s="104">
        <v>8890</v>
      </c>
      <c r="K16" s="104">
        <v>9697</v>
      </c>
      <c r="L16" s="104">
        <v>9087</v>
      </c>
      <c r="M16" s="104">
        <v>9618</v>
      </c>
      <c r="N16" s="104">
        <v>8515</v>
      </c>
      <c r="O16" s="104">
        <v>9045</v>
      </c>
      <c r="P16" s="104">
        <v>8751</v>
      </c>
      <c r="Q16" s="104">
        <v>7049</v>
      </c>
      <c r="R16" s="104">
        <v>11908</v>
      </c>
      <c r="S16" s="104">
        <v>6192</v>
      </c>
      <c r="T16" s="104">
        <v>10776</v>
      </c>
    </row>
    <row r="17" spans="1:20" ht="12.75" x14ac:dyDescent="0.2">
      <c r="A17" s="1" t="s">
        <v>371</v>
      </c>
      <c r="B17" s="1">
        <v>0</v>
      </c>
      <c r="C17" s="104">
        <v>0</v>
      </c>
      <c r="D17" s="104">
        <v>0</v>
      </c>
      <c r="E17" s="104">
        <v>0</v>
      </c>
      <c r="F17" s="104">
        <v>0</v>
      </c>
      <c r="G17" s="104">
        <v>0</v>
      </c>
      <c r="H17" s="104">
        <v>0</v>
      </c>
      <c r="I17" s="104">
        <v>0</v>
      </c>
      <c r="J17" s="104">
        <v>0</v>
      </c>
      <c r="K17" s="104">
        <v>0</v>
      </c>
      <c r="L17" s="104">
        <v>0</v>
      </c>
      <c r="M17" s="104">
        <v>0</v>
      </c>
      <c r="N17" s="104">
        <v>0</v>
      </c>
      <c r="O17" s="104">
        <v>0</v>
      </c>
      <c r="P17" s="104">
        <v>0</v>
      </c>
      <c r="Q17" s="104">
        <v>631</v>
      </c>
      <c r="R17" s="104">
        <v>6254</v>
      </c>
      <c r="S17" s="104">
        <v>3879</v>
      </c>
      <c r="T17" s="104">
        <v>3821</v>
      </c>
    </row>
    <row r="18" spans="1:20" ht="12.75" x14ac:dyDescent="0.2">
      <c r="A18" s="1" t="s">
        <v>296</v>
      </c>
      <c r="B18" s="1">
        <v>13133</v>
      </c>
      <c r="C18" s="104">
        <v>1422</v>
      </c>
      <c r="D18" s="104">
        <v>1263</v>
      </c>
      <c r="E18" s="104">
        <v>1503</v>
      </c>
      <c r="F18" s="104">
        <v>986</v>
      </c>
      <c r="G18" s="104">
        <v>2030</v>
      </c>
      <c r="H18" s="104">
        <v>1443</v>
      </c>
      <c r="I18" s="104">
        <v>1286</v>
      </c>
      <c r="J18" s="104">
        <v>1375</v>
      </c>
      <c r="K18" s="104">
        <v>1503</v>
      </c>
      <c r="L18" s="104">
        <v>1735</v>
      </c>
      <c r="M18" s="104">
        <v>1494</v>
      </c>
      <c r="N18" s="104">
        <v>1586</v>
      </c>
      <c r="O18" s="104">
        <v>1655</v>
      </c>
      <c r="P18" s="104">
        <v>1740</v>
      </c>
      <c r="Q18" s="104">
        <v>1632</v>
      </c>
      <c r="R18" s="104">
        <v>1709</v>
      </c>
      <c r="S18" s="104">
        <v>1885</v>
      </c>
      <c r="T18" s="104">
        <v>1794</v>
      </c>
    </row>
    <row r="19" spans="1:20" ht="12.75" x14ac:dyDescent="0.2">
      <c r="A19" s="1" t="s">
        <v>294</v>
      </c>
      <c r="B19" s="1">
        <v>13069</v>
      </c>
      <c r="C19" s="104">
        <v>1078</v>
      </c>
      <c r="D19" s="104">
        <v>1301</v>
      </c>
      <c r="E19" s="104">
        <v>1735</v>
      </c>
      <c r="F19" s="104">
        <v>1346</v>
      </c>
      <c r="G19" s="104">
        <v>1447</v>
      </c>
      <c r="H19" s="104">
        <v>1350</v>
      </c>
      <c r="I19" s="104">
        <v>1312</v>
      </c>
      <c r="J19" s="104">
        <v>1173</v>
      </c>
      <c r="K19" s="104">
        <v>1538</v>
      </c>
      <c r="L19" s="104">
        <v>1339</v>
      </c>
      <c r="M19" s="104">
        <v>1041</v>
      </c>
      <c r="N19" s="104">
        <v>1271</v>
      </c>
      <c r="O19" s="104">
        <v>1361</v>
      </c>
      <c r="P19" s="104">
        <v>1290</v>
      </c>
      <c r="Q19" s="104">
        <v>1390</v>
      </c>
      <c r="R19" s="104">
        <v>1259</v>
      </c>
      <c r="S19" s="104">
        <v>1359</v>
      </c>
      <c r="T19" s="104">
        <v>1213</v>
      </c>
    </row>
    <row r="20" spans="1:20" ht="12.75" x14ac:dyDescent="0.2">
      <c r="A20" s="1" t="s">
        <v>306</v>
      </c>
      <c r="B20" s="1">
        <v>13062</v>
      </c>
      <c r="C20" s="104">
        <v>5480</v>
      </c>
      <c r="D20" s="104">
        <v>5505</v>
      </c>
      <c r="E20" s="104">
        <v>4667</v>
      </c>
      <c r="F20" s="104">
        <v>6269</v>
      </c>
      <c r="G20" s="104">
        <v>5972</v>
      </c>
      <c r="H20" s="104">
        <v>6182</v>
      </c>
      <c r="I20" s="104">
        <v>5742</v>
      </c>
      <c r="J20" s="104">
        <v>8110</v>
      </c>
      <c r="K20" s="104">
        <v>7296</v>
      </c>
      <c r="L20" s="104">
        <v>6718</v>
      </c>
      <c r="M20" s="104">
        <v>6621</v>
      </c>
      <c r="N20" s="104">
        <v>6290</v>
      </c>
      <c r="O20" s="104">
        <v>6451</v>
      </c>
      <c r="P20" s="104">
        <v>6083</v>
      </c>
      <c r="Q20" s="104">
        <v>9325</v>
      </c>
      <c r="R20" s="104">
        <v>6604</v>
      </c>
      <c r="S20" s="104">
        <v>5943</v>
      </c>
      <c r="T20" s="104">
        <v>7396</v>
      </c>
    </row>
    <row r="21" spans="1:20" ht="12.75" x14ac:dyDescent="0.2">
      <c r="A21" s="1" t="s">
        <v>298</v>
      </c>
      <c r="B21" s="1">
        <v>13066</v>
      </c>
      <c r="C21" s="104">
        <v>3526</v>
      </c>
      <c r="D21" s="104">
        <v>2919</v>
      </c>
      <c r="E21" s="104">
        <v>3617</v>
      </c>
      <c r="F21" s="104">
        <v>4044</v>
      </c>
      <c r="G21" s="104">
        <v>3463</v>
      </c>
      <c r="H21" s="104">
        <v>3353</v>
      </c>
      <c r="I21" s="104">
        <v>3317</v>
      </c>
      <c r="J21" s="104">
        <v>3787</v>
      </c>
      <c r="K21" s="104">
        <v>3562</v>
      </c>
      <c r="L21" s="104">
        <v>3337</v>
      </c>
      <c r="M21" s="104">
        <v>3720</v>
      </c>
      <c r="N21" s="104">
        <v>3753</v>
      </c>
      <c r="O21" s="104">
        <v>3964</v>
      </c>
      <c r="P21" s="104">
        <v>3296</v>
      </c>
      <c r="Q21" s="104">
        <v>4060</v>
      </c>
      <c r="R21" s="104">
        <v>4007</v>
      </c>
      <c r="S21" s="104">
        <v>4495</v>
      </c>
      <c r="T21" s="104">
        <v>4029</v>
      </c>
    </row>
    <row r="22" spans="1:20" ht="12.75" x14ac:dyDescent="0.2">
      <c r="A22" s="1" t="s">
        <v>297</v>
      </c>
      <c r="B22" s="1">
        <v>13067</v>
      </c>
      <c r="C22" s="104">
        <v>2543</v>
      </c>
      <c r="D22" s="104">
        <v>2734</v>
      </c>
      <c r="E22" s="104">
        <v>2413</v>
      </c>
      <c r="F22" s="104">
        <v>2380</v>
      </c>
      <c r="G22" s="104">
        <v>2591</v>
      </c>
      <c r="H22" s="104">
        <v>2702</v>
      </c>
      <c r="I22" s="104">
        <v>2247</v>
      </c>
      <c r="J22" s="104">
        <v>2581</v>
      </c>
      <c r="K22" s="104">
        <v>2692</v>
      </c>
      <c r="L22" s="104">
        <v>2551</v>
      </c>
      <c r="M22" s="104">
        <v>2186</v>
      </c>
      <c r="N22" s="104">
        <v>2688</v>
      </c>
      <c r="O22" s="104">
        <v>2528</v>
      </c>
      <c r="P22" s="104">
        <v>2126</v>
      </c>
      <c r="Q22" s="104">
        <v>2616</v>
      </c>
      <c r="R22" s="104">
        <v>2127</v>
      </c>
      <c r="S22" s="104">
        <v>2676</v>
      </c>
      <c r="T22" s="104">
        <v>2635</v>
      </c>
    </row>
    <row r="23" spans="1:20" ht="12.75" x14ac:dyDescent="0.2">
      <c r="A23" s="1" t="s">
        <v>364</v>
      </c>
      <c r="B23" s="1">
        <v>13139</v>
      </c>
      <c r="C23" s="104">
        <v>1104</v>
      </c>
      <c r="D23" s="104">
        <v>1139</v>
      </c>
      <c r="E23" s="104">
        <v>1117</v>
      </c>
      <c r="F23" s="104">
        <v>1002</v>
      </c>
      <c r="G23" s="104">
        <v>1269</v>
      </c>
      <c r="H23" s="104">
        <v>1483</v>
      </c>
      <c r="I23" s="104">
        <v>1354</v>
      </c>
      <c r="J23" s="104">
        <v>1545</v>
      </c>
      <c r="K23" s="104">
        <v>1630</v>
      </c>
      <c r="L23" s="104">
        <v>1577</v>
      </c>
      <c r="M23" s="104">
        <v>1517</v>
      </c>
      <c r="N23" s="104">
        <v>1516</v>
      </c>
      <c r="O23" s="104">
        <v>1448</v>
      </c>
      <c r="P23" s="104">
        <v>1444</v>
      </c>
      <c r="Q23" s="104">
        <v>1598</v>
      </c>
      <c r="R23" s="104">
        <v>1343</v>
      </c>
      <c r="S23" s="104">
        <v>1661</v>
      </c>
      <c r="T23" s="104">
        <v>1556</v>
      </c>
    </row>
    <row r="24" spans="1:20" ht="12.75" x14ac:dyDescent="0.2">
      <c r="A24" s="1" t="s">
        <v>358</v>
      </c>
      <c r="B24" s="1">
        <v>13141</v>
      </c>
      <c r="C24" s="104">
        <v>0</v>
      </c>
      <c r="D24" s="104">
        <v>130</v>
      </c>
      <c r="E24" s="104">
        <v>1112</v>
      </c>
      <c r="F24" s="104">
        <v>1155</v>
      </c>
      <c r="G24" s="104">
        <v>2325</v>
      </c>
      <c r="H24" s="104">
        <v>2082</v>
      </c>
      <c r="I24" s="104">
        <v>1496</v>
      </c>
      <c r="J24" s="104">
        <v>1632</v>
      </c>
      <c r="K24" s="104">
        <v>1580</v>
      </c>
      <c r="L24" s="104">
        <v>1429</v>
      </c>
      <c r="M24" s="104">
        <v>2021</v>
      </c>
      <c r="N24" s="104">
        <v>1147</v>
      </c>
      <c r="O24" s="104">
        <v>1605</v>
      </c>
      <c r="P24" s="104">
        <v>1335</v>
      </c>
      <c r="Q24" s="104">
        <v>1584</v>
      </c>
      <c r="R24" s="104">
        <v>1563</v>
      </c>
      <c r="S24" s="104">
        <v>1936</v>
      </c>
      <c r="T24" s="104">
        <v>1805</v>
      </c>
    </row>
    <row r="25" spans="1:20" ht="12.75" x14ac:dyDescent="0.2">
      <c r="A25" s="1" t="s">
        <v>292</v>
      </c>
      <c r="B25" s="1">
        <v>13089</v>
      </c>
      <c r="C25" s="104">
        <v>3624</v>
      </c>
      <c r="D25" s="104">
        <v>4436</v>
      </c>
      <c r="E25" s="104">
        <v>4618</v>
      </c>
      <c r="F25" s="104">
        <v>5952</v>
      </c>
      <c r="G25" s="104">
        <v>4236</v>
      </c>
      <c r="H25" s="104">
        <v>3737</v>
      </c>
      <c r="I25" s="104">
        <v>2760</v>
      </c>
      <c r="J25" s="104">
        <v>3431</v>
      </c>
      <c r="K25" s="104">
        <v>3157</v>
      </c>
      <c r="L25" s="104">
        <v>3622</v>
      </c>
      <c r="M25" s="104">
        <v>3069</v>
      </c>
      <c r="N25" s="104">
        <v>2787</v>
      </c>
      <c r="O25" s="104">
        <v>3356</v>
      </c>
      <c r="P25" s="104">
        <v>2848</v>
      </c>
      <c r="Q25" s="104">
        <v>4806</v>
      </c>
      <c r="R25" s="104">
        <v>4379</v>
      </c>
      <c r="S25" s="104">
        <v>3776</v>
      </c>
      <c r="T25" s="104">
        <v>3696</v>
      </c>
    </row>
    <row r="26" spans="1:20" ht="12.75" x14ac:dyDescent="0.2">
      <c r="A26" s="1" t="s">
        <v>295</v>
      </c>
      <c r="B26" s="1">
        <v>13091</v>
      </c>
      <c r="C26" s="104">
        <v>4073</v>
      </c>
      <c r="D26" s="104">
        <v>4568</v>
      </c>
      <c r="E26" s="104">
        <v>3380</v>
      </c>
      <c r="F26" s="104">
        <v>5574</v>
      </c>
      <c r="G26" s="104">
        <v>4486</v>
      </c>
      <c r="H26" s="104">
        <v>3882</v>
      </c>
      <c r="I26" s="104">
        <v>3157</v>
      </c>
      <c r="J26" s="104">
        <v>3352</v>
      </c>
      <c r="K26" s="104">
        <v>3467</v>
      </c>
      <c r="L26" s="104">
        <v>3485</v>
      </c>
      <c r="M26" s="104">
        <v>2989</v>
      </c>
      <c r="N26" s="104">
        <v>2986</v>
      </c>
      <c r="O26" s="104">
        <v>3680</v>
      </c>
      <c r="P26" s="104">
        <v>4029</v>
      </c>
      <c r="Q26" s="104">
        <v>5857</v>
      </c>
      <c r="R26" s="104">
        <v>4641</v>
      </c>
      <c r="S26" s="104">
        <v>5110</v>
      </c>
      <c r="T26" s="104">
        <v>3661</v>
      </c>
    </row>
    <row r="27" spans="1:20" ht="12.75" x14ac:dyDescent="0.2">
      <c r="A27" s="1" t="s">
        <v>363</v>
      </c>
      <c r="B27" s="1">
        <v>0</v>
      </c>
      <c r="C27" s="104">
        <v>0</v>
      </c>
      <c r="D27" s="104">
        <v>0</v>
      </c>
      <c r="E27" s="104">
        <v>0</v>
      </c>
      <c r="F27" s="104">
        <v>0</v>
      </c>
      <c r="G27" s="104">
        <v>0</v>
      </c>
      <c r="H27" s="104">
        <v>0</v>
      </c>
      <c r="I27" s="104">
        <v>0</v>
      </c>
      <c r="J27" s="104">
        <v>0</v>
      </c>
      <c r="K27" s="104">
        <v>0</v>
      </c>
      <c r="L27" s="104">
        <v>0</v>
      </c>
      <c r="M27" s="104">
        <v>0</v>
      </c>
      <c r="N27" s="104">
        <v>0</v>
      </c>
      <c r="O27" s="104">
        <v>266</v>
      </c>
      <c r="P27" s="104">
        <v>375</v>
      </c>
      <c r="Q27" s="104">
        <v>583</v>
      </c>
      <c r="R27" s="104">
        <v>621</v>
      </c>
      <c r="S27" s="104">
        <v>969</v>
      </c>
      <c r="T27" s="104">
        <v>1025</v>
      </c>
    </row>
    <row r="28" spans="1:20" ht="12.75" x14ac:dyDescent="0.2">
      <c r="A28" s="1" t="s">
        <v>309</v>
      </c>
      <c r="B28" s="1">
        <v>13060</v>
      </c>
      <c r="C28" s="104">
        <v>2008</v>
      </c>
      <c r="D28" s="104">
        <v>2688</v>
      </c>
      <c r="E28" s="104">
        <v>1281</v>
      </c>
      <c r="F28" s="104">
        <v>1699</v>
      </c>
      <c r="G28" s="104">
        <v>2532</v>
      </c>
      <c r="H28" s="104">
        <v>1442</v>
      </c>
      <c r="I28" s="104">
        <v>1512</v>
      </c>
      <c r="J28" s="104">
        <v>1621</v>
      </c>
      <c r="K28" s="104">
        <v>1459</v>
      </c>
      <c r="L28" s="104">
        <v>1596</v>
      </c>
      <c r="M28" s="104">
        <v>1261</v>
      </c>
      <c r="N28" s="104">
        <v>1849</v>
      </c>
      <c r="O28" s="104">
        <v>1609</v>
      </c>
      <c r="P28" s="104">
        <v>1475</v>
      </c>
      <c r="Q28" s="104">
        <v>2439</v>
      </c>
      <c r="R28" s="104">
        <v>1733</v>
      </c>
      <c r="S28" s="104">
        <v>3197</v>
      </c>
      <c r="T28" s="104">
        <v>1314</v>
      </c>
    </row>
    <row r="29" spans="1:20" ht="12.75" x14ac:dyDescent="0.2">
      <c r="A29" s="1" t="s">
        <v>376</v>
      </c>
      <c r="B29" s="1">
        <v>13145</v>
      </c>
      <c r="C29" s="104">
        <v>0</v>
      </c>
      <c r="D29" s="104">
        <v>0</v>
      </c>
      <c r="E29" s="104">
        <v>0</v>
      </c>
      <c r="F29" s="104">
        <v>0</v>
      </c>
      <c r="G29" s="104">
        <v>263</v>
      </c>
      <c r="H29" s="104">
        <v>2200</v>
      </c>
      <c r="I29" s="104">
        <v>1804</v>
      </c>
      <c r="J29" s="104">
        <v>2963</v>
      </c>
      <c r="K29" s="104">
        <v>3264</v>
      </c>
      <c r="L29" s="104">
        <v>2902</v>
      </c>
      <c r="M29" s="104">
        <v>4057</v>
      </c>
      <c r="N29" s="104">
        <v>2581</v>
      </c>
      <c r="O29" s="104">
        <v>2727</v>
      </c>
      <c r="P29" s="104">
        <v>2448</v>
      </c>
      <c r="Q29" s="104">
        <v>2509</v>
      </c>
      <c r="R29" s="104">
        <v>2228</v>
      </c>
      <c r="S29" s="104">
        <v>2376</v>
      </c>
      <c r="T29" s="104">
        <v>2609</v>
      </c>
    </row>
    <row r="30" spans="1:20" ht="12.75" x14ac:dyDescent="0.2">
      <c r="A30" s="1" t="s">
        <v>314</v>
      </c>
      <c r="B30" s="1">
        <v>13051</v>
      </c>
      <c r="C30" s="104">
        <v>1181</v>
      </c>
      <c r="D30" s="104">
        <v>1543</v>
      </c>
      <c r="E30" s="104">
        <v>1218</v>
      </c>
      <c r="F30" s="104">
        <v>1446</v>
      </c>
      <c r="G30" s="104">
        <v>1715</v>
      </c>
      <c r="H30" s="104">
        <v>1312</v>
      </c>
      <c r="I30" s="104">
        <v>1229</v>
      </c>
      <c r="J30" s="104">
        <v>1616</v>
      </c>
      <c r="K30" s="104">
        <v>1648</v>
      </c>
      <c r="L30" s="104">
        <v>1385</v>
      </c>
      <c r="M30" s="104">
        <v>1227</v>
      </c>
      <c r="N30" s="104">
        <v>1533</v>
      </c>
      <c r="O30" s="104">
        <v>1542</v>
      </c>
      <c r="P30" s="104">
        <v>1170</v>
      </c>
      <c r="Q30" s="104">
        <v>1495</v>
      </c>
      <c r="R30" s="104">
        <v>1388</v>
      </c>
      <c r="S30" s="104">
        <v>1208</v>
      </c>
      <c r="T30" s="104">
        <v>1567</v>
      </c>
    </row>
    <row r="31" spans="1:20" ht="12.75" x14ac:dyDescent="0.2">
      <c r="A31" s="1" t="s">
        <v>293</v>
      </c>
      <c r="B31" s="1">
        <v>13093</v>
      </c>
      <c r="C31" s="104">
        <v>3207</v>
      </c>
      <c r="D31" s="104">
        <v>3737</v>
      </c>
      <c r="E31" s="104">
        <v>3860</v>
      </c>
      <c r="F31" s="104">
        <v>4961</v>
      </c>
      <c r="G31" s="104">
        <v>3429</v>
      </c>
      <c r="H31" s="104">
        <v>3321</v>
      </c>
      <c r="I31" s="104">
        <v>2272</v>
      </c>
      <c r="J31" s="104">
        <v>2735</v>
      </c>
      <c r="K31" s="104">
        <v>2649</v>
      </c>
      <c r="L31" s="104">
        <v>2870</v>
      </c>
      <c r="M31" s="104">
        <v>2434</v>
      </c>
      <c r="N31" s="104">
        <v>2218</v>
      </c>
      <c r="O31" s="104">
        <v>3252</v>
      </c>
      <c r="P31" s="104">
        <v>3207</v>
      </c>
      <c r="Q31" s="104">
        <v>4558</v>
      </c>
      <c r="R31" s="104">
        <v>3734</v>
      </c>
      <c r="S31" s="104">
        <v>4297</v>
      </c>
      <c r="T31" s="104">
        <v>3024</v>
      </c>
    </row>
    <row r="32" spans="1:20" ht="12.75" x14ac:dyDescent="0.2">
      <c r="A32" s="1" t="s">
        <v>290</v>
      </c>
      <c r="B32" s="1">
        <v>13078</v>
      </c>
      <c r="C32" s="104">
        <v>1133</v>
      </c>
      <c r="D32" s="104">
        <v>1238</v>
      </c>
      <c r="E32" s="104">
        <v>1191</v>
      </c>
      <c r="F32" s="104">
        <v>1168</v>
      </c>
      <c r="G32" s="104">
        <v>1442</v>
      </c>
      <c r="H32" s="104">
        <v>1234</v>
      </c>
      <c r="I32" s="104">
        <v>1109</v>
      </c>
      <c r="J32" s="104">
        <v>1364</v>
      </c>
      <c r="K32" s="104">
        <v>1267</v>
      </c>
      <c r="L32" s="104">
        <v>1152</v>
      </c>
      <c r="M32" s="104">
        <v>1281</v>
      </c>
      <c r="N32" s="104">
        <v>1236</v>
      </c>
      <c r="O32" s="104">
        <v>1104</v>
      </c>
      <c r="P32" s="104">
        <v>1082</v>
      </c>
      <c r="Q32" s="104">
        <v>1221</v>
      </c>
      <c r="R32" s="104">
        <v>1118</v>
      </c>
      <c r="S32" s="104">
        <v>956</v>
      </c>
      <c r="T32" s="104">
        <v>619</v>
      </c>
    </row>
    <row r="33" spans="1:20" ht="12.75" x14ac:dyDescent="0.2">
      <c r="A33" s="1" t="s">
        <v>311</v>
      </c>
      <c r="B33" s="1">
        <v>13068</v>
      </c>
      <c r="C33" s="104">
        <v>1168</v>
      </c>
      <c r="D33" s="104">
        <v>1361</v>
      </c>
      <c r="E33" s="104">
        <v>1181</v>
      </c>
      <c r="F33" s="104">
        <v>1197</v>
      </c>
      <c r="G33" s="104">
        <v>1297</v>
      </c>
      <c r="H33" s="104">
        <v>1425</v>
      </c>
      <c r="I33" s="104">
        <v>1189</v>
      </c>
      <c r="J33" s="104">
        <v>1310</v>
      </c>
      <c r="K33" s="104">
        <v>1338</v>
      </c>
      <c r="L33" s="104">
        <v>1234</v>
      </c>
      <c r="M33" s="104">
        <v>1168</v>
      </c>
      <c r="N33" s="104">
        <v>1187</v>
      </c>
      <c r="O33" s="104">
        <v>1161</v>
      </c>
      <c r="P33" s="104">
        <v>1056</v>
      </c>
      <c r="Q33" s="104">
        <v>1219</v>
      </c>
      <c r="R33" s="104">
        <v>1105</v>
      </c>
      <c r="S33" s="104">
        <v>1234</v>
      </c>
      <c r="T33" s="104">
        <v>1299</v>
      </c>
    </row>
    <row r="34" spans="1:20" ht="12.75" x14ac:dyDescent="0.2">
      <c r="A34" s="1" t="s">
        <v>302</v>
      </c>
      <c r="B34" s="1">
        <v>13072</v>
      </c>
      <c r="C34" s="104">
        <v>3487</v>
      </c>
      <c r="D34" s="104">
        <v>3244</v>
      </c>
      <c r="E34" s="104">
        <v>3346</v>
      </c>
      <c r="F34" s="104">
        <v>2978</v>
      </c>
      <c r="G34" s="104">
        <v>3169</v>
      </c>
      <c r="H34" s="104">
        <v>2996</v>
      </c>
      <c r="I34" s="104">
        <v>2836</v>
      </c>
      <c r="J34" s="104">
        <v>2894</v>
      </c>
      <c r="K34" s="104">
        <v>2563</v>
      </c>
      <c r="L34" s="104">
        <v>3276</v>
      </c>
      <c r="M34" s="104">
        <v>3857</v>
      </c>
      <c r="N34" s="104">
        <v>3126</v>
      </c>
      <c r="O34" s="104">
        <v>2517</v>
      </c>
      <c r="P34" s="104">
        <v>3294</v>
      </c>
      <c r="Q34" s="104">
        <v>2542</v>
      </c>
      <c r="R34" s="104">
        <v>2549</v>
      </c>
      <c r="S34" s="104">
        <v>3384</v>
      </c>
      <c r="T34" s="104">
        <v>2187</v>
      </c>
    </row>
    <row r="35" spans="1:20" ht="12.75" x14ac:dyDescent="0.2">
      <c r="A35" s="1" t="s">
        <v>347</v>
      </c>
      <c r="B35" s="1">
        <v>13035</v>
      </c>
      <c r="C35" s="104">
        <v>56</v>
      </c>
      <c r="D35" s="104">
        <v>57</v>
      </c>
      <c r="E35" s="104">
        <v>59</v>
      </c>
      <c r="F35" s="104">
        <v>12</v>
      </c>
      <c r="G35" s="104">
        <v>17</v>
      </c>
      <c r="H35" s="104">
        <v>9</v>
      </c>
      <c r="I35" s="104">
        <v>17</v>
      </c>
      <c r="J35" s="104">
        <v>7</v>
      </c>
      <c r="K35" s="104">
        <v>3</v>
      </c>
      <c r="L35" s="104">
        <v>1</v>
      </c>
      <c r="M35" s="104">
        <v>2</v>
      </c>
      <c r="N35" s="104">
        <v>3</v>
      </c>
      <c r="O35" s="104">
        <v>1</v>
      </c>
      <c r="P35" s="104">
        <v>0</v>
      </c>
      <c r="Q35" s="104">
        <v>0</v>
      </c>
      <c r="R35" s="104">
        <v>0</v>
      </c>
      <c r="S35" s="104">
        <v>4026</v>
      </c>
      <c r="T35" s="104">
        <v>2613</v>
      </c>
    </row>
    <row r="36" spans="1:20" ht="12.75" x14ac:dyDescent="0.2">
      <c r="A36" s="1" t="s">
        <v>359</v>
      </c>
      <c r="B36" s="1">
        <v>13142</v>
      </c>
      <c r="C36" s="104">
        <v>0</v>
      </c>
      <c r="D36" s="104">
        <v>0</v>
      </c>
      <c r="E36" s="104">
        <v>0</v>
      </c>
      <c r="F36" s="104">
        <v>0</v>
      </c>
      <c r="G36" s="104">
        <v>804</v>
      </c>
      <c r="H36" s="104">
        <v>647</v>
      </c>
      <c r="I36" s="104">
        <v>618</v>
      </c>
      <c r="J36" s="104">
        <v>535</v>
      </c>
      <c r="K36" s="104">
        <v>744</v>
      </c>
      <c r="L36" s="104">
        <v>679</v>
      </c>
      <c r="M36" s="104">
        <v>1587</v>
      </c>
      <c r="N36" s="104">
        <v>652</v>
      </c>
      <c r="O36" s="104">
        <v>936</v>
      </c>
      <c r="P36" s="104">
        <v>1064</v>
      </c>
      <c r="Q36" s="104">
        <v>911</v>
      </c>
      <c r="R36" s="104">
        <v>882</v>
      </c>
      <c r="S36" s="104">
        <v>1121</v>
      </c>
      <c r="T36" s="104">
        <v>1243</v>
      </c>
    </row>
    <row r="37" spans="1:20" ht="12.75" x14ac:dyDescent="0.2">
      <c r="A37" s="1" t="s">
        <v>360</v>
      </c>
      <c r="B37" s="1">
        <v>13146</v>
      </c>
      <c r="C37" s="104">
        <v>0</v>
      </c>
      <c r="D37" s="104">
        <v>0</v>
      </c>
      <c r="E37" s="104">
        <v>0</v>
      </c>
      <c r="F37" s="104">
        <v>0</v>
      </c>
      <c r="G37" s="104">
        <v>0</v>
      </c>
      <c r="H37" s="104">
        <v>0</v>
      </c>
      <c r="I37" s="104">
        <v>3</v>
      </c>
      <c r="J37" s="104">
        <v>800</v>
      </c>
      <c r="K37" s="104">
        <v>734</v>
      </c>
      <c r="L37" s="104">
        <v>1084</v>
      </c>
      <c r="M37" s="104">
        <v>1924</v>
      </c>
      <c r="N37" s="104">
        <v>1347</v>
      </c>
      <c r="O37" s="104">
        <v>1582</v>
      </c>
      <c r="P37" s="104">
        <v>1498</v>
      </c>
      <c r="Q37" s="104">
        <v>1970</v>
      </c>
      <c r="R37" s="104">
        <v>1637</v>
      </c>
      <c r="S37" s="104">
        <v>1012</v>
      </c>
      <c r="T37" s="104">
        <v>1106</v>
      </c>
    </row>
    <row r="38" spans="1:20" ht="12.75" x14ac:dyDescent="0.2">
      <c r="A38" s="1" t="s">
        <v>366</v>
      </c>
      <c r="B38" s="1">
        <v>13138</v>
      </c>
      <c r="C38" s="104">
        <v>326</v>
      </c>
      <c r="D38" s="104">
        <v>210</v>
      </c>
      <c r="E38" s="104">
        <v>566</v>
      </c>
      <c r="F38" s="104">
        <v>537</v>
      </c>
      <c r="G38" s="104">
        <v>737</v>
      </c>
      <c r="H38" s="104">
        <v>804</v>
      </c>
      <c r="I38" s="104">
        <v>854</v>
      </c>
      <c r="J38" s="104">
        <v>823</v>
      </c>
      <c r="K38" s="104">
        <v>910</v>
      </c>
      <c r="L38" s="104">
        <v>1196</v>
      </c>
      <c r="M38" s="104">
        <v>946</v>
      </c>
      <c r="N38" s="104">
        <v>935</v>
      </c>
      <c r="O38" s="104">
        <v>1188</v>
      </c>
      <c r="P38" s="104">
        <v>934</v>
      </c>
      <c r="Q38" s="104">
        <v>913</v>
      </c>
      <c r="R38" s="104">
        <v>1153</v>
      </c>
      <c r="S38" s="104">
        <v>1111</v>
      </c>
      <c r="T38" s="104">
        <v>763</v>
      </c>
    </row>
    <row r="39" spans="1:20" ht="12.75" x14ac:dyDescent="0.2">
      <c r="A39" s="1" t="s">
        <v>350</v>
      </c>
      <c r="B39" s="1">
        <v>13149</v>
      </c>
      <c r="C39" s="104">
        <v>0</v>
      </c>
      <c r="D39" s="104">
        <v>0</v>
      </c>
      <c r="E39" s="104">
        <v>0</v>
      </c>
      <c r="F39" s="104">
        <v>0</v>
      </c>
      <c r="G39" s="104">
        <v>0</v>
      </c>
      <c r="H39" s="104">
        <v>0</v>
      </c>
      <c r="I39" s="104">
        <v>29</v>
      </c>
      <c r="J39" s="104">
        <v>1199</v>
      </c>
      <c r="K39" s="104">
        <v>1910</v>
      </c>
      <c r="L39" s="104">
        <v>1808</v>
      </c>
      <c r="M39" s="104">
        <v>2018</v>
      </c>
      <c r="N39" s="104">
        <v>2159</v>
      </c>
      <c r="O39" s="104">
        <v>2414</v>
      </c>
      <c r="P39" s="104">
        <v>3506</v>
      </c>
      <c r="Q39" s="104">
        <v>3712</v>
      </c>
      <c r="R39" s="104">
        <v>6047</v>
      </c>
      <c r="S39" s="104">
        <v>5349</v>
      </c>
      <c r="T39" s="104">
        <v>5906</v>
      </c>
    </row>
    <row r="40" spans="1:20" ht="12.75" x14ac:dyDescent="0.2">
      <c r="A40" s="1" t="s">
        <v>326</v>
      </c>
      <c r="B40" s="1">
        <v>13054</v>
      </c>
      <c r="C40" s="104">
        <v>671</v>
      </c>
      <c r="D40" s="104">
        <v>666</v>
      </c>
      <c r="E40" s="104">
        <v>695</v>
      </c>
      <c r="F40" s="104">
        <v>585</v>
      </c>
      <c r="G40" s="104">
        <v>664</v>
      </c>
      <c r="H40" s="104">
        <v>438</v>
      </c>
      <c r="I40" s="104">
        <v>602</v>
      </c>
      <c r="J40" s="104">
        <v>681</v>
      </c>
      <c r="K40" s="104">
        <v>687</v>
      </c>
      <c r="L40" s="104">
        <v>584</v>
      </c>
      <c r="M40" s="104">
        <v>541</v>
      </c>
      <c r="N40" s="104">
        <v>473</v>
      </c>
      <c r="O40" s="104">
        <v>674</v>
      </c>
      <c r="P40" s="104">
        <v>1112</v>
      </c>
      <c r="Q40" s="104">
        <v>673</v>
      </c>
      <c r="R40" s="104">
        <v>699</v>
      </c>
      <c r="S40" s="104">
        <v>686</v>
      </c>
      <c r="T40" s="104">
        <v>900</v>
      </c>
    </row>
    <row r="41" spans="1:20" ht="12.75" x14ac:dyDescent="0.2">
      <c r="A41" s="1" t="s">
        <v>304</v>
      </c>
      <c r="B41" s="1">
        <v>13081</v>
      </c>
      <c r="C41" s="104">
        <v>438</v>
      </c>
      <c r="D41" s="104">
        <v>456</v>
      </c>
      <c r="E41" s="104">
        <v>619</v>
      </c>
      <c r="F41" s="104">
        <v>389</v>
      </c>
      <c r="G41" s="104">
        <v>556</v>
      </c>
      <c r="H41" s="104">
        <v>282</v>
      </c>
      <c r="I41" s="104">
        <v>261</v>
      </c>
      <c r="J41" s="104">
        <v>343</v>
      </c>
      <c r="K41" s="104">
        <v>334</v>
      </c>
      <c r="L41" s="104">
        <v>483</v>
      </c>
      <c r="M41" s="104">
        <v>251</v>
      </c>
      <c r="N41" s="104">
        <v>396</v>
      </c>
      <c r="O41" s="104">
        <v>348</v>
      </c>
      <c r="P41" s="104">
        <v>331</v>
      </c>
      <c r="Q41" s="104">
        <v>329</v>
      </c>
      <c r="R41" s="104">
        <v>372</v>
      </c>
      <c r="S41" s="104">
        <v>606</v>
      </c>
      <c r="T41" s="104">
        <v>562</v>
      </c>
    </row>
    <row r="42" spans="1:20" ht="12.75" x14ac:dyDescent="0.2">
      <c r="A42" s="1" t="s">
        <v>329</v>
      </c>
      <c r="B42" s="1">
        <v>13134</v>
      </c>
      <c r="C42" s="104">
        <v>325</v>
      </c>
      <c r="D42" s="104">
        <v>318</v>
      </c>
      <c r="E42" s="104">
        <v>240</v>
      </c>
      <c r="F42" s="104">
        <v>511</v>
      </c>
      <c r="G42" s="104">
        <v>475</v>
      </c>
      <c r="H42" s="104">
        <v>552</v>
      </c>
      <c r="I42" s="104">
        <v>601</v>
      </c>
      <c r="J42" s="104">
        <v>618</v>
      </c>
      <c r="K42" s="104">
        <v>650</v>
      </c>
      <c r="L42" s="104">
        <v>679</v>
      </c>
      <c r="M42" s="104">
        <v>706</v>
      </c>
      <c r="N42" s="104">
        <v>695</v>
      </c>
      <c r="O42" s="104">
        <v>571</v>
      </c>
      <c r="P42" s="104">
        <v>992</v>
      </c>
      <c r="Q42" s="104">
        <v>868</v>
      </c>
      <c r="R42" s="104">
        <v>737</v>
      </c>
      <c r="S42" s="104">
        <v>1022</v>
      </c>
      <c r="T42" s="104">
        <v>869</v>
      </c>
    </row>
    <row r="43" spans="1:20" ht="12.75" x14ac:dyDescent="0.2">
      <c r="A43" s="1" t="s">
        <v>316</v>
      </c>
      <c r="B43" s="1">
        <v>13071</v>
      </c>
      <c r="C43" s="104">
        <v>4894</v>
      </c>
      <c r="D43" s="104">
        <v>5152</v>
      </c>
      <c r="E43" s="104">
        <v>5792</v>
      </c>
      <c r="F43" s="104">
        <v>4544</v>
      </c>
      <c r="G43" s="104">
        <v>4543</v>
      </c>
      <c r="H43" s="104">
        <v>4413</v>
      </c>
      <c r="I43" s="104">
        <v>4651</v>
      </c>
      <c r="J43" s="104">
        <v>4724</v>
      </c>
      <c r="K43" s="104">
        <v>4266</v>
      </c>
      <c r="L43" s="104">
        <v>4764</v>
      </c>
      <c r="M43" s="104">
        <v>4221</v>
      </c>
      <c r="N43" s="104">
        <v>4378</v>
      </c>
      <c r="O43" s="104">
        <v>5139</v>
      </c>
      <c r="P43" s="104">
        <v>3812</v>
      </c>
      <c r="Q43" s="104">
        <v>4665</v>
      </c>
      <c r="R43" s="104">
        <v>4421</v>
      </c>
      <c r="S43" s="104">
        <v>4866</v>
      </c>
      <c r="T43" s="104">
        <v>4195</v>
      </c>
    </row>
    <row r="44" spans="1:20" ht="12.75" x14ac:dyDescent="0.2">
      <c r="A44" s="1" t="s">
        <v>279</v>
      </c>
      <c r="B44" s="1">
        <v>13019</v>
      </c>
      <c r="C44" s="104">
        <v>19548</v>
      </c>
      <c r="D44" s="104">
        <v>16036</v>
      </c>
      <c r="E44" s="104">
        <v>23310</v>
      </c>
      <c r="F44" s="104">
        <v>21057</v>
      </c>
      <c r="G44" s="104">
        <v>21903</v>
      </c>
      <c r="H44" s="104">
        <v>17001</v>
      </c>
      <c r="I44" s="104">
        <v>12172</v>
      </c>
      <c r="J44" s="104">
        <v>14461</v>
      </c>
      <c r="K44" s="104">
        <v>17127</v>
      </c>
      <c r="L44" s="104">
        <v>16769</v>
      </c>
      <c r="M44" s="104">
        <v>12530</v>
      </c>
      <c r="N44" s="104">
        <v>11203</v>
      </c>
      <c r="O44" s="104">
        <v>3738</v>
      </c>
      <c r="P44" s="104">
        <v>1145</v>
      </c>
      <c r="Q44" s="104">
        <v>1550</v>
      </c>
      <c r="R44" s="104">
        <v>1377</v>
      </c>
      <c r="S44" s="104">
        <v>1394</v>
      </c>
      <c r="T44" s="104">
        <v>1314</v>
      </c>
    </row>
    <row r="45" spans="1:20" ht="12.75" x14ac:dyDescent="0.2">
      <c r="A45" s="1" t="s">
        <v>356</v>
      </c>
      <c r="B45" s="1">
        <v>13154</v>
      </c>
      <c r="C45" s="104">
        <v>0</v>
      </c>
      <c r="D45" s="104">
        <v>0</v>
      </c>
      <c r="E45" s="104">
        <v>0</v>
      </c>
      <c r="F45" s="104">
        <v>0</v>
      </c>
      <c r="G45" s="104">
        <v>0</v>
      </c>
      <c r="H45" s="104">
        <v>0</v>
      </c>
      <c r="I45" s="104">
        <v>31</v>
      </c>
      <c r="J45" s="104">
        <v>1043</v>
      </c>
      <c r="K45" s="104">
        <v>1487</v>
      </c>
      <c r="L45" s="104">
        <v>1793</v>
      </c>
      <c r="M45" s="104">
        <v>1484</v>
      </c>
      <c r="N45" s="104">
        <v>2097</v>
      </c>
      <c r="O45" s="104">
        <v>2161</v>
      </c>
      <c r="P45" s="104">
        <v>3225</v>
      </c>
      <c r="Q45" s="104">
        <v>3115</v>
      </c>
      <c r="R45" s="104">
        <v>5261</v>
      </c>
      <c r="S45" s="104">
        <v>6074</v>
      </c>
      <c r="T45" s="104">
        <v>5413</v>
      </c>
    </row>
    <row r="46" spans="1:20" ht="12.75" x14ac:dyDescent="0.2">
      <c r="A46" s="1" t="s">
        <v>357</v>
      </c>
      <c r="B46" s="1">
        <v>13157</v>
      </c>
      <c r="C46" s="104">
        <v>0</v>
      </c>
      <c r="D46" s="104">
        <v>0</v>
      </c>
      <c r="E46" s="104">
        <v>0</v>
      </c>
      <c r="F46" s="104">
        <v>0</v>
      </c>
      <c r="G46" s="104">
        <v>0</v>
      </c>
      <c r="H46" s="104">
        <v>0</v>
      </c>
      <c r="I46" s="104">
        <v>25</v>
      </c>
      <c r="J46" s="104">
        <v>1011</v>
      </c>
      <c r="K46" s="104">
        <v>1389</v>
      </c>
      <c r="L46" s="104">
        <v>1953</v>
      </c>
      <c r="M46" s="104">
        <v>1603</v>
      </c>
      <c r="N46" s="104">
        <v>1895</v>
      </c>
      <c r="O46" s="104">
        <v>2326</v>
      </c>
      <c r="P46" s="104">
        <v>3041</v>
      </c>
      <c r="Q46" s="104">
        <v>2881</v>
      </c>
      <c r="R46" s="104">
        <v>4975</v>
      </c>
      <c r="S46" s="104">
        <v>6156</v>
      </c>
      <c r="T46" s="104">
        <v>5447</v>
      </c>
    </row>
    <row r="47" spans="1:20" ht="12.75" x14ac:dyDescent="0.2">
      <c r="A47" s="1" t="s">
        <v>354</v>
      </c>
      <c r="B47" s="1">
        <v>13152</v>
      </c>
      <c r="C47" s="104">
        <v>0</v>
      </c>
      <c r="D47" s="104">
        <v>0</v>
      </c>
      <c r="E47" s="104">
        <v>0</v>
      </c>
      <c r="F47" s="104">
        <v>0</v>
      </c>
      <c r="G47" s="104">
        <v>0</v>
      </c>
      <c r="H47" s="104">
        <v>0</v>
      </c>
      <c r="I47" s="104">
        <v>21</v>
      </c>
      <c r="J47" s="104">
        <v>1023</v>
      </c>
      <c r="K47" s="104">
        <v>1350</v>
      </c>
      <c r="L47" s="104">
        <v>1507</v>
      </c>
      <c r="M47" s="104">
        <v>1311</v>
      </c>
      <c r="N47" s="104">
        <v>1805</v>
      </c>
      <c r="O47" s="104">
        <v>1966</v>
      </c>
      <c r="P47" s="104">
        <v>3180</v>
      </c>
      <c r="Q47" s="104">
        <v>2722</v>
      </c>
      <c r="R47" s="104">
        <v>5323</v>
      </c>
      <c r="S47" s="104">
        <v>5224</v>
      </c>
      <c r="T47" s="104">
        <v>5031</v>
      </c>
    </row>
    <row r="48" spans="1:20" ht="12.75" x14ac:dyDescent="0.2">
      <c r="A48" s="1" t="s">
        <v>307</v>
      </c>
      <c r="B48" s="1">
        <v>13122</v>
      </c>
      <c r="C48" s="104">
        <v>819</v>
      </c>
      <c r="D48" s="104">
        <v>1066</v>
      </c>
      <c r="E48" s="104">
        <v>1196</v>
      </c>
      <c r="F48" s="104">
        <v>1265</v>
      </c>
      <c r="G48" s="104">
        <v>1432</v>
      </c>
      <c r="H48" s="104">
        <v>1737</v>
      </c>
      <c r="I48" s="104">
        <v>1361</v>
      </c>
      <c r="J48" s="104">
        <v>1742</v>
      </c>
      <c r="K48" s="104">
        <v>1654</v>
      </c>
      <c r="L48" s="104">
        <v>1759</v>
      </c>
      <c r="M48" s="104">
        <v>1647</v>
      </c>
      <c r="N48" s="104">
        <v>1417</v>
      </c>
      <c r="O48" s="104">
        <v>1454</v>
      </c>
      <c r="P48" s="104">
        <v>1528</v>
      </c>
      <c r="Q48" s="104">
        <v>1758</v>
      </c>
      <c r="R48" s="104">
        <v>1399</v>
      </c>
      <c r="S48" s="104">
        <v>1035</v>
      </c>
      <c r="T48" s="104">
        <v>649</v>
      </c>
    </row>
    <row r="49" spans="1:20" ht="12.75" x14ac:dyDescent="0.2">
      <c r="A49" s="1" t="s">
        <v>317</v>
      </c>
      <c r="B49" s="1">
        <v>13085</v>
      </c>
      <c r="C49" s="104">
        <v>1048</v>
      </c>
      <c r="D49" s="104">
        <v>709</v>
      </c>
      <c r="E49" s="104">
        <v>788</v>
      </c>
      <c r="F49" s="104">
        <v>894</v>
      </c>
      <c r="G49" s="104">
        <v>1111</v>
      </c>
      <c r="H49" s="104">
        <v>1296</v>
      </c>
      <c r="I49" s="104">
        <v>1409</v>
      </c>
      <c r="J49" s="104">
        <v>1501</v>
      </c>
      <c r="K49" s="104">
        <v>1410</v>
      </c>
      <c r="L49" s="104">
        <v>1332</v>
      </c>
      <c r="M49" s="104">
        <v>1226</v>
      </c>
      <c r="N49" s="104">
        <v>1227</v>
      </c>
      <c r="O49" s="104">
        <v>685</v>
      </c>
      <c r="P49" s="104">
        <v>559</v>
      </c>
      <c r="Q49" s="104">
        <v>702</v>
      </c>
      <c r="R49" s="104">
        <v>701</v>
      </c>
      <c r="S49" s="104">
        <v>897</v>
      </c>
      <c r="T49" s="104">
        <v>1021</v>
      </c>
    </row>
    <row r="50" spans="1:20" ht="12.75" x14ac:dyDescent="0.2">
      <c r="A50" s="1" t="s">
        <v>319</v>
      </c>
      <c r="B50" s="1">
        <v>13023</v>
      </c>
      <c r="C50" s="104">
        <v>1307</v>
      </c>
      <c r="D50" s="104">
        <v>1390</v>
      </c>
      <c r="E50" s="104">
        <v>1315</v>
      </c>
      <c r="F50" s="104">
        <v>1326</v>
      </c>
      <c r="G50" s="104">
        <v>1331</v>
      </c>
      <c r="H50" s="104">
        <v>1379</v>
      </c>
      <c r="I50" s="104">
        <v>1267</v>
      </c>
      <c r="J50" s="104">
        <v>1260</v>
      </c>
      <c r="K50" s="104">
        <v>1559</v>
      </c>
      <c r="L50" s="104">
        <v>1247</v>
      </c>
      <c r="M50" s="104">
        <v>1627</v>
      </c>
      <c r="N50" s="104">
        <v>1468</v>
      </c>
      <c r="O50" s="104">
        <v>1352</v>
      </c>
      <c r="P50" s="104">
        <v>1145</v>
      </c>
      <c r="Q50" s="104">
        <v>1321</v>
      </c>
      <c r="R50" s="104">
        <v>823</v>
      </c>
      <c r="S50" s="104">
        <v>980</v>
      </c>
      <c r="T50" s="104">
        <v>1520</v>
      </c>
    </row>
    <row r="51" spans="1:20" ht="12.75" x14ac:dyDescent="0.2">
      <c r="A51" s="1" t="s">
        <v>310</v>
      </c>
      <c r="B51" s="1">
        <v>13087</v>
      </c>
      <c r="C51" s="104">
        <v>3256</v>
      </c>
      <c r="D51" s="104">
        <v>3073</v>
      </c>
      <c r="E51" s="104">
        <v>4277</v>
      </c>
      <c r="F51" s="104">
        <v>4969</v>
      </c>
      <c r="G51" s="104">
        <v>3488</v>
      </c>
      <c r="H51" s="104">
        <v>4766</v>
      </c>
      <c r="I51" s="104">
        <v>4230</v>
      </c>
      <c r="J51" s="104">
        <v>4517</v>
      </c>
      <c r="K51" s="104">
        <v>4807</v>
      </c>
      <c r="L51" s="104">
        <v>4713</v>
      </c>
      <c r="M51" s="104">
        <v>3291</v>
      </c>
      <c r="N51" s="104">
        <v>2530</v>
      </c>
      <c r="O51" s="104">
        <v>2325</v>
      </c>
      <c r="P51" s="104">
        <v>1882</v>
      </c>
      <c r="Q51" s="104">
        <v>2532</v>
      </c>
      <c r="R51" s="104">
        <v>3329</v>
      </c>
      <c r="S51" s="104">
        <v>3546</v>
      </c>
      <c r="T51" s="104">
        <v>2757</v>
      </c>
    </row>
    <row r="52" spans="1:20" ht="12.75" x14ac:dyDescent="0.2">
      <c r="A52" s="1" t="s">
        <v>321</v>
      </c>
      <c r="B52" s="1">
        <v>13061</v>
      </c>
      <c r="C52" s="104">
        <v>2461</v>
      </c>
      <c r="D52" s="104">
        <v>2174</v>
      </c>
      <c r="E52" s="104">
        <v>1974</v>
      </c>
      <c r="F52" s="104">
        <v>2731</v>
      </c>
      <c r="G52" s="104">
        <v>2964</v>
      </c>
      <c r="H52" s="104">
        <v>2892</v>
      </c>
      <c r="I52" s="104">
        <v>2339</v>
      </c>
      <c r="J52" s="104">
        <v>2487</v>
      </c>
      <c r="K52" s="104">
        <v>2904</v>
      </c>
      <c r="L52" s="104">
        <v>2862</v>
      </c>
      <c r="M52" s="104">
        <v>1901</v>
      </c>
      <c r="N52" s="104">
        <v>2972</v>
      </c>
      <c r="O52" s="104">
        <v>2469</v>
      </c>
      <c r="P52" s="104">
        <v>1963</v>
      </c>
      <c r="Q52" s="104">
        <v>3083</v>
      </c>
      <c r="R52" s="104">
        <v>2375</v>
      </c>
      <c r="S52" s="104">
        <v>3609</v>
      </c>
      <c r="T52" s="104">
        <v>2484</v>
      </c>
    </row>
    <row r="53" spans="1:20" ht="12.75" x14ac:dyDescent="0.2">
      <c r="A53" s="1" t="s">
        <v>352</v>
      </c>
      <c r="B53" s="1">
        <v>13150</v>
      </c>
      <c r="C53" s="104">
        <v>0</v>
      </c>
      <c r="D53" s="104">
        <v>0</v>
      </c>
      <c r="E53" s="104">
        <v>0</v>
      </c>
      <c r="F53" s="104">
        <v>0</v>
      </c>
      <c r="G53" s="104">
        <v>0</v>
      </c>
      <c r="H53" s="104">
        <v>0</v>
      </c>
      <c r="I53" s="104">
        <v>0</v>
      </c>
      <c r="J53" s="104">
        <v>879</v>
      </c>
      <c r="K53" s="104">
        <v>3260</v>
      </c>
      <c r="L53" s="104">
        <v>4056</v>
      </c>
      <c r="M53" s="104">
        <v>2452</v>
      </c>
      <c r="N53" s="104">
        <v>2333</v>
      </c>
      <c r="O53" s="104">
        <v>2920</v>
      </c>
      <c r="P53" s="104">
        <v>3796</v>
      </c>
      <c r="Q53" s="104">
        <v>4206</v>
      </c>
      <c r="R53" s="104">
        <v>3033</v>
      </c>
      <c r="S53" s="104">
        <v>3549</v>
      </c>
      <c r="T53" s="104">
        <v>3482</v>
      </c>
    </row>
    <row r="54" spans="1:20" ht="12.75" x14ac:dyDescent="0.2">
      <c r="A54" s="1" t="s">
        <v>327</v>
      </c>
      <c r="B54" s="1">
        <v>13015</v>
      </c>
      <c r="C54" s="104">
        <v>1155</v>
      </c>
      <c r="D54" s="104">
        <v>906</v>
      </c>
      <c r="E54" s="104">
        <v>1388</v>
      </c>
      <c r="F54" s="104">
        <v>990</v>
      </c>
      <c r="G54" s="104">
        <v>1146</v>
      </c>
      <c r="H54" s="104">
        <v>1045</v>
      </c>
      <c r="I54" s="104">
        <v>970</v>
      </c>
      <c r="J54" s="104">
        <v>1314</v>
      </c>
      <c r="K54" s="104">
        <v>1236</v>
      </c>
      <c r="L54" s="104">
        <v>1010</v>
      </c>
      <c r="M54" s="104">
        <v>1236</v>
      </c>
      <c r="N54" s="104">
        <v>1235</v>
      </c>
      <c r="O54" s="104">
        <v>1034</v>
      </c>
      <c r="P54" s="104">
        <v>879</v>
      </c>
      <c r="Q54" s="104">
        <v>1130</v>
      </c>
      <c r="R54" s="104">
        <v>1022</v>
      </c>
      <c r="S54" s="104">
        <v>1194</v>
      </c>
      <c r="T54" s="104">
        <v>1108</v>
      </c>
    </row>
    <row r="55" spans="1:20" ht="12.75" x14ac:dyDescent="0.2">
      <c r="A55" s="1" t="s">
        <v>353</v>
      </c>
      <c r="B55" s="1">
        <v>13153</v>
      </c>
      <c r="C55" s="104">
        <v>0</v>
      </c>
      <c r="D55" s="104">
        <v>0</v>
      </c>
      <c r="E55" s="104">
        <v>0</v>
      </c>
      <c r="F55" s="104">
        <v>0</v>
      </c>
      <c r="G55" s="104">
        <v>0</v>
      </c>
      <c r="H55" s="104">
        <v>0</v>
      </c>
      <c r="I55" s="104">
        <v>9</v>
      </c>
      <c r="J55" s="104">
        <v>988</v>
      </c>
      <c r="K55" s="104">
        <v>1734</v>
      </c>
      <c r="L55" s="104">
        <v>2056</v>
      </c>
      <c r="M55" s="104">
        <v>1666</v>
      </c>
      <c r="N55" s="104">
        <v>1673</v>
      </c>
      <c r="O55" s="104">
        <v>2372</v>
      </c>
      <c r="P55" s="104">
        <v>2358</v>
      </c>
      <c r="Q55" s="104">
        <v>2413</v>
      </c>
      <c r="R55" s="104">
        <v>3493</v>
      </c>
      <c r="S55" s="104">
        <v>2928</v>
      </c>
      <c r="T55" s="104">
        <v>3506</v>
      </c>
    </row>
    <row r="56" spans="1:20" ht="12.75" x14ac:dyDescent="0.2">
      <c r="A56" s="1" t="s">
        <v>289</v>
      </c>
      <c r="B56" s="1">
        <v>13020</v>
      </c>
      <c r="C56" s="104">
        <v>982</v>
      </c>
      <c r="D56" s="104">
        <v>2327</v>
      </c>
      <c r="E56" s="104">
        <v>1978</v>
      </c>
      <c r="F56" s="104">
        <v>2056</v>
      </c>
      <c r="G56" s="104">
        <v>3061</v>
      </c>
      <c r="H56" s="104">
        <v>2757</v>
      </c>
      <c r="I56" s="104">
        <v>2042</v>
      </c>
      <c r="J56" s="104">
        <v>2843</v>
      </c>
      <c r="K56" s="104">
        <v>3412</v>
      </c>
      <c r="L56" s="104">
        <v>3316</v>
      </c>
      <c r="M56" s="104">
        <v>7553</v>
      </c>
      <c r="N56" s="104">
        <v>1615</v>
      </c>
      <c r="O56" s="104">
        <v>180</v>
      </c>
      <c r="P56" s="104">
        <v>173</v>
      </c>
      <c r="Q56" s="104">
        <v>460</v>
      </c>
      <c r="R56" s="104">
        <v>391</v>
      </c>
      <c r="S56" s="104">
        <v>414</v>
      </c>
      <c r="T56" s="104">
        <v>326</v>
      </c>
    </row>
    <row r="57" spans="1:20" ht="12.75" x14ac:dyDescent="0.2">
      <c r="A57" s="1" t="s">
        <v>355</v>
      </c>
      <c r="B57" s="1">
        <v>13155</v>
      </c>
      <c r="C57" s="104">
        <v>0</v>
      </c>
      <c r="D57" s="104">
        <v>0</v>
      </c>
      <c r="E57" s="104">
        <v>0</v>
      </c>
      <c r="F57" s="104">
        <v>0</v>
      </c>
      <c r="G57" s="104">
        <v>0</v>
      </c>
      <c r="H57" s="104">
        <v>0</v>
      </c>
      <c r="I57" s="104">
        <v>21</v>
      </c>
      <c r="J57" s="104">
        <v>1042</v>
      </c>
      <c r="K57" s="104">
        <v>1782</v>
      </c>
      <c r="L57" s="104">
        <v>2082</v>
      </c>
      <c r="M57" s="104">
        <v>1941</v>
      </c>
      <c r="N57" s="104">
        <v>1926</v>
      </c>
      <c r="O57" s="104">
        <v>2198</v>
      </c>
      <c r="P57" s="104">
        <v>2409</v>
      </c>
      <c r="Q57" s="104">
        <v>2615</v>
      </c>
      <c r="R57" s="104">
        <v>3972</v>
      </c>
      <c r="S57" s="104">
        <v>3223</v>
      </c>
      <c r="T57" s="104">
        <v>3363</v>
      </c>
    </row>
    <row r="58" spans="1:20" ht="12.75" x14ac:dyDescent="0.2">
      <c r="A58" s="1" t="s">
        <v>349</v>
      </c>
      <c r="B58" s="1">
        <v>13108</v>
      </c>
      <c r="C58" s="104">
        <v>0</v>
      </c>
      <c r="D58" s="104">
        <v>0</v>
      </c>
      <c r="E58" s="104">
        <v>0</v>
      </c>
      <c r="F58" s="104">
        <v>0</v>
      </c>
      <c r="G58" s="104">
        <v>0</v>
      </c>
      <c r="H58" s="104">
        <v>0</v>
      </c>
      <c r="I58" s="104">
        <v>12</v>
      </c>
      <c r="J58" s="104">
        <v>2566</v>
      </c>
      <c r="K58" s="104">
        <v>2954</v>
      </c>
      <c r="L58" s="104">
        <v>3517</v>
      </c>
      <c r="M58" s="104">
        <v>2317</v>
      </c>
      <c r="N58" s="104">
        <v>2263</v>
      </c>
      <c r="O58" s="104">
        <v>2459</v>
      </c>
      <c r="P58" s="104">
        <v>2828</v>
      </c>
      <c r="Q58" s="104">
        <v>3655</v>
      </c>
      <c r="R58" s="104">
        <v>2746</v>
      </c>
      <c r="S58" s="104">
        <v>1901</v>
      </c>
      <c r="T58" s="104">
        <v>2163</v>
      </c>
    </row>
    <row r="59" spans="1:20" ht="12.75" x14ac:dyDescent="0.2">
      <c r="A59" s="1" t="s">
        <v>330</v>
      </c>
      <c r="B59" s="1">
        <v>13120</v>
      </c>
      <c r="C59" s="104">
        <v>439</v>
      </c>
      <c r="D59" s="104">
        <v>348</v>
      </c>
      <c r="E59" s="104">
        <v>429</v>
      </c>
      <c r="F59" s="104">
        <v>156</v>
      </c>
      <c r="G59" s="104">
        <v>104</v>
      </c>
      <c r="H59" s="104">
        <v>82</v>
      </c>
      <c r="I59" s="104">
        <v>65</v>
      </c>
      <c r="J59" s="104">
        <v>65</v>
      </c>
      <c r="K59" s="104">
        <v>510</v>
      </c>
      <c r="L59" s="104">
        <v>258</v>
      </c>
      <c r="M59" s="104">
        <v>214</v>
      </c>
      <c r="N59" s="104">
        <v>237</v>
      </c>
      <c r="O59" s="104">
        <v>218</v>
      </c>
      <c r="P59" s="104">
        <v>293</v>
      </c>
      <c r="Q59" s="104">
        <v>256</v>
      </c>
      <c r="R59" s="104">
        <v>294</v>
      </c>
      <c r="S59" s="104">
        <v>228</v>
      </c>
      <c r="T59" s="104">
        <v>157</v>
      </c>
    </row>
    <row r="60" spans="1:20" ht="12.75" x14ac:dyDescent="0.2">
      <c r="A60" s="1" t="s">
        <v>365</v>
      </c>
      <c r="B60" s="1">
        <v>13137</v>
      </c>
      <c r="C60" s="104">
        <v>186</v>
      </c>
      <c r="D60" s="104">
        <v>177</v>
      </c>
      <c r="E60" s="104">
        <v>195</v>
      </c>
      <c r="F60" s="104">
        <v>285</v>
      </c>
      <c r="G60" s="104">
        <v>319</v>
      </c>
      <c r="H60" s="104">
        <v>301</v>
      </c>
      <c r="I60" s="104">
        <v>334</v>
      </c>
      <c r="J60" s="104">
        <v>272</v>
      </c>
      <c r="K60" s="104">
        <v>288</v>
      </c>
      <c r="L60" s="104">
        <v>302</v>
      </c>
      <c r="M60" s="104">
        <v>289</v>
      </c>
      <c r="N60" s="104">
        <v>351</v>
      </c>
      <c r="O60" s="104">
        <v>276</v>
      </c>
      <c r="P60" s="104">
        <v>232</v>
      </c>
      <c r="Q60" s="104">
        <v>290</v>
      </c>
      <c r="R60" s="104">
        <v>280</v>
      </c>
      <c r="S60" s="104">
        <v>256</v>
      </c>
      <c r="T60" s="104">
        <v>173</v>
      </c>
    </row>
    <row r="61" spans="1:20" ht="12.75" x14ac:dyDescent="0.2">
      <c r="A61" s="1" t="s">
        <v>351</v>
      </c>
      <c r="B61" s="1">
        <v>13151</v>
      </c>
      <c r="C61" s="104">
        <v>0</v>
      </c>
      <c r="D61" s="104">
        <v>0</v>
      </c>
      <c r="E61" s="104">
        <v>0</v>
      </c>
      <c r="F61" s="104">
        <v>0</v>
      </c>
      <c r="G61" s="104">
        <v>0</v>
      </c>
      <c r="H61" s="104">
        <v>0</v>
      </c>
      <c r="I61" s="104">
        <v>0</v>
      </c>
      <c r="J61" s="104">
        <v>7</v>
      </c>
      <c r="K61" s="104">
        <v>2386</v>
      </c>
      <c r="L61" s="104">
        <v>2213</v>
      </c>
      <c r="M61" s="104">
        <v>1394</v>
      </c>
      <c r="N61" s="104">
        <v>1153</v>
      </c>
      <c r="O61" s="104">
        <v>1398</v>
      </c>
      <c r="P61" s="104">
        <v>1769</v>
      </c>
      <c r="Q61" s="104">
        <v>2067</v>
      </c>
      <c r="R61" s="104">
        <v>1416</v>
      </c>
      <c r="S61" s="104">
        <v>1061</v>
      </c>
      <c r="T61" s="104">
        <v>1263</v>
      </c>
    </row>
    <row r="62" spans="1:20" ht="12.75" x14ac:dyDescent="0.2">
      <c r="A62" s="1" t="s">
        <v>328</v>
      </c>
      <c r="B62" s="1">
        <v>13005</v>
      </c>
      <c r="C62" s="104">
        <v>1638</v>
      </c>
      <c r="D62" s="104">
        <v>1682</v>
      </c>
      <c r="E62" s="104">
        <v>1367</v>
      </c>
      <c r="F62" s="104">
        <v>1923</v>
      </c>
      <c r="G62" s="104">
        <v>2373</v>
      </c>
      <c r="H62" s="104">
        <v>2551</v>
      </c>
      <c r="I62" s="104">
        <v>1628</v>
      </c>
      <c r="J62" s="104">
        <v>2358</v>
      </c>
      <c r="K62" s="104">
        <v>2196</v>
      </c>
      <c r="L62" s="104">
        <v>1865</v>
      </c>
      <c r="M62" s="104">
        <v>1867</v>
      </c>
      <c r="N62" s="104">
        <v>1814</v>
      </c>
      <c r="O62" s="104">
        <v>1819</v>
      </c>
      <c r="P62" s="104">
        <v>1626</v>
      </c>
      <c r="Q62" s="104">
        <v>2087</v>
      </c>
      <c r="R62" s="104">
        <v>1647</v>
      </c>
      <c r="S62" s="104">
        <v>1388</v>
      </c>
      <c r="T62" s="104">
        <v>816</v>
      </c>
    </row>
    <row r="63" spans="1:20" ht="12.75" customHeight="1" x14ac:dyDescent="0.2">
      <c r="A63" s="1" t="s">
        <v>332</v>
      </c>
      <c r="B63" s="1">
        <v>13140</v>
      </c>
      <c r="C63" s="104">
        <v>174</v>
      </c>
      <c r="D63" s="104">
        <v>72</v>
      </c>
      <c r="E63" s="104">
        <v>139</v>
      </c>
      <c r="F63" s="104">
        <v>338</v>
      </c>
      <c r="G63" s="104">
        <v>177</v>
      </c>
      <c r="H63" s="104">
        <v>194</v>
      </c>
      <c r="I63" s="104">
        <v>347</v>
      </c>
      <c r="J63" s="104">
        <v>235</v>
      </c>
      <c r="K63" s="104">
        <v>216</v>
      </c>
      <c r="L63" s="104">
        <v>420</v>
      </c>
      <c r="M63" s="104">
        <v>339</v>
      </c>
      <c r="N63" s="104">
        <v>359</v>
      </c>
      <c r="O63" s="104">
        <v>172</v>
      </c>
      <c r="P63" s="104">
        <v>319</v>
      </c>
      <c r="Q63" s="104">
        <v>133</v>
      </c>
      <c r="R63" s="104">
        <v>156</v>
      </c>
      <c r="S63" s="104">
        <v>168</v>
      </c>
      <c r="T63" s="104">
        <v>153</v>
      </c>
    </row>
    <row r="64" spans="1:20" ht="12.75" customHeight="1" x14ac:dyDescent="0.2">
      <c r="A64" s="1" t="s">
        <v>318</v>
      </c>
      <c r="B64" s="1">
        <v>13064</v>
      </c>
      <c r="C64" s="104">
        <v>1206</v>
      </c>
      <c r="D64" s="104">
        <v>1325</v>
      </c>
      <c r="E64" s="104">
        <v>1062</v>
      </c>
      <c r="F64" s="104">
        <v>965</v>
      </c>
      <c r="G64" s="104">
        <v>1006</v>
      </c>
      <c r="H64" s="104">
        <v>1042</v>
      </c>
      <c r="I64" s="104">
        <v>977</v>
      </c>
      <c r="J64" s="104">
        <v>1050</v>
      </c>
      <c r="K64" s="104">
        <v>1277</v>
      </c>
      <c r="L64" s="104">
        <v>1046</v>
      </c>
      <c r="M64" s="104">
        <v>1007</v>
      </c>
      <c r="N64" s="104">
        <v>575</v>
      </c>
      <c r="O64" s="104">
        <v>460</v>
      </c>
      <c r="P64" s="104">
        <v>538</v>
      </c>
      <c r="Q64" s="104">
        <v>426</v>
      </c>
      <c r="R64" s="104">
        <v>274</v>
      </c>
      <c r="S64" s="104">
        <v>123</v>
      </c>
      <c r="T64" s="104">
        <v>88</v>
      </c>
    </row>
    <row r="65" spans="1:20" ht="12.75" x14ac:dyDescent="0.2">
      <c r="A65" s="1" t="s">
        <v>361</v>
      </c>
      <c r="B65" s="1">
        <v>13082</v>
      </c>
      <c r="C65" s="104">
        <v>0</v>
      </c>
      <c r="D65" s="104">
        <v>0</v>
      </c>
      <c r="E65" s="104">
        <v>0</v>
      </c>
      <c r="F65" s="104">
        <v>0</v>
      </c>
      <c r="G65" s="104">
        <v>0</v>
      </c>
      <c r="H65" s="104">
        <v>0</v>
      </c>
      <c r="I65" s="104">
        <v>0</v>
      </c>
      <c r="J65" s="104">
        <v>320</v>
      </c>
      <c r="K65" s="104">
        <v>172</v>
      </c>
      <c r="L65" s="104">
        <v>100</v>
      </c>
      <c r="M65" s="104">
        <v>74</v>
      </c>
      <c r="N65" s="104">
        <v>165</v>
      </c>
      <c r="O65" s="104">
        <v>201</v>
      </c>
      <c r="P65" s="104">
        <v>288</v>
      </c>
      <c r="Q65" s="104">
        <v>114</v>
      </c>
      <c r="R65" s="104">
        <v>46</v>
      </c>
      <c r="S65" s="104">
        <v>43</v>
      </c>
      <c r="T65" s="104">
        <v>18</v>
      </c>
    </row>
    <row r="66" spans="1:20" ht="12.75" x14ac:dyDescent="0.2">
      <c r="A66" s="1" t="s">
        <v>286</v>
      </c>
      <c r="B66" s="1">
        <v>13047</v>
      </c>
      <c r="C66" s="104">
        <v>5009</v>
      </c>
      <c r="D66" s="104">
        <v>4380</v>
      </c>
      <c r="E66" s="104">
        <v>3861</v>
      </c>
      <c r="F66" s="104">
        <v>4416</v>
      </c>
      <c r="G66" s="104">
        <v>4335</v>
      </c>
      <c r="H66" s="104">
        <v>4878</v>
      </c>
      <c r="I66" s="104">
        <v>3915</v>
      </c>
      <c r="J66" s="104">
        <v>4385</v>
      </c>
      <c r="K66" s="104">
        <v>4428</v>
      </c>
      <c r="L66" s="104">
        <v>4460</v>
      </c>
      <c r="M66" s="104">
        <v>4311</v>
      </c>
      <c r="N66" s="104">
        <v>2528</v>
      </c>
      <c r="O66" s="104">
        <v>1210</v>
      </c>
      <c r="P66" s="104">
        <v>640</v>
      </c>
      <c r="Q66" s="104">
        <v>245</v>
      </c>
      <c r="R66" s="104">
        <v>66</v>
      </c>
      <c r="S66" s="104">
        <v>47</v>
      </c>
      <c r="T66" s="104">
        <v>52</v>
      </c>
    </row>
    <row r="67" spans="1:20" ht="12.75" x14ac:dyDescent="0.2">
      <c r="A67" s="1" t="s">
        <v>308</v>
      </c>
      <c r="B67" s="1">
        <v>13107</v>
      </c>
      <c r="C67" s="104">
        <v>10259</v>
      </c>
      <c r="D67" s="104">
        <v>10535</v>
      </c>
      <c r="E67" s="104">
        <v>12884</v>
      </c>
      <c r="F67" s="104">
        <v>12138</v>
      </c>
      <c r="G67" s="104">
        <v>8866</v>
      </c>
      <c r="H67" s="104">
        <v>10619</v>
      </c>
      <c r="I67" s="104">
        <v>7569</v>
      </c>
      <c r="J67" s="104">
        <v>7013</v>
      </c>
      <c r="K67" s="104">
        <v>3992</v>
      </c>
      <c r="L67" s="104">
        <v>4937</v>
      </c>
      <c r="M67" s="104">
        <v>2890</v>
      </c>
      <c r="N67" s="104">
        <v>2566</v>
      </c>
      <c r="O67" s="104">
        <v>2599</v>
      </c>
      <c r="P67" s="104">
        <v>3215</v>
      </c>
      <c r="Q67" s="104">
        <v>3635</v>
      </c>
      <c r="R67" s="104">
        <v>434</v>
      </c>
      <c r="S67" s="104">
        <v>316</v>
      </c>
      <c r="T67" s="104">
        <v>200</v>
      </c>
    </row>
    <row r="68" spans="1:20" ht="12.75" x14ac:dyDescent="0.2">
      <c r="A68" s="1" t="s">
        <v>303</v>
      </c>
      <c r="B68" s="1">
        <v>13098</v>
      </c>
      <c r="C68" s="104">
        <v>10128</v>
      </c>
      <c r="D68" s="104">
        <v>9601</v>
      </c>
      <c r="E68" s="104">
        <v>9587</v>
      </c>
      <c r="F68" s="104">
        <v>11410</v>
      </c>
      <c r="G68" s="104">
        <v>7646</v>
      </c>
      <c r="H68" s="104">
        <v>11297</v>
      </c>
      <c r="I68" s="104">
        <v>7388</v>
      </c>
      <c r="J68" s="104">
        <v>7400</v>
      </c>
      <c r="K68" s="104">
        <v>3937</v>
      </c>
      <c r="L68" s="104">
        <v>5264</v>
      </c>
      <c r="M68" s="104">
        <v>3388</v>
      </c>
      <c r="N68" s="104">
        <v>2754</v>
      </c>
      <c r="O68" s="104">
        <v>3005</v>
      </c>
      <c r="P68" s="104">
        <v>2933</v>
      </c>
      <c r="Q68" s="104">
        <v>3631</v>
      </c>
      <c r="R68" s="104">
        <v>446</v>
      </c>
      <c r="S68" s="104">
        <v>475</v>
      </c>
      <c r="T68" s="104">
        <v>200</v>
      </c>
    </row>
    <row r="69" spans="1:20" ht="12.75" x14ac:dyDescent="0.2">
      <c r="A69" s="1" t="s">
        <v>305</v>
      </c>
      <c r="B69" s="1">
        <v>13104</v>
      </c>
      <c r="C69" s="104">
        <v>9140</v>
      </c>
      <c r="D69" s="104">
        <v>9263</v>
      </c>
      <c r="E69" s="104">
        <v>10526</v>
      </c>
      <c r="F69" s="104">
        <v>9760</v>
      </c>
      <c r="G69" s="104">
        <v>6628</v>
      </c>
      <c r="H69" s="104">
        <v>10176</v>
      </c>
      <c r="I69" s="104">
        <v>5719</v>
      </c>
      <c r="J69" s="104">
        <v>8334</v>
      </c>
      <c r="K69" s="104">
        <v>4170</v>
      </c>
      <c r="L69" s="104">
        <v>5319</v>
      </c>
      <c r="M69" s="104">
        <v>2897</v>
      </c>
      <c r="N69" s="104">
        <v>2300</v>
      </c>
      <c r="O69" s="104">
        <v>2962</v>
      </c>
      <c r="P69" s="104">
        <v>2664</v>
      </c>
      <c r="Q69" s="104">
        <v>3311</v>
      </c>
      <c r="R69" s="104">
        <v>296</v>
      </c>
      <c r="S69" s="104">
        <v>275</v>
      </c>
      <c r="T69" s="104">
        <v>189</v>
      </c>
    </row>
    <row r="70" spans="1:20" ht="12.75" x14ac:dyDescent="0.2">
      <c r="A70" s="1" t="s">
        <v>300</v>
      </c>
      <c r="B70" s="1">
        <v>13101</v>
      </c>
      <c r="C70" s="104">
        <v>9818</v>
      </c>
      <c r="D70" s="104">
        <v>9288</v>
      </c>
      <c r="E70" s="104">
        <v>10158</v>
      </c>
      <c r="F70" s="104">
        <v>11499</v>
      </c>
      <c r="G70" s="104">
        <v>6969</v>
      </c>
      <c r="H70" s="104">
        <v>9686</v>
      </c>
      <c r="I70" s="104">
        <v>6100</v>
      </c>
      <c r="J70" s="104">
        <v>9554</v>
      </c>
      <c r="K70" s="104">
        <v>4827</v>
      </c>
      <c r="L70" s="104">
        <v>5420</v>
      </c>
      <c r="M70" s="104">
        <v>3048</v>
      </c>
      <c r="N70" s="104">
        <v>2424</v>
      </c>
      <c r="O70" s="104">
        <v>2675</v>
      </c>
      <c r="P70" s="104">
        <v>2896</v>
      </c>
      <c r="Q70" s="104">
        <v>3682</v>
      </c>
      <c r="R70" s="104">
        <v>440</v>
      </c>
      <c r="S70" s="104">
        <v>313</v>
      </c>
      <c r="T70" s="104">
        <v>185</v>
      </c>
    </row>
    <row r="71" spans="1:20" ht="12.75" x14ac:dyDescent="0.2">
      <c r="A71" s="1" t="s">
        <v>312</v>
      </c>
      <c r="B71" s="1">
        <v>13117</v>
      </c>
      <c r="C71" s="104">
        <v>1846</v>
      </c>
      <c r="D71" s="104">
        <v>2478</v>
      </c>
      <c r="E71" s="104">
        <v>1692</v>
      </c>
      <c r="F71" s="104">
        <v>1381</v>
      </c>
      <c r="G71" s="104">
        <v>1815</v>
      </c>
      <c r="H71" s="104">
        <v>1393</v>
      </c>
      <c r="I71" s="104">
        <v>800</v>
      </c>
      <c r="J71" s="104">
        <v>833</v>
      </c>
      <c r="K71" s="104">
        <v>525</v>
      </c>
      <c r="L71" s="104">
        <v>396</v>
      </c>
      <c r="M71" s="104">
        <v>212</v>
      </c>
      <c r="N71" s="104">
        <v>144</v>
      </c>
      <c r="O71" s="104">
        <v>140</v>
      </c>
      <c r="P71" s="104">
        <v>146</v>
      </c>
      <c r="Q71" s="104">
        <v>90</v>
      </c>
      <c r="R71" s="104">
        <v>51</v>
      </c>
      <c r="S71" s="104">
        <v>43</v>
      </c>
      <c r="T71" s="104">
        <v>33</v>
      </c>
    </row>
    <row r="72" spans="1:20" ht="12.75" x14ac:dyDescent="0.2">
      <c r="A72" s="1" t="s">
        <v>315</v>
      </c>
      <c r="B72" s="1">
        <v>13095</v>
      </c>
      <c r="C72" s="104">
        <v>5846</v>
      </c>
      <c r="D72" s="104">
        <v>5160</v>
      </c>
      <c r="E72" s="104">
        <v>4508</v>
      </c>
      <c r="F72" s="104">
        <v>6585</v>
      </c>
      <c r="G72" s="104">
        <v>3740</v>
      </c>
      <c r="H72" s="104">
        <v>3681</v>
      </c>
      <c r="I72" s="104">
        <v>1550</v>
      </c>
      <c r="J72" s="104">
        <v>1030</v>
      </c>
      <c r="K72" s="104">
        <v>434</v>
      </c>
      <c r="L72" s="104">
        <v>280</v>
      </c>
      <c r="M72" s="104">
        <v>232</v>
      </c>
      <c r="N72" s="104">
        <v>249</v>
      </c>
      <c r="O72" s="104">
        <v>253</v>
      </c>
      <c r="P72" s="104">
        <v>228</v>
      </c>
      <c r="Q72" s="104">
        <v>222</v>
      </c>
      <c r="R72" s="104">
        <v>206</v>
      </c>
      <c r="S72" s="104">
        <v>125</v>
      </c>
      <c r="T72" s="104">
        <v>136</v>
      </c>
    </row>
    <row r="73" spans="1:20" ht="12.75" x14ac:dyDescent="0.2">
      <c r="A73" s="1" t="s">
        <v>320</v>
      </c>
      <c r="B73" s="1">
        <v>13102</v>
      </c>
      <c r="C73" s="104">
        <v>5294</v>
      </c>
      <c r="D73" s="104">
        <v>5253</v>
      </c>
      <c r="E73" s="104">
        <v>4977</v>
      </c>
      <c r="F73" s="104">
        <v>5436</v>
      </c>
      <c r="G73" s="104">
        <v>5040</v>
      </c>
      <c r="H73" s="104">
        <v>8567</v>
      </c>
      <c r="I73" s="104">
        <v>6810</v>
      </c>
      <c r="J73" s="104">
        <v>7637</v>
      </c>
      <c r="K73" s="104">
        <v>3754</v>
      </c>
      <c r="L73" s="104">
        <v>3256</v>
      </c>
      <c r="M73" s="104">
        <v>1653</v>
      </c>
      <c r="N73" s="104">
        <v>1465</v>
      </c>
      <c r="O73" s="104">
        <v>1390</v>
      </c>
      <c r="P73" s="104">
        <v>1493</v>
      </c>
      <c r="Q73" s="104">
        <v>2555</v>
      </c>
      <c r="R73" s="104">
        <v>92</v>
      </c>
      <c r="S73" s="104">
        <v>83</v>
      </c>
      <c r="T73" s="104">
        <v>83</v>
      </c>
    </row>
    <row r="74" spans="1:20" ht="12.75" x14ac:dyDescent="0.2">
      <c r="A74" s="1" t="s">
        <v>323</v>
      </c>
      <c r="B74" s="1">
        <v>13099</v>
      </c>
      <c r="C74" s="104">
        <v>5491</v>
      </c>
      <c r="D74" s="104">
        <v>5867</v>
      </c>
      <c r="E74" s="104">
        <v>5578</v>
      </c>
      <c r="F74" s="104">
        <v>6414</v>
      </c>
      <c r="G74" s="104">
        <v>6308</v>
      </c>
      <c r="H74" s="104">
        <v>9348</v>
      </c>
      <c r="I74" s="104">
        <v>6123</v>
      </c>
      <c r="J74" s="104">
        <v>3720</v>
      </c>
      <c r="K74" s="104">
        <v>2491</v>
      </c>
      <c r="L74" s="104">
        <v>2941</v>
      </c>
      <c r="M74" s="104">
        <v>1650</v>
      </c>
      <c r="N74" s="104">
        <v>1300</v>
      </c>
      <c r="O74" s="104">
        <v>1430</v>
      </c>
      <c r="P74" s="104">
        <v>1604</v>
      </c>
      <c r="Q74" s="104">
        <v>2568</v>
      </c>
      <c r="R74" s="104">
        <v>204</v>
      </c>
      <c r="S74" s="104">
        <v>112</v>
      </c>
      <c r="T74" s="104">
        <v>97</v>
      </c>
    </row>
    <row r="75" spans="1:20" ht="12.75" x14ac:dyDescent="0.2">
      <c r="A75" s="1" t="s">
        <v>331</v>
      </c>
      <c r="B75" s="1">
        <v>13096</v>
      </c>
      <c r="C75" s="104">
        <v>2448</v>
      </c>
      <c r="D75" s="104">
        <v>2201</v>
      </c>
      <c r="E75" s="104">
        <v>2246</v>
      </c>
      <c r="F75" s="104">
        <v>2109</v>
      </c>
      <c r="G75" s="104">
        <v>2585</v>
      </c>
      <c r="H75" s="104">
        <v>3974</v>
      </c>
      <c r="I75" s="104">
        <v>2788</v>
      </c>
      <c r="J75" s="104">
        <v>2876</v>
      </c>
      <c r="K75" s="104">
        <v>1730</v>
      </c>
      <c r="L75" s="104">
        <v>1311</v>
      </c>
      <c r="M75" s="104">
        <v>918</v>
      </c>
      <c r="N75" s="104">
        <v>425</v>
      </c>
      <c r="O75" s="104">
        <v>328</v>
      </c>
      <c r="P75" s="104">
        <v>194</v>
      </c>
      <c r="Q75" s="104">
        <v>337</v>
      </c>
      <c r="R75" s="104">
        <v>159</v>
      </c>
      <c r="S75" s="104">
        <v>82</v>
      </c>
      <c r="T75" s="104">
        <v>63</v>
      </c>
    </row>
    <row r="76" spans="1:20" ht="12.75" x14ac:dyDescent="0.2">
      <c r="A76" s="1" t="s">
        <v>340</v>
      </c>
      <c r="B76" s="1">
        <v>13079</v>
      </c>
      <c r="C76" s="104">
        <v>606</v>
      </c>
      <c r="D76" s="104">
        <v>326</v>
      </c>
      <c r="E76" s="104">
        <v>397</v>
      </c>
      <c r="F76" s="104">
        <v>340</v>
      </c>
      <c r="G76" s="104">
        <v>243</v>
      </c>
      <c r="H76" s="104">
        <v>179</v>
      </c>
      <c r="I76" s="104">
        <v>310</v>
      </c>
      <c r="J76" s="104">
        <v>199</v>
      </c>
      <c r="K76" s="104">
        <v>188</v>
      </c>
      <c r="L76" s="104">
        <v>121</v>
      </c>
      <c r="M76" s="104">
        <v>107</v>
      </c>
      <c r="N76" s="104">
        <v>57</v>
      </c>
      <c r="O76" s="104">
        <v>111</v>
      </c>
      <c r="P76" s="104">
        <v>45</v>
      </c>
      <c r="Q76" s="104">
        <v>30</v>
      </c>
      <c r="R76" s="104">
        <v>1</v>
      </c>
      <c r="S76" s="104">
        <v>0</v>
      </c>
      <c r="T76" s="104">
        <v>6</v>
      </c>
    </row>
    <row r="77" spans="1:20" ht="12.75" x14ac:dyDescent="0.2">
      <c r="A77" s="1" t="s">
        <v>301</v>
      </c>
      <c r="B77" s="1">
        <v>13115</v>
      </c>
      <c r="C77" s="104">
        <v>3442</v>
      </c>
      <c r="D77" s="104">
        <v>4077</v>
      </c>
      <c r="E77" s="104">
        <v>1455</v>
      </c>
      <c r="F77" s="104">
        <v>491</v>
      </c>
      <c r="G77" s="104">
        <v>328</v>
      </c>
      <c r="H77" s="104">
        <v>229</v>
      </c>
      <c r="I77" s="104">
        <v>98</v>
      </c>
      <c r="J77" s="104">
        <v>76</v>
      </c>
      <c r="K77" s="104">
        <v>53</v>
      </c>
      <c r="L77" s="104">
        <v>46</v>
      </c>
      <c r="M77" s="104">
        <v>31</v>
      </c>
      <c r="N77" s="104">
        <v>22</v>
      </c>
      <c r="O77" s="104">
        <v>39</v>
      </c>
      <c r="P77" s="104">
        <v>26</v>
      </c>
      <c r="Q77" s="104">
        <v>22</v>
      </c>
      <c r="R77" s="104">
        <v>21</v>
      </c>
      <c r="S77" s="104">
        <v>9</v>
      </c>
      <c r="T77" s="104">
        <v>10</v>
      </c>
    </row>
    <row r="78" spans="1:20" ht="12.75" x14ac:dyDescent="0.2">
      <c r="A78" s="1" t="s">
        <v>325</v>
      </c>
      <c r="B78" s="1">
        <v>13105</v>
      </c>
      <c r="C78" s="104">
        <v>4896</v>
      </c>
      <c r="D78" s="104">
        <v>5465</v>
      </c>
      <c r="E78" s="104">
        <v>4943</v>
      </c>
      <c r="F78" s="104">
        <v>5089</v>
      </c>
      <c r="G78" s="104">
        <v>4813</v>
      </c>
      <c r="H78" s="104">
        <v>7228</v>
      </c>
      <c r="I78" s="104">
        <v>5453</v>
      </c>
      <c r="J78" s="104">
        <v>3385</v>
      </c>
      <c r="K78" s="104">
        <v>1100</v>
      </c>
      <c r="L78" s="104">
        <v>660</v>
      </c>
      <c r="M78" s="104">
        <v>400</v>
      </c>
      <c r="N78" s="104">
        <v>247</v>
      </c>
      <c r="O78" s="104">
        <v>226</v>
      </c>
      <c r="P78" s="104">
        <v>150</v>
      </c>
      <c r="Q78" s="104">
        <v>152</v>
      </c>
      <c r="R78" s="104">
        <v>88</v>
      </c>
      <c r="S78" s="104">
        <v>62</v>
      </c>
      <c r="T78" s="104">
        <v>31</v>
      </c>
    </row>
    <row r="79" spans="1:20" ht="12.75" x14ac:dyDescent="0.2">
      <c r="A79" s="1" t="s">
        <v>342</v>
      </c>
      <c r="B79" s="1">
        <v>13077</v>
      </c>
      <c r="C79" s="104">
        <v>1146</v>
      </c>
      <c r="D79" s="104">
        <v>383</v>
      </c>
      <c r="E79" s="104">
        <v>136</v>
      </c>
      <c r="F79" s="104">
        <v>81</v>
      </c>
      <c r="G79" s="104">
        <v>17</v>
      </c>
      <c r="H79" s="104">
        <v>4</v>
      </c>
      <c r="I79" s="104">
        <v>5</v>
      </c>
      <c r="J79" s="104">
        <v>10</v>
      </c>
      <c r="K79" s="104">
        <v>7</v>
      </c>
      <c r="L79" s="104">
        <v>15</v>
      </c>
      <c r="M79" s="104">
        <v>8</v>
      </c>
      <c r="N79" s="104">
        <v>0</v>
      </c>
      <c r="O79" s="104">
        <v>4</v>
      </c>
      <c r="P79" s="104">
        <v>1</v>
      </c>
      <c r="Q79" s="104">
        <v>1</v>
      </c>
      <c r="R79" s="104">
        <v>2</v>
      </c>
      <c r="S79" s="104">
        <v>0</v>
      </c>
      <c r="T79" s="104">
        <v>1</v>
      </c>
    </row>
    <row r="80" spans="1:20" ht="12.75" x14ac:dyDescent="0.2">
      <c r="A80" s="1" t="s">
        <v>322</v>
      </c>
      <c r="B80" s="1">
        <v>13017</v>
      </c>
      <c r="C80" s="104">
        <v>670</v>
      </c>
      <c r="D80" s="104">
        <v>913</v>
      </c>
      <c r="E80" s="104">
        <v>895</v>
      </c>
      <c r="F80" s="104">
        <v>647</v>
      </c>
      <c r="G80" s="104">
        <v>1274</v>
      </c>
      <c r="H80" s="104">
        <v>1684</v>
      </c>
      <c r="I80" s="104">
        <v>1069</v>
      </c>
      <c r="J80" s="104">
        <v>886</v>
      </c>
      <c r="K80" s="104">
        <v>1014</v>
      </c>
      <c r="L80" s="104">
        <v>861</v>
      </c>
      <c r="M80" s="104">
        <v>993</v>
      </c>
      <c r="N80" s="104">
        <v>991</v>
      </c>
      <c r="O80" s="104">
        <v>585</v>
      </c>
      <c r="P80" s="104">
        <v>404</v>
      </c>
      <c r="Q80" s="104">
        <v>183</v>
      </c>
      <c r="R80" s="104">
        <v>94</v>
      </c>
      <c r="S80" s="104">
        <v>4</v>
      </c>
      <c r="T80" s="104">
        <v>5</v>
      </c>
    </row>
    <row r="81" spans="1:20" ht="12.75" x14ac:dyDescent="0.2">
      <c r="A81" s="1" t="s">
        <v>338</v>
      </c>
      <c r="B81" s="1">
        <v>13001</v>
      </c>
      <c r="C81" s="104">
        <v>0</v>
      </c>
      <c r="D81" s="104">
        <v>1</v>
      </c>
      <c r="E81" s="104">
        <v>1</v>
      </c>
      <c r="F81" s="104">
        <v>4</v>
      </c>
      <c r="G81" s="104">
        <v>0</v>
      </c>
      <c r="H81" s="104">
        <v>0</v>
      </c>
      <c r="I81" s="104">
        <v>0</v>
      </c>
      <c r="J81" s="104">
        <v>6</v>
      </c>
      <c r="K81" s="104">
        <v>0</v>
      </c>
      <c r="L81" s="104">
        <v>0</v>
      </c>
      <c r="M81" s="104">
        <v>0</v>
      </c>
      <c r="N81" s="104">
        <v>0</v>
      </c>
      <c r="O81" s="104">
        <v>1</v>
      </c>
      <c r="P81" s="104">
        <v>1</v>
      </c>
      <c r="Q81" s="104">
        <v>0</v>
      </c>
      <c r="R81" s="104">
        <v>0</v>
      </c>
      <c r="S81" s="104">
        <v>2</v>
      </c>
      <c r="T81" s="104">
        <v>1</v>
      </c>
    </row>
    <row r="82" spans="1:20" ht="12.75" x14ac:dyDescent="0.2">
      <c r="A82" s="1" t="s">
        <v>299</v>
      </c>
      <c r="B82" s="1">
        <v>13065</v>
      </c>
      <c r="C82" s="104">
        <v>5202</v>
      </c>
      <c r="D82" s="104">
        <v>4811</v>
      </c>
      <c r="E82" s="104">
        <v>5030</v>
      </c>
      <c r="F82" s="104">
        <v>4663</v>
      </c>
      <c r="G82" s="104">
        <v>4455</v>
      </c>
      <c r="H82" s="104">
        <v>3615</v>
      </c>
      <c r="I82" s="104">
        <v>1530</v>
      </c>
      <c r="J82" s="104">
        <v>529</v>
      </c>
      <c r="K82" s="104">
        <v>168</v>
      </c>
      <c r="L82" s="104">
        <v>83</v>
      </c>
      <c r="M82" s="104">
        <v>48</v>
      </c>
      <c r="N82" s="104">
        <v>36</v>
      </c>
      <c r="O82" s="104">
        <v>18</v>
      </c>
      <c r="P82" s="104">
        <v>16</v>
      </c>
      <c r="Q82" s="104">
        <v>10</v>
      </c>
      <c r="R82" s="104">
        <v>9</v>
      </c>
      <c r="S82" s="104">
        <v>5</v>
      </c>
      <c r="T82" s="104">
        <v>1</v>
      </c>
    </row>
    <row r="83" spans="1:20" ht="12.75" x14ac:dyDescent="0.2">
      <c r="A83" s="1" t="s">
        <v>313</v>
      </c>
      <c r="B83" s="1">
        <v>13016</v>
      </c>
      <c r="C83" s="104">
        <v>998</v>
      </c>
      <c r="D83" s="104">
        <v>1143</v>
      </c>
      <c r="E83" s="104">
        <v>1181</v>
      </c>
      <c r="F83" s="104">
        <v>994</v>
      </c>
      <c r="G83" s="104">
        <v>1673</v>
      </c>
      <c r="H83" s="104">
        <v>1461</v>
      </c>
      <c r="I83" s="104">
        <v>1032</v>
      </c>
      <c r="J83" s="104">
        <v>1004</v>
      </c>
      <c r="K83" s="104">
        <v>1138</v>
      </c>
      <c r="L83" s="104">
        <v>845</v>
      </c>
      <c r="M83" s="104">
        <v>842</v>
      </c>
      <c r="N83" s="104">
        <v>647</v>
      </c>
      <c r="O83" s="104">
        <v>381</v>
      </c>
      <c r="P83" s="104">
        <v>161</v>
      </c>
      <c r="Q83" s="104">
        <v>73</v>
      </c>
      <c r="R83" s="104">
        <v>48</v>
      </c>
      <c r="S83" s="104">
        <v>0</v>
      </c>
      <c r="T83" s="104">
        <v>1</v>
      </c>
    </row>
    <row r="84" spans="1:20" ht="12.75" x14ac:dyDescent="0.2">
      <c r="A84" s="1" t="s">
        <v>343</v>
      </c>
      <c r="B84" s="1">
        <v>13031</v>
      </c>
      <c r="C84" s="104">
        <v>0</v>
      </c>
      <c r="D84" s="104">
        <v>0</v>
      </c>
      <c r="E84" s="104">
        <v>0</v>
      </c>
      <c r="F84" s="104">
        <v>0</v>
      </c>
      <c r="G84" s="104">
        <v>0</v>
      </c>
      <c r="H84" s="104">
        <v>0</v>
      </c>
      <c r="I84" s="104">
        <v>0</v>
      </c>
      <c r="J84" s="104">
        <v>0</v>
      </c>
      <c r="K84" s="104">
        <v>0</v>
      </c>
      <c r="L84" s="104">
        <v>0</v>
      </c>
      <c r="M84" s="104">
        <v>0</v>
      </c>
      <c r="N84" s="104">
        <v>0</v>
      </c>
      <c r="O84" s="104">
        <v>0</v>
      </c>
      <c r="P84" s="104">
        <v>0</v>
      </c>
      <c r="Q84" s="104">
        <v>0</v>
      </c>
      <c r="R84" s="104">
        <v>0</v>
      </c>
      <c r="S84" s="104">
        <v>0</v>
      </c>
      <c r="T84" s="104">
        <v>0</v>
      </c>
    </row>
    <row r="85" spans="1:20" ht="12.75" x14ac:dyDescent="0.2">
      <c r="A85" s="1" t="s">
        <v>344</v>
      </c>
      <c r="B85" s="1">
        <v>13036</v>
      </c>
      <c r="C85" s="104">
        <v>0</v>
      </c>
      <c r="D85" s="104">
        <v>0</v>
      </c>
      <c r="E85" s="104">
        <v>0</v>
      </c>
      <c r="F85" s="104">
        <v>0</v>
      </c>
      <c r="G85" s="104">
        <v>0</v>
      </c>
      <c r="H85" s="104">
        <v>0</v>
      </c>
      <c r="I85" s="104">
        <v>0</v>
      </c>
      <c r="J85" s="104">
        <v>0</v>
      </c>
      <c r="K85" s="104">
        <v>0</v>
      </c>
      <c r="L85" s="104">
        <v>0</v>
      </c>
      <c r="M85" s="104">
        <v>0</v>
      </c>
      <c r="N85" s="104">
        <v>0</v>
      </c>
      <c r="O85" s="104">
        <v>0</v>
      </c>
      <c r="P85" s="104">
        <v>0</v>
      </c>
      <c r="Q85" s="104">
        <v>2</v>
      </c>
      <c r="R85" s="104">
        <v>0</v>
      </c>
      <c r="S85" s="104">
        <v>0</v>
      </c>
      <c r="T85" s="104">
        <v>0</v>
      </c>
    </row>
    <row r="86" spans="1:20" ht="12.75" x14ac:dyDescent="0.2">
      <c r="A86" s="1" t="s">
        <v>345</v>
      </c>
      <c r="B86" s="1">
        <v>13042</v>
      </c>
      <c r="C86" s="104">
        <v>0</v>
      </c>
      <c r="D86" s="104">
        <v>0</v>
      </c>
      <c r="E86" s="104">
        <v>0</v>
      </c>
      <c r="F86" s="104">
        <v>0</v>
      </c>
      <c r="G86" s="104">
        <v>0</v>
      </c>
      <c r="H86" s="104">
        <v>0</v>
      </c>
      <c r="I86" s="104">
        <v>0</v>
      </c>
      <c r="J86" s="104">
        <v>0</v>
      </c>
      <c r="K86" s="104">
        <v>0</v>
      </c>
      <c r="L86" s="104">
        <v>0</v>
      </c>
      <c r="M86" s="104">
        <v>0</v>
      </c>
      <c r="N86" s="104">
        <v>1</v>
      </c>
      <c r="O86" s="104">
        <v>1</v>
      </c>
      <c r="P86" s="104">
        <v>0</v>
      </c>
      <c r="Q86" s="104">
        <v>0</v>
      </c>
      <c r="R86" s="104">
        <v>0</v>
      </c>
      <c r="S86" s="104">
        <v>0</v>
      </c>
      <c r="T86" s="104">
        <v>0</v>
      </c>
    </row>
    <row r="87" spans="1:20" ht="12.75" x14ac:dyDescent="0.2">
      <c r="A87" s="1" t="s">
        <v>337</v>
      </c>
      <c r="B87" s="1">
        <v>13044</v>
      </c>
      <c r="C87" s="104">
        <v>0</v>
      </c>
      <c r="D87" s="104">
        <v>0</v>
      </c>
      <c r="E87" s="104">
        <v>0</v>
      </c>
      <c r="F87" s="104">
        <v>0</v>
      </c>
      <c r="G87" s="104">
        <v>0</v>
      </c>
      <c r="H87" s="104">
        <v>0</v>
      </c>
      <c r="I87" s="104">
        <v>0</v>
      </c>
      <c r="J87" s="104">
        <v>0</v>
      </c>
      <c r="K87" s="104">
        <v>0</v>
      </c>
      <c r="L87" s="104">
        <v>0</v>
      </c>
      <c r="M87" s="104">
        <v>0</v>
      </c>
      <c r="N87" s="104">
        <v>0</v>
      </c>
      <c r="O87" s="104">
        <v>1</v>
      </c>
      <c r="P87" s="104">
        <v>0</v>
      </c>
      <c r="Q87" s="104">
        <v>0</v>
      </c>
      <c r="R87" s="104">
        <v>0</v>
      </c>
      <c r="S87" s="104">
        <v>0</v>
      </c>
      <c r="T87" s="104">
        <v>0</v>
      </c>
    </row>
    <row r="88" spans="1:20" ht="12.75" x14ac:dyDescent="0.2">
      <c r="A88" s="1" t="s">
        <v>346</v>
      </c>
      <c r="B88" s="1">
        <v>13043</v>
      </c>
      <c r="C88" s="104">
        <v>0</v>
      </c>
      <c r="D88" s="104">
        <v>0</v>
      </c>
      <c r="E88" s="104">
        <v>0</v>
      </c>
      <c r="F88" s="104">
        <v>0</v>
      </c>
      <c r="G88" s="104">
        <v>0</v>
      </c>
      <c r="H88" s="104">
        <v>0</v>
      </c>
      <c r="I88" s="104">
        <v>0</v>
      </c>
      <c r="J88" s="104">
        <v>0</v>
      </c>
      <c r="K88" s="104">
        <v>0</v>
      </c>
      <c r="L88" s="104">
        <v>0</v>
      </c>
      <c r="M88" s="104">
        <v>0</v>
      </c>
      <c r="N88" s="104">
        <v>0</v>
      </c>
      <c r="O88" s="104">
        <v>0</v>
      </c>
      <c r="P88" s="104">
        <v>0</v>
      </c>
      <c r="Q88" s="104">
        <v>0</v>
      </c>
      <c r="R88" s="104">
        <v>0</v>
      </c>
      <c r="S88" s="104">
        <v>0</v>
      </c>
      <c r="T88" s="104">
        <v>0</v>
      </c>
    </row>
    <row r="89" spans="1:20" ht="12.75" x14ac:dyDescent="0.2">
      <c r="A89" s="1" t="s">
        <v>348</v>
      </c>
      <c r="B89" s="1">
        <v>0</v>
      </c>
      <c r="C89" s="104">
        <v>0</v>
      </c>
      <c r="D89" s="104">
        <v>0</v>
      </c>
      <c r="E89" s="104">
        <v>0</v>
      </c>
      <c r="F89" s="104">
        <v>0</v>
      </c>
      <c r="G89" s="104">
        <v>0</v>
      </c>
      <c r="H89" s="104">
        <v>0</v>
      </c>
      <c r="I89" s="104">
        <v>0</v>
      </c>
      <c r="J89" s="104">
        <v>0</v>
      </c>
      <c r="K89" s="104">
        <v>0</v>
      </c>
      <c r="L89" s="104">
        <v>0</v>
      </c>
      <c r="M89" s="104">
        <v>0</v>
      </c>
      <c r="N89" s="104">
        <v>0</v>
      </c>
      <c r="O89" s="104">
        <v>0</v>
      </c>
      <c r="P89" s="104">
        <v>0</v>
      </c>
      <c r="Q89" s="104">
        <v>0</v>
      </c>
      <c r="R89" s="104">
        <v>0</v>
      </c>
      <c r="S89" s="104">
        <v>0</v>
      </c>
      <c r="T89" s="104">
        <v>0</v>
      </c>
    </row>
    <row r="90" spans="1:20" ht="12.75" x14ac:dyDescent="0.2">
      <c r="A90" s="1" t="s">
        <v>362</v>
      </c>
      <c r="B90" s="1">
        <v>13083</v>
      </c>
      <c r="C90" s="104">
        <v>0</v>
      </c>
      <c r="D90" s="104">
        <v>0</v>
      </c>
      <c r="E90" s="104">
        <v>0</v>
      </c>
      <c r="F90" s="104">
        <v>0</v>
      </c>
      <c r="G90" s="104">
        <v>0</v>
      </c>
      <c r="H90" s="104">
        <v>0</v>
      </c>
      <c r="I90" s="104">
        <v>0</v>
      </c>
      <c r="J90" s="104">
        <v>0</v>
      </c>
      <c r="K90" s="104">
        <v>0</v>
      </c>
      <c r="L90" s="104">
        <v>0</v>
      </c>
      <c r="M90" s="104">
        <v>0</v>
      </c>
      <c r="N90" s="104">
        <v>0</v>
      </c>
      <c r="O90" s="104">
        <v>0</v>
      </c>
      <c r="P90" s="104">
        <v>0</v>
      </c>
      <c r="Q90" s="104">
        <v>0</v>
      </c>
      <c r="R90" s="104">
        <v>0</v>
      </c>
      <c r="S90" s="104">
        <v>0</v>
      </c>
      <c r="T90" s="104">
        <v>0</v>
      </c>
    </row>
    <row r="91" spans="1:20" ht="12.75" x14ac:dyDescent="0.2">
      <c r="A91" s="1" t="s">
        <v>367</v>
      </c>
      <c r="B91" s="1">
        <v>0</v>
      </c>
      <c r="C91" s="104">
        <v>0</v>
      </c>
      <c r="D91" s="104">
        <v>0</v>
      </c>
      <c r="E91" s="104">
        <v>0</v>
      </c>
      <c r="F91" s="104">
        <v>0</v>
      </c>
      <c r="G91" s="104">
        <v>0</v>
      </c>
      <c r="H91" s="104">
        <v>0</v>
      </c>
      <c r="I91" s="104">
        <v>0</v>
      </c>
      <c r="J91" s="104">
        <v>0</v>
      </c>
      <c r="K91" s="104">
        <v>0</v>
      </c>
      <c r="L91" s="104">
        <v>0</v>
      </c>
      <c r="M91" s="104">
        <v>0</v>
      </c>
      <c r="N91" s="104">
        <v>0</v>
      </c>
      <c r="O91" s="104">
        <v>0</v>
      </c>
      <c r="P91" s="104">
        <v>0</v>
      </c>
      <c r="Q91" s="104">
        <v>0</v>
      </c>
      <c r="R91" s="104">
        <v>0</v>
      </c>
      <c r="S91" s="104">
        <v>0</v>
      </c>
      <c r="T91" s="104">
        <v>0</v>
      </c>
    </row>
    <row r="92" spans="1:20" ht="12.75" x14ac:dyDescent="0.2">
      <c r="A92" s="1" t="s">
        <v>339</v>
      </c>
      <c r="B92" s="1">
        <v>13000</v>
      </c>
      <c r="C92" s="104">
        <v>69</v>
      </c>
      <c r="D92" s="104">
        <v>17</v>
      </c>
      <c r="E92" s="104">
        <v>35</v>
      </c>
      <c r="F92" s="104">
        <v>17</v>
      </c>
      <c r="G92" s="104">
        <v>18</v>
      </c>
      <c r="H92" s="104">
        <v>28</v>
      </c>
      <c r="I92" s="104">
        <v>13</v>
      </c>
      <c r="J92" s="104">
        <v>15</v>
      </c>
      <c r="K92" s="104">
        <v>3</v>
      </c>
      <c r="L92" s="104">
        <v>4</v>
      </c>
      <c r="M92" s="104">
        <v>0</v>
      </c>
      <c r="N92" s="104">
        <v>0</v>
      </c>
      <c r="O92" s="104">
        <v>2</v>
      </c>
      <c r="P92" s="104">
        <v>2</v>
      </c>
      <c r="Q92" s="104">
        <v>2</v>
      </c>
      <c r="R92" s="104">
        <v>0</v>
      </c>
      <c r="S92" s="104">
        <v>1</v>
      </c>
      <c r="T92" s="104">
        <v>0</v>
      </c>
    </row>
    <row r="93" spans="1:20" ht="12.75" x14ac:dyDescent="0.2">
      <c r="A93" s="1" t="s">
        <v>368</v>
      </c>
      <c r="B93" s="1">
        <v>13049</v>
      </c>
      <c r="C93" s="104">
        <v>0</v>
      </c>
      <c r="D93" s="104">
        <v>0</v>
      </c>
      <c r="E93" s="104">
        <v>0</v>
      </c>
      <c r="F93" s="104">
        <v>0</v>
      </c>
      <c r="G93" s="104">
        <v>0</v>
      </c>
      <c r="H93" s="104">
        <v>1</v>
      </c>
      <c r="I93" s="104">
        <v>0</v>
      </c>
      <c r="J93" s="104">
        <v>0</v>
      </c>
      <c r="K93" s="104">
        <v>0</v>
      </c>
      <c r="L93" s="104">
        <v>0</v>
      </c>
      <c r="M93" s="104">
        <v>0</v>
      </c>
      <c r="N93" s="104">
        <v>0</v>
      </c>
      <c r="O93" s="104">
        <v>0</v>
      </c>
      <c r="P93" s="104">
        <v>0</v>
      </c>
      <c r="Q93" s="104">
        <v>0</v>
      </c>
      <c r="R93" s="104">
        <v>0</v>
      </c>
      <c r="S93" s="104">
        <v>0</v>
      </c>
      <c r="T93" s="104">
        <v>0</v>
      </c>
    </row>
    <row r="94" spans="1:20" ht="12.75" x14ac:dyDescent="0.2">
      <c r="A94" s="1" t="s">
        <v>333</v>
      </c>
      <c r="B94" s="1">
        <v>13018</v>
      </c>
      <c r="C94" s="104">
        <v>606</v>
      </c>
      <c r="D94" s="104">
        <v>606</v>
      </c>
      <c r="E94" s="104">
        <v>1783</v>
      </c>
      <c r="F94" s="104">
        <v>424</v>
      </c>
      <c r="G94" s="104">
        <v>100</v>
      </c>
      <c r="H94" s="104">
        <v>49</v>
      </c>
      <c r="I94" s="104">
        <v>18</v>
      </c>
      <c r="J94" s="104">
        <v>26</v>
      </c>
      <c r="K94" s="104">
        <v>5</v>
      </c>
      <c r="L94" s="104">
        <v>3</v>
      </c>
      <c r="M94" s="104">
        <v>1</v>
      </c>
      <c r="N94" s="104">
        <v>0</v>
      </c>
      <c r="O94" s="104">
        <v>0</v>
      </c>
      <c r="P94" s="104">
        <v>1</v>
      </c>
      <c r="Q94" s="104">
        <v>0</v>
      </c>
      <c r="R94" s="104">
        <v>0</v>
      </c>
      <c r="S94" s="104">
        <v>0</v>
      </c>
      <c r="T94" s="104">
        <v>0</v>
      </c>
    </row>
    <row r="95" spans="1:20" ht="12.75" x14ac:dyDescent="0.2">
      <c r="A95" s="1" t="s">
        <v>372</v>
      </c>
      <c r="B95" s="1">
        <v>13008</v>
      </c>
      <c r="C95" s="104">
        <v>0</v>
      </c>
      <c r="D95" s="104">
        <v>0</v>
      </c>
      <c r="E95" s="104">
        <v>0</v>
      </c>
      <c r="F95" s="104">
        <v>0</v>
      </c>
      <c r="G95" s="104">
        <v>0</v>
      </c>
      <c r="H95" s="104">
        <v>0</v>
      </c>
      <c r="I95" s="104">
        <v>0</v>
      </c>
      <c r="J95" s="104">
        <v>1</v>
      </c>
      <c r="K95" s="104">
        <v>0</v>
      </c>
      <c r="L95" s="104">
        <v>0</v>
      </c>
      <c r="M95" s="104">
        <v>0</v>
      </c>
      <c r="N95" s="104">
        <v>0</v>
      </c>
      <c r="O95" s="104">
        <v>0</v>
      </c>
      <c r="P95" s="104">
        <v>0</v>
      </c>
      <c r="Q95" s="104">
        <v>0</v>
      </c>
      <c r="R95" s="104">
        <v>0</v>
      </c>
      <c r="S95" s="104">
        <v>0</v>
      </c>
      <c r="T95" s="104">
        <v>0</v>
      </c>
    </row>
    <row r="96" spans="1:20" ht="12.75" x14ac:dyDescent="0.2">
      <c r="A96" s="1" t="s">
        <v>335</v>
      </c>
      <c r="B96" s="1">
        <v>13009</v>
      </c>
      <c r="C96" s="104">
        <v>143</v>
      </c>
      <c r="D96" s="104">
        <v>86</v>
      </c>
      <c r="E96" s="104">
        <v>90</v>
      </c>
      <c r="F96" s="104">
        <v>190</v>
      </c>
      <c r="G96" s="104">
        <v>132</v>
      </c>
      <c r="H96" s="104">
        <v>94</v>
      </c>
      <c r="I96" s="104">
        <v>78</v>
      </c>
      <c r="J96" s="104">
        <v>56</v>
      </c>
      <c r="K96" s="104">
        <v>49</v>
      </c>
      <c r="L96" s="104">
        <v>64</v>
      </c>
      <c r="M96" s="104">
        <v>16</v>
      </c>
      <c r="N96" s="104">
        <v>49</v>
      </c>
      <c r="O96" s="104">
        <v>32</v>
      </c>
      <c r="P96" s="104">
        <v>7</v>
      </c>
      <c r="Q96" s="104">
        <v>0</v>
      </c>
      <c r="R96" s="104">
        <v>1</v>
      </c>
      <c r="S96" s="104">
        <v>0</v>
      </c>
      <c r="T96" s="104">
        <v>0</v>
      </c>
    </row>
    <row r="97" spans="1:20" ht="12.75" x14ac:dyDescent="0.2">
      <c r="A97" s="1" t="s">
        <v>373</v>
      </c>
      <c r="B97" s="1">
        <v>13021</v>
      </c>
      <c r="C97" s="104">
        <v>0</v>
      </c>
      <c r="D97" s="104">
        <v>0</v>
      </c>
      <c r="E97" s="104">
        <v>0</v>
      </c>
      <c r="F97" s="104">
        <v>0</v>
      </c>
      <c r="G97" s="104">
        <v>0</v>
      </c>
      <c r="H97" s="104">
        <v>0</v>
      </c>
      <c r="I97" s="104">
        <v>0</v>
      </c>
      <c r="J97" s="104">
        <v>0</v>
      </c>
      <c r="K97" s="104">
        <v>0</v>
      </c>
      <c r="L97" s="104">
        <v>0</v>
      </c>
      <c r="M97" s="104">
        <v>0</v>
      </c>
      <c r="N97" s="104">
        <v>0</v>
      </c>
      <c r="O97" s="104">
        <v>0</v>
      </c>
      <c r="P97" s="104">
        <v>0</v>
      </c>
      <c r="Q97" s="104">
        <v>0</v>
      </c>
      <c r="R97" s="104">
        <v>0</v>
      </c>
      <c r="S97" s="104">
        <v>0</v>
      </c>
      <c r="T97" s="104">
        <v>0</v>
      </c>
    </row>
    <row r="98" spans="1:20" ht="12.75" x14ac:dyDescent="0.2">
      <c r="A98" s="1" t="s">
        <v>374</v>
      </c>
      <c r="B98" s="1">
        <v>13007</v>
      </c>
      <c r="C98" s="104">
        <v>0</v>
      </c>
      <c r="D98" s="104">
        <v>0</v>
      </c>
      <c r="E98" s="104">
        <v>0</v>
      </c>
      <c r="F98" s="104">
        <v>0</v>
      </c>
      <c r="G98" s="104">
        <v>0</v>
      </c>
      <c r="H98" s="104">
        <v>0</v>
      </c>
      <c r="I98" s="104">
        <v>0</v>
      </c>
      <c r="J98" s="104">
        <v>0</v>
      </c>
      <c r="K98" s="104">
        <v>0</v>
      </c>
      <c r="L98" s="104">
        <v>0</v>
      </c>
      <c r="M98" s="104">
        <v>0</v>
      </c>
      <c r="N98" s="104">
        <v>0</v>
      </c>
      <c r="O98" s="104">
        <v>0</v>
      </c>
      <c r="P98" s="104">
        <v>0</v>
      </c>
      <c r="Q98" s="104">
        <v>0</v>
      </c>
      <c r="R98" s="104">
        <v>0</v>
      </c>
      <c r="S98" s="104">
        <v>0</v>
      </c>
      <c r="T98" s="104">
        <v>0</v>
      </c>
    </row>
    <row r="99" spans="1:20" ht="12.75" x14ac:dyDescent="0.2">
      <c r="A99" s="1" t="s">
        <v>375</v>
      </c>
      <c r="B99" s="1">
        <v>13028</v>
      </c>
      <c r="C99" s="104">
        <v>0</v>
      </c>
      <c r="D99" s="104">
        <v>0</v>
      </c>
      <c r="E99" s="104">
        <v>0</v>
      </c>
      <c r="F99" s="104">
        <v>0</v>
      </c>
      <c r="G99" s="104">
        <v>0</v>
      </c>
      <c r="H99" s="104">
        <v>0</v>
      </c>
      <c r="I99" s="104">
        <v>0</v>
      </c>
      <c r="J99" s="104">
        <v>0</v>
      </c>
      <c r="K99" s="104">
        <v>0</v>
      </c>
      <c r="L99" s="104">
        <v>0</v>
      </c>
      <c r="M99" s="104">
        <v>0</v>
      </c>
      <c r="N99" s="104">
        <v>0</v>
      </c>
      <c r="O99" s="104">
        <v>0</v>
      </c>
      <c r="P99" s="104">
        <v>0</v>
      </c>
      <c r="Q99" s="104">
        <v>0</v>
      </c>
      <c r="R99" s="104">
        <v>0</v>
      </c>
      <c r="S99" s="104">
        <v>0</v>
      </c>
      <c r="T99" s="104">
        <v>0</v>
      </c>
    </row>
    <row r="100" spans="1:20" ht="12.75" x14ac:dyDescent="0.2">
      <c r="A100" s="1" t="s">
        <v>341</v>
      </c>
      <c r="B100" s="1">
        <v>13040</v>
      </c>
      <c r="C100" s="104">
        <v>530</v>
      </c>
      <c r="D100" s="104">
        <v>388</v>
      </c>
      <c r="E100" s="104">
        <v>667</v>
      </c>
      <c r="F100" s="104">
        <v>328</v>
      </c>
      <c r="G100" s="104">
        <v>434</v>
      </c>
      <c r="H100" s="104">
        <v>444</v>
      </c>
      <c r="I100" s="104">
        <v>154</v>
      </c>
      <c r="J100" s="104">
        <v>172</v>
      </c>
      <c r="K100" s="104">
        <v>447</v>
      </c>
      <c r="L100" s="104">
        <v>258</v>
      </c>
      <c r="M100" s="104">
        <v>219</v>
      </c>
      <c r="N100" s="104">
        <v>38</v>
      </c>
      <c r="O100" s="104">
        <v>52</v>
      </c>
      <c r="P100" s="104">
        <v>41</v>
      </c>
      <c r="Q100" s="104">
        <v>18</v>
      </c>
      <c r="R100" s="104">
        <v>2</v>
      </c>
      <c r="S100" s="104">
        <v>2</v>
      </c>
      <c r="T100" s="104">
        <v>0</v>
      </c>
    </row>
    <row r="101" spans="1:20" ht="12.75" x14ac:dyDescent="0.2">
      <c r="A101" s="1" t="s">
        <v>336</v>
      </c>
      <c r="B101" s="1">
        <v>13011</v>
      </c>
      <c r="C101" s="104">
        <v>459</v>
      </c>
      <c r="D101" s="104">
        <v>2025</v>
      </c>
      <c r="E101" s="104">
        <v>758</v>
      </c>
      <c r="F101" s="104">
        <v>55</v>
      </c>
      <c r="G101" s="104">
        <v>26</v>
      </c>
      <c r="H101" s="104">
        <v>131</v>
      </c>
      <c r="I101" s="104">
        <v>136</v>
      </c>
      <c r="J101" s="104">
        <v>133</v>
      </c>
      <c r="K101" s="104">
        <v>14</v>
      </c>
      <c r="L101" s="104">
        <v>6</v>
      </c>
      <c r="M101" s="104">
        <v>1</v>
      </c>
      <c r="N101" s="104">
        <v>2</v>
      </c>
      <c r="O101" s="104">
        <v>2</v>
      </c>
      <c r="P101" s="104">
        <v>2</v>
      </c>
      <c r="Q101" s="104">
        <v>1</v>
      </c>
      <c r="R101" s="104">
        <v>0</v>
      </c>
      <c r="S101" s="104">
        <v>0</v>
      </c>
      <c r="T101" s="104">
        <v>0</v>
      </c>
    </row>
    <row r="102" spans="1:20" ht="12.75" x14ac:dyDescent="0.2">
      <c r="A102" s="1" t="s">
        <v>334</v>
      </c>
      <c r="B102" s="1">
        <v>13006</v>
      </c>
      <c r="C102" s="104">
        <v>1664</v>
      </c>
      <c r="D102" s="104">
        <v>1823</v>
      </c>
      <c r="E102" s="104">
        <v>1649</v>
      </c>
      <c r="F102" s="104">
        <v>1283</v>
      </c>
      <c r="G102" s="104">
        <v>1100</v>
      </c>
      <c r="H102" s="104">
        <v>643</v>
      </c>
      <c r="I102" s="104">
        <v>392</v>
      </c>
      <c r="J102" s="104">
        <v>127</v>
      </c>
      <c r="K102" s="104">
        <v>24</v>
      </c>
      <c r="L102" s="104">
        <v>0</v>
      </c>
      <c r="M102" s="104">
        <v>1</v>
      </c>
      <c r="N102" s="104">
        <v>0</v>
      </c>
      <c r="O102" s="104">
        <v>0</v>
      </c>
      <c r="P102" s="104">
        <v>0</v>
      </c>
      <c r="Q102" s="104">
        <v>0</v>
      </c>
      <c r="R102" s="104">
        <v>0</v>
      </c>
      <c r="S102" s="104">
        <v>1</v>
      </c>
      <c r="T102" s="104">
        <v>0</v>
      </c>
    </row>
    <row r="103" spans="1:20" ht="12.75" x14ac:dyDescent="0.2">
      <c r="A103" s="1" t="s">
        <v>324</v>
      </c>
      <c r="B103" s="1">
        <v>13004</v>
      </c>
      <c r="C103" s="104">
        <v>5</v>
      </c>
      <c r="D103" s="104">
        <v>2</v>
      </c>
      <c r="E103" s="104">
        <v>3</v>
      </c>
      <c r="F103" s="104">
        <v>0</v>
      </c>
      <c r="G103" s="104">
        <v>3</v>
      </c>
      <c r="H103" s="104">
        <v>0</v>
      </c>
      <c r="I103" s="104">
        <v>1</v>
      </c>
      <c r="J103" s="104">
        <v>7</v>
      </c>
      <c r="K103" s="104">
        <v>1</v>
      </c>
      <c r="L103" s="104">
        <v>1</v>
      </c>
      <c r="M103" s="104">
        <v>0</v>
      </c>
      <c r="N103" s="104">
        <v>1</v>
      </c>
      <c r="O103" s="104">
        <v>1</v>
      </c>
      <c r="P103" s="104">
        <v>0</v>
      </c>
      <c r="Q103" s="104">
        <v>0</v>
      </c>
      <c r="R103" s="104">
        <v>0</v>
      </c>
      <c r="S103" s="104">
        <v>0</v>
      </c>
      <c r="T103" s="104">
        <v>0</v>
      </c>
    </row>
    <row r="104" spans="1:20" ht="12.75" x14ac:dyDescent="0.2">
      <c r="A104" s="1" t="s">
        <v>377</v>
      </c>
      <c r="B104" s="1">
        <v>13055</v>
      </c>
      <c r="C104" s="104">
        <v>0</v>
      </c>
      <c r="D104" s="104">
        <v>0</v>
      </c>
      <c r="E104" s="104">
        <v>0</v>
      </c>
      <c r="F104" s="104">
        <v>0</v>
      </c>
      <c r="G104" s="104">
        <v>0</v>
      </c>
      <c r="H104" s="104">
        <v>0</v>
      </c>
      <c r="I104" s="104">
        <v>0</v>
      </c>
      <c r="J104" s="104">
        <v>0</v>
      </c>
      <c r="K104" s="104">
        <v>0</v>
      </c>
      <c r="L104" s="104">
        <v>0</v>
      </c>
      <c r="M104" s="104">
        <v>0</v>
      </c>
      <c r="N104" s="104">
        <v>0</v>
      </c>
      <c r="O104" s="104">
        <v>0</v>
      </c>
      <c r="P104" s="104">
        <v>0</v>
      </c>
      <c r="Q104" s="104">
        <v>0</v>
      </c>
      <c r="R104" s="104">
        <v>0</v>
      </c>
      <c r="S104" s="104">
        <v>0</v>
      </c>
      <c r="T104" s="104">
        <v>0</v>
      </c>
    </row>
    <row r="105" spans="1:20" ht="12.75" x14ac:dyDescent="0.2">
      <c r="A105" s="1" t="s">
        <v>378</v>
      </c>
      <c r="B105" s="1">
        <v>13026</v>
      </c>
      <c r="C105" s="104">
        <v>0</v>
      </c>
      <c r="D105" s="104">
        <v>0</v>
      </c>
      <c r="E105" s="104">
        <v>0</v>
      </c>
      <c r="F105" s="104">
        <v>0</v>
      </c>
      <c r="G105" s="104">
        <v>0</v>
      </c>
      <c r="H105" s="104">
        <v>0</v>
      </c>
      <c r="I105" s="104">
        <v>0</v>
      </c>
      <c r="J105" s="104">
        <v>0</v>
      </c>
      <c r="K105" s="104">
        <v>0</v>
      </c>
      <c r="L105" s="104">
        <v>0</v>
      </c>
      <c r="M105" s="104">
        <v>0</v>
      </c>
      <c r="N105" s="104">
        <v>0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BJ101"/>
  <sheetViews>
    <sheetView zoomScaleNormal="100" workbookViewId="0">
      <pane xSplit="2" ySplit="4" topLeftCell="AK80" activePane="bottomRight" state="frozen"/>
      <selection pane="topRight" activeCell="C1" sqref="C1"/>
      <selection pane="bottomLeft" activeCell="A5" sqref="A5"/>
      <selection pane="bottomRight" activeCell="AM101" sqref="AM101"/>
    </sheetView>
  </sheetViews>
  <sheetFormatPr baseColWidth="10" defaultRowHeight="12" x14ac:dyDescent="0.2"/>
  <cols>
    <col min="1" max="1" width="21.7109375" style="52" customWidth="1"/>
    <col min="2" max="2" width="9.42578125" style="52" customWidth="1"/>
    <col min="3" max="4" width="11.42578125" style="52"/>
    <col min="5" max="63" width="11.42578125" style="52" customWidth="1"/>
    <col min="64" max="16384" width="11.42578125" style="52"/>
  </cols>
  <sheetData>
    <row r="2" spans="1:62" x14ac:dyDescent="0.2">
      <c r="C2" s="52">
        <v>2016</v>
      </c>
      <c r="AM2" s="52" t="s">
        <v>696</v>
      </c>
      <c r="AN2" s="52" t="s">
        <v>697</v>
      </c>
      <c r="AO2" s="52" t="s">
        <v>698</v>
      </c>
      <c r="AP2" s="52">
        <v>2017</v>
      </c>
    </row>
    <row r="3" spans="1:62" x14ac:dyDescent="0.2">
      <c r="C3" s="52">
        <v>1</v>
      </c>
      <c r="F3" s="52">
        <v>2</v>
      </c>
      <c r="I3" s="52">
        <v>3</v>
      </c>
      <c r="L3" s="52">
        <v>4</v>
      </c>
      <c r="O3" s="52">
        <v>5</v>
      </c>
      <c r="R3" s="52">
        <v>6</v>
      </c>
      <c r="U3" s="52">
        <v>7</v>
      </c>
      <c r="X3" s="52">
        <v>8</v>
      </c>
      <c r="AA3" s="52">
        <v>9</v>
      </c>
      <c r="AD3" s="52">
        <v>10</v>
      </c>
      <c r="AG3" s="52">
        <v>11</v>
      </c>
      <c r="AJ3" s="52">
        <v>12</v>
      </c>
      <c r="AP3" s="52">
        <v>1</v>
      </c>
      <c r="AS3" s="52">
        <v>2</v>
      </c>
      <c r="AV3" s="52">
        <v>3</v>
      </c>
      <c r="AY3" s="52">
        <v>4</v>
      </c>
      <c r="BB3" s="52">
        <v>5</v>
      </c>
      <c r="BE3" s="52">
        <v>6</v>
      </c>
      <c r="BH3" s="52">
        <v>7</v>
      </c>
    </row>
    <row r="4" spans="1:62" x14ac:dyDescent="0.2">
      <c r="A4" s="52" t="s">
        <v>153</v>
      </c>
      <c r="B4" s="52" t="s">
        <v>154</v>
      </c>
      <c r="C4" s="52" t="s">
        <v>155</v>
      </c>
      <c r="D4" s="52" t="s">
        <v>156</v>
      </c>
      <c r="E4" s="52" t="s">
        <v>157</v>
      </c>
      <c r="F4" s="52" t="s">
        <v>155</v>
      </c>
      <c r="G4" s="52" t="s">
        <v>156</v>
      </c>
      <c r="H4" s="52" t="s">
        <v>157</v>
      </c>
      <c r="I4" s="52" t="s">
        <v>155</v>
      </c>
      <c r="J4" s="52" t="s">
        <v>156</v>
      </c>
      <c r="K4" s="52" t="s">
        <v>157</v>
      </c>
      <c r="L4" s="52" t="s">
        <v>155</v>
      </c>
      <c r="M4" s="52" t="s">
        <v>156</v>
      </c>
      <c r="N4" s="52" t="s">
        <v>157</v>
      </c>
      <c r="O4" s="52" t="s">
        <v>155</v>
      </c>
      <c r="P4" s="52" t="s">
        <v>156</v>
      </c>
      <c r="Q4" s="52" t="s">
        <v>157</v>
      </c>
      <c r="R4" s="52" t="s">
        <v>155</v>
      </c>
      <c r="S4" s="52" t="s">
        <v>156</v>
      </c>
      <c r="T4" s="52" t="s">
        <v>157</v>
      </c>
      <c r="U4" s="52" t="s">
        <v>155</v>
      </c>
      <c r="V4" s="52" t="s">
        <v>156</v>
      </c>
      <c r="W4" s="52" t="s">
        <v>157</v>
      </c>
      <c r="X4" s="52" t="s">
        <v>155</v>
      </c>
      <c r="Y4" s="52" t="s">
        <v>156</v>
      </c>
      <c r="Z4" s="52" t="s">
        <v>157</v>
      </c>
      <c r="AA4" s="52" t="s">
        <v>155</v>
      </c>
      <c r="AB4" s="52" t="s">
        <v>156</v>
      </c>
      <c r="AC4" s="52" t="s">
        <v>157</v>
      </c>
      <c r="AD4" s="52" t="s">
        <v>155</v>
      </c>
      <c r="AE4" s="52" t="s">
        <v>156</v>
      </c>
      <c r="AF4" s="52" t="s">
        <v>157</v>
      </c>
      <c r="AG4" s="52" t="s">
        <v>155</v>
      </c>
      <c r="AH4" s="52" t="s">
        <v>156</v>
      </c>
      <c r="AI4" s="52" t="s">
        <v>157</v>
      </c>
      <c r="AJ4" s="52" t="s">
        <v>155</v>
      </c>
      <c r="AK4" s="52" t="s">
        <v>156</v>
      </c>
      <c r="AL4" s="52" t="s">
        <v>157</v>
      </c>
      <c r="AP4" s="52" t="s">
        <v>155</v>
      </c>
      <c r="AQ4" s="52" t="s">
        <v>156</v>
      </c>
      <c r="AR4" s="52" t="s">
        <v>157</v>
      </c>
      <c r="AS4" s="52" t="s">
        <v>155</v>
      </c>
      <c r="AT4" s="52" t="s">
        <v>156</v>
      </c>
      <c r="AU4" s="52" t="s">
        <v>157</v>
      </c>
      <c r="AV4" s="52" t="s">
        <v>155</v>
      </c>
      <c r="AW4" s="52" t="s">
        <v>156</v>
      </c>
      <c r="AX4" s="52" t="s">
        <v>157</v>
      </c>
      <c r="AY4" s="52" t="s">
        <v>155</v>
      </c>
      <c r="AZ4" s="52" t="s">
        <v>156</v>
      </c>
      <c r="BA4" s="52" t="s">
        <v>157</v>
      </c>
      <c r="BB4" s="52" t="s">
        <v>155</v>
      </c>
      <c r="BC4" s="52" t="s">
        <v>156</v>
      </c>
      <c r="BD4" s="52" t="s">
        <v>157</v>
      </c>
      <c r="BE4" s="52" t="s">
        <v>155</v>
      </c>
      <c r="BF4" s="52" t="s">
        <v>156</v>
      </c>
      <c r="BG4" s="52" t="s">
        <v>157</v>
      </c>
      <c r="BH4" s="52" t="s">
        <v>155</v>
      </c>
      <c r="BI4" s="52" t="s">
        <v>156</v>
      </c>
      <c r="BJ4" s="52" t="s">
        <v>157</v>
      </c>
    </row>
    <row r="5" spans="1:62" x14ac:dyDescent="0.2">
      <c r="A5" s="52" t="s">
        <v>158</v>
      </c>
      <c r="B5" s="52">
        <v>13085</v>
      </c>
      <c r="C5" s="52">
        <v>-1481.48</v>
      </c>
      <c r="D5" s="54">
        <v>0</v>
      </c>
      <c r="E5" s="52">
        <v>-1481.48</v>
      </c>
      <c r="F5" s="52">
        <v>7427.57</v>
      </c>
      <c r="G5" s="54">
        <v>247.17</v>
      </c>
      <c r="H5" s="52">
        <v>7674.74</v>
      </c>
      <c r="I5" s="52">
        <v>49.02</v>
      </c>
      <c r="J5" s="54">
        <v>219.78</v>
      </c>
      <c r="K5" s="52">
        <v>268.8</v>
      </c>
      <c r="L5" s="52">
        <v>4748.43</v>
      </c>
      <c r="M5" s="54">
        <v>218.79</v>
      </c>
      <c r="N5" s="52">
        <v>4967.22</v>
      </c>
      <c r="O5" s="52">
        <v>3605.98</v>
      </c>
      <c r="P5" s="54">
        <v>190.87</v>
      </c>
      <c r="Q5" s="52">
        <v>3796.85</v>
      </c>
      <c r="R5" s="52">
        <v>5894.67</v>
      </c>
      <c r="S5" s="54">
        <v>645.42000000000007</v>
      </c>
      <c r="T5" s="52">
        <v>6540.09</v>
      </c>
      <c r="U5" s="86">
        <v>10070.18</v>
      </c>
      <c r="V5" s="470">
        <v>638.19000000000005</v>
      </c>
      <c r="W5" s="52">
        <v>10708.37</v>
      </c>
      <c r="X5" s="52">
        <v>9406.84</v>
      </c>
      <c r="Y5" s="54">
        <v>755.13</v>
      </c>
      <c r="Z5" s="52">
        <v>10161.969999999999</v>
      </c>
      <c r="AA5" s="54">
        <v>20286</v>
      </c>
      <c r="AB5" s="54">
        <v>542.28</v>
      </c>
      <c r="AC5" s="52">
        <v>20828.28</v>
      </c>
      <c r="AD5" s="52">
        <v>19594.900000000001</v>
      </c>
      <c r="AE5" s="54">
        <v>856.68</v>
      </c>
      <c r="AF5" s="52">
        <v>20451.580000000002</v>
      </c>
      <c r="AG5" s="52">
        <v>7654.29</v>
      </c>
      <c r="AH5" s="54">
        <v>362.83</v>
      </c>
      <c r="AI5" s="52">
        <v>8017.12</v>
      </c>
      <c r="AJ5" s="52">
        <v>-2841.99</v>
      </c>
      <c r="AK5" s="54">
        <v>811.42000000000007</v>
      </c>
      <c r="AL5" s="52">
        <v>-2030.5699999999997</v>
      </c>
      <c r="AM5" s="52">
        <v>84414.41</v>
      </c>
      <c r="AN5" s="52">
        <v>5488.56</v>
      </c>
      <c r="AO5" s="52">
        <v>89902.97</v>
      </c>
      <c r="AP5" s="52">
        <v>-865.17</v>
      </c>
      <c r="AQ5" s="54">
        <v>233.62</v>
      </c>
      <c r="AR5" s="52">
        <v>-631.54999999999995</v>
      </c>
      <c r="AS5" s="52">
        <v>-239.98</v>
      </c>
      <c r="AT5" s="54">
        <v>178.21</v>
      </c>
      <c r="AU5" s="52">
        <v>-61.769999999999982</v>
      </c>
      <c r="AV5" s="52">
        <v>-1243.5899999999999</v>
      </c>
      <c r="AW5" s="54">
        <v>206.14</v>
      </c>
      <c r="AX5" s="52">
        <v>-1037.4499999999998</v>
      </c>
      <c r="AY5" s="52">
        <v>-535.61</v>
      </c>
      <c r="AZ5" s="54">
        <v>143.19</v>
      </c>
      <c r="BA5" s="52">
        <v>-392.42</v>
      </c>
      <c r="BB5" s="52">
        <v>-607.16</v>
      </c>
      <c r="BC5" s="54">
        <v>125.61</v>
      </c>
      <c r="BD5" s="52">
        <v>-481.54999999999995</v>
      </c>
      <c r="BE5" s="52">
        <v>7513.42</v>
      </c>
      <c r="BF5" s="54">
        <v>293.92</v>
      </c>
      <c r="BG5" s="471">
        <v>7807.34</v>
      </c>
      <c r="BH5" s="471">
        <v>10545.84</v>
      </c>
      <c r="BI5" s="54">
        <v>188.31</v>
      </c>
      <c r="BJ5" s="471">
        <v>10734.15</v>
      </c>
    </row>
    <row r="6" spans="1:62" x14ac:dyDescent="0.2">
      <c r="A6" s="52" t="s">
        <v>159</v>
      </c>
      <c r="B6" s="52">
        <v>13087</v>
      </c>
      <c r="C6" s="52">
        <v>-122.99</v>
      </c>
      <c r="D6" s="54">
        <v>181.24</v>
      </c>
      <c r="E6" s="52">
        <v>58.250000000000014</v>
      </c>
      <c r="F6" s="52">
        <v>-405.64</v>
      </c>
      <c r="G6" s="54">
        <v>518.69999999999993</v>
      </c>
      <c r="H6" s="52">
        <v>113.05999999999995</v>
      </c>
      <c r="I6" s="52">
        <v>-444.41</v>
      </c>
      <c r="J6" s="54">
        <v>786.7</v>
      </c>
      <c r="K6" s="52">
        <v>342.29</v>
      </c>
      <c r="L6" s="52">
        <v>-1043.75</v>
      </c>
      <c r="M6" s="54">
        <v>812.4</v>
      </c>
      <c r="N6" s="52">
        <v>-231.35000000000002</v>
      </c>
      <c r="O6" s="52">
        <v>8646.98</v>
      </c>
      <c r="P6" s="54">
        <v>732</v>
      </c>
      <c r="Q6" s="52">
        <v>9378.98</v>
      </c>
      <c r="R6" s="52">
        <v>9534.35</v>
      </c>
      <c r="S6" s="54">
        <v>865.62</v>
      </c>
      <c r="T6" s="52">
        <v>10399.970000000001</v>
      </c>
      <c r="U6" s="86">
        <v>23487.67</v>
      </c>
      <c r="V6" s="470">
        <v>1279.26</v>
      </c>
      <c r="W6" s="52">
        <v>24766.929999999997</v>
      </c>
      <c r="X6" s="52">
        <v>7029.9</v>
      </c>
      <c r="Y6" s="54">
        <v>1630.85</v>
      </c>
      <c r="Z6" s="52">
        <v>8660.75</v>
      </c>
      <c r="AA6" s="54">
        <v>14018.49</v>
      </c>
      <c r="AB6" s="54">
        <v>1051.5899999999999</v>
      </c>
      <c r="AC6" s="52">
        <v>15070.08</v>
      </c>
      <c r="AD6" s="52">
        <v>17759.759999999998</v>
      </c>
      <c r="AE6" s="54">
        <v>1290.93</v>
      </c>
      <c r="AF6" s="52">
        <v>19050.689999999999</v>
      </c>
      <c r="AG6" s="52">
        <v>5682.78</v>
      </c>
      <c r="AH6" s="54">
        <v>714.38</v>
      </c>
      <c r="AI6" s="52">
        <v>6397.16</v>
      </c>
      <c r="AJ6" s="52">
        <v>4228.0200000000004</v>
      </c>
      <c r="AK6" s="54">
        <v>1575.2199999999998</v>
      </c>
      <c r="AL6" s="52">
        <v>5803.24</v>
      </c>
      <c r="AM6" s="52">
        <v>88371.16</v>
      </c>
      <c r="AN6" s="52">
        <v>11438.89</v>
      </c>
      <c r="AO6" s="52">
        <v>99810.05</v>
      </c>
      <c r="AP6" s="52">
        <v>-2152.1799999999998</v>
      </c>
      <c r="AQ6" s="54">
        <v>114.85000000000001</v>
      </c>
      <c r="AR6" s="52">
        <v>-2037.33</v>
      </c>
      <c r="AS6" s="52">
        <v>-454.78</v>
      </c>
      <c r="AT6" s="54">
        <v>215.94</v>
      </c>
      <c r="AU6" s="52">
        <v>-238.83999999999997</v>
      </c>
      <c r="AV6" s="52">
        <v>-568.21</v>
      </c>
      <c r="AW6" s="54">
        <v>182.33</v>
      </c>
      <c r="AX6" s="52">
        <v>-385.88</v>
      </c>
      <c r="AY6" s="52">
        <v>-1147.96</v>
      </c>
      <c r="AZ6" s="54">
        <v>455.61</v>
      </c>
      <c r="BA6" s="52">
        <v>-692.35</v>
      </c>
      <c r="BB6" s="52">
        <v>11537.53</v>
      </c>
      <c r="BC6" s="54">
        <v>579.32999999999993</v>
      </c>
      <c r="BD6" s="52">
        <v>12116.86</v>
      </c>
      <c r="BE6" s="52">
        <v>9511.33</v>
      </c>
      <c r="BF6" s="54">
        <v>516.23</v>
      </c>
      <c r="BG6" s="471">
        <v>10027.56</v>
      </c>
      <c r="BH6" s="471">
        <v>7852.71</v>
      </c>
      <c r="BI6" s="54">
        <v>370.98</v>
      </c>
      <c r="BJ6" s="471">
        <v>8223.69</v>
      </c>
    </row>
    <row r="7" spans="1:62" x14ac:dyDescent="0.2">
      <c r="A7" s="52" t="s">
        <v>160</v>
      </c>
      <c r="B7" s="52">
        <v>13069</v>
      </c>
      <c r="C7" s="52">
        <v>-5943.42</v>
      </c>
      <c r="D7" s="54">
        <v>872.48</v>
      </c>
      <c r="E7" s="52">
        <v>-5070.9400000000005</v>
      </c>
      <c r="F7" s="52">
        <v>37490.65</v>
      </c>
      <c r="G7" s="54">
        <v>3418.49</v>
      </c>
      <c r="H7" s="52">
        <v>40909.14</v>
      </c>
      <c r="I7" s="52">
        <v>36204.76</v>
      </c>
      <c r="J7" s="54">
        <v>5479.67</v>
      </c>
      <c r="K7" s="52">
        <v>41684.43</v>
      </c>
      <c r="L7" s="52">
        <v>21162.48</v>
      </c>
      <c r="M7" s="54">
        <v>2704.75</v>
      </c>
      <c r="N7" s="52">
        <v>23867.23</v>
      </c>
      <c r="O7" s="52">
        <v>30942.46</v>
      </c>
      <c r="P7" s="54">
        <v>1489.14</v>
      </c>
      <c r="Q7" s="52">
        <v>32431.599999999999</v>
      </c>
      <c r="R7" s="52">
        <v>12831.55</v>
      </c>
      <c r="S7" s="54">
        <v>3803.8</v>
      </c>
      <c r="T7" s="52">
        <v>16635.349999999999</v>
      </c>
      <c r="U7" s="86">
        <v>-2447.2800000000002</v>
      </c>
      <c r="V7" s="470">
        <v>0</v>
      </c>
      <c r="W7" s="52">
        <v>-2447.2800000000002</v>
      </c>
      <c r="X7" s="52">
        <v>68362.8</v>
      </c>
      <c r="Y7" s="54">
        <v>3589.3</v>
      </c>
      <c r="Z7" s="52">
        <v>71952.100000000006</v>
      </c>
      <c r="AA7" s="54">
        <v>34076.6</v>
      </c>
      <c r="AB7" s="54">
        <v>4242.3500000000004</v>
      </c>
      <c r="AC7" s="52">
        <v>38318.949999999997</v>
      </c>
      <c r="AD7" s="52">
        <v>19196.810000000001</v>
      </c>
      <c r="AE7" s="54">
        <v>2200.98</v>
      </c>
      <c r="AF7" s="52">
        <v>21397.79</v>
      </c>
      <c r="AG7" s="52">
        <v>37283.57</v>
      </c>
      <c r="AH7" s="54">
        <v>1278.4100000000001</v>
      </c>
      <c r="AI7" s="52">
        <v>38561.980000000003</v>
      </c>
      <c r="AJ7" s="52">
        <v>30644.13</v>
      </c>
      <c r="AK7" s="54">
        <v>3070.51</v>
      </c>
      <c r="AL7" s="52">
        <v>33714.639999999999</v>
      </c>
      <c r="AM7" s="52">
        <v>319805.11</v>
      </c>
      <c r="AN7" s="52">
        <v>32149.879999999997</v>
      </c>
      <c r="AO7" s="52">
        <v>351954.99</v>
      </c>
      <c r="AP7" s="52">
        <v>12236.64</v>
      </c>
      <c r="AQ7" s="54">
        <v>0</v>
      </c>
      <c r="AR7" s="52">
        <v>12236.64</v>
      </c>
      <c r="AS7" s="52">
        <v>27189.02</v>
      </c>
      <c r="AT7" s="54">
        <v>1830.4</v>
      </c>
      <c r="AU7" s="52">
        <v>29019.420000000002</v>
      </c>
      <c r="AV7" s="52">
        <v>35631.5</v>
      </c>
      <c r="AW7" s="54">
        <v>2121.2800000000002</v>
      </c>
      <c r="AX7" s="52">
        <v>37752.78</v>
      </c>
      <c r="AY7" s="52">
        <v>32029.98</v>
      </c>
      <c r="AZ7" s="54">
        <v>1609.74</v>
      </c>
      <c r="BA7" s="52">
        <v>33639.72</v>
      </c>
      <c r="BB7" s="52">
        <v>33211.81</v>
      </c>
      <c r="BC7" s="54">
        <v>1782.3500000000001</v>
      </c>
      <c r="BD7" s="52">
        <v>34994.159999999996</v>
      </c>
      <c r="BE7" s="52">
        <v>28806.81</v>
      </c>
      <c r="BF7" s="54">
        <v>2185.9500000000003</v>
      </c>
      <c r="BG7" s="471">
        <v>30992.760000000002</v>
      </c>
      <c r="BH7" s="471">
        <v>20981.24</v>
      </c>
      <c r="BI7" s="54">
        <v>1366.5800000000002</v>
      </c>
      <c r="BJ7" s="471">
        <v>22347.820000000003</v>
      </c>
    </row>
    <row r="8" spans="1:62" x14ac:dyDescent="0.2">
      <c r="A8" s="52" t="s">
        <v>161</v>
      </c>
      <c r="B8" s="52">
        <v>13051</v>
      </c>
      <c r="C8" s="52">
        <v>8617.35</v>
      </c>
      <c r="D8" s="54">
        <v>733.6</v>
      </c>
      <c r="E8" s="52">
        <v>9350.9500000000007</v>
      </c>
      <c r="F8" s="52">
        <v>12772.25</v>
      </c>
      <c r="G8" s="54">
        <v>1101.44</v>
      </c>
      <c r="H8" s="52">
        <v>13873.69</v>
      </c>
      <c r="I8" s="52">
        <v>1556.68</v>
      </c>
      <c r="J8" s="54">
        <v>307.99</v>
      </c>
      <c r="K8" s="52">
        <v>1864.67</v>
      </c>
      <c r="L8" s="52">
        <v>12243.29</v>
      </c>
      <c r="M8" s="54">
        <v>2024.02</v>
      </c>
      <c r="N8" s="52">
        <v>14267.310000000001</v>
      </c>
      <c r="O8" s="52">
        <v>19257.240000000002</v>
      </c>
      <c r="P8" s="54">
        <v>1830.42</v>
      </c>
      <c r="Q8" s="52">
        <v>21087.660000000003</v>
      </c>
      <c r="R8" s="52">
        <v>10840.6</v>
      </c>
      <c r="S8" s="54">
        <v>1876.71</v>
      </c>
      <c r="T8" s="52">
        <v>12717.310000000001</v>
      </c>
      <c r="U8" s="86">
        <v>17441.29</v>
      </c>
      <c r="V8" s="470">
        <v>1489.28</v>
      </c>
      <c r="W8" s="52">
        <v>18930.57</v>
      </c>
      <c r="X8" s="52">
        <v>11365.52</v>
      </c>
      <c r="Y8" s="54">
        <v>2273.59</v>
      </c>
      <c r="Z8" s="52">
        <v>13639.11</v>
      </c>
      <c r="AA8" s="54">
        <v>17084.97</v>
      </c>
      <c r="AB8" s="54">
        <v>1638.66</v>
      </c>
      <c r="AC8" s="52">
        <v>18723.63</v>
      </c>
      <c r="AD8" s="52">
        <v>18413.259999999998</v>
      </c>
      <c r="AE8" s="54">
        <v>1613.4799999999998</v>
      </c>
      <c r="AF8" s="52">
        <v>20026.739999999998</v>
      </c>
      <c r="AG8" s="52">
        <v>6796.01</v>
      </c>
      <c r="AH8" s="54">
        <v>61.73</v>
      </c>
      <c r="AI8" s="52">
        <v>6857.74</v>
      </c>
      <c r="AJ8" s="52">
        <v>13787.73</v>
      </c>
      <c r="AK8" s="54">
        <v>2091.96</v>
      </c>
      <c r="AL8" s="52">
        <v>15879.689999999999</v>
      </c>
      <c r="AM8" s="52">
        <v>150176.19</v>
      </c>
      <c r="AN8" s="52">
        <v>17042.879999999997</v>
      </c>
      <c r="AO8" s="52">
        <v>167219.07</v>
      </c>
      <c r="AP8" s="52">
        <v>10288.450000000001</v>
      </c>
      <c r="AQ8" s="54">
        <v>1034.08</v>
      </c>
      <c r="AR8" s="52">
        <v>11322.53</v>
      </c>
      <c r="AS8" s="52">
        <v>12807.61</v>
      </c>
      <c r="AT8" s="54">
        <v>1536.48</v>
      </c>
      <c r="AU8" s="52">
        <v>14344.09</v>
      </c>
      <c r="AV8" s="52">
        <v>738.1</v>
      </c>
      <c r="AW8" s="54">
        <v>1117.44</v>
      </c>
      <c r="AX8" s="52">
        <v>1855.54</v>
      </c>
      <c r="AY8" s="52">
        <v>-1399.66</v>
      </c>
      <c r="AZ8" s="54">
        <v>1169.82</v>
      </c>
      <c r="BA8" s="52">
        <v>-229.84000000000015</v>
      </c>
      <c r="BB8" s="52">
        <v>29450.080000000002</v>
      </c>
      <c r="BC8" s="54">
        <v>244.18</v>
      </c>
      <c r="BD8" s="52">
        <v>29694.260000000002</v>
      </c>
      <c r="BE8" s="52">
        <v>9499.4599999999991</v>
      </c>
      <c r="BF8" s="54">
        <v>3054.77</v>
      </c>
      <c r="BG8" s="471">
        <v>12554.23</v>
      </c>
      <c r="BH8" s="471">
        <v>24151.45</v>
      </c>
      <c r="BI8" s="54">
        <v>1768.93</v>
      </c>
      <c r="BJ8" s="471">
        <v>25920.38</v>
      </c>
    </row>
    <row r="9" spans="1:62" x14ac:dyDescent="0.2">
      <c r="A9" s="52" t="s">
        <v>162</v>
      </c>
      <c r="B9" s="52">
        <v>13065</v>
      </c>
      <c r="C9" s="52">
        <v>-1795.98</v>
      </c>
      <c r="D9" s="54">
        <v>1230.43</v>
      </c>
      <c r="E9" s="52">
        <v>-565.54999999999995</v>
      </c>
      <c r="F9" s="52">
        <v>10354.549999999999</v>
      </c>
      <c r="G9" s="54">
        <v>2093.09</v>
      </c>
      <c r="H9" s="52">
        <v>12447.64</v>
      </c>
      <c r="I9" s="52">
        <v>14803.29</v>
      </c>
      <c r="J9" s="54">
        <v>1649.18</v>
      </c>
      <c r="K9" s="52">
        <v>16452.47</v>
      </c>
      <c r="L9" s="52">
        <v>2787.92</v>
      </c>
      <c r="M9" s="54">
        <v>2592.9</v>
      </c>
      <c r="N9" s="52">
        <v>5380.82</v>
      </c>
      <c r="O9" s="52">
        <v>-1481.12</v>
      </c>
      <c r="P9" s="54">
        <v>0</v>
      </c>
      <c r="Q9" s="52">
        <v>-1481.12</v>
      </c>
      <c r="R9" s="52">
        <v>-909.2</v>
      </c>
      <c r="S9" s="54">
        <v>807.54</v>
      </c>
      <c r="T9" s="52">
        <v>-101.66000000000008</v>
      </c>
      <c r="U9" s="86">
        <v>-476.68</v>
      </c>
      <c r="V9" s="470">
        <v>0</v>
      </c>
      <c r="W9" s="52">
        <v>-476.68</v>
      </c>
      <c r="X9" s="52">
        <v>-1730.83</v>
      </c>
      <c r="Y9" s="54">
        <v>0</v>
      </c>
      <c r="Z9" s="52">
        <v>-1730.83</v>
      </c>
      <c r="AA9" s="54">
        <v>-1066.31</v>
      </c>
      <c r="AB9" s="54">
        <v>0</v>
      </c>
      <c r="AC9" s="52">
        <v>-1066.31</v>
      </c>
      <c r="AD9" s="52">
        <v>-49.28</v>
      </c>
      <c r="AE9" s="54">
        <v>0</v>
      </c>
      <c r="AF9" s="52">
        <v>-49.28</v>
      </c>
      <c r="AG9" s="52">
        <v>0</v>
      </c>
      <c r="AH9" s="54">
        <v>0</v>
      </c>
      <c r="AI9" s="52">
        <v>0</v>
      </c>
      <c r="AJ9" s="52">
        <v>0</v>
      </c>
      <c r="AK9" s="54">
        <v>0</v>
      </c>
      <c r="AL9" s="52">
        <v>0</v>
      </c>
      <c r="AM9" s="52">
        <v>20436.359999999997</v>
      </c>
      <c r="AN9" s="52">
        <v>8373.14</v>
      </c>
      <c r="AO9" s="52">
        <v>28809.500000000004</v>
      </c>
      <c r="AP9" s="52">
        <v>-21.61</v>
      </c>
      <c r="AQ9" s="54">
        <v>0</v>
      </c>
      <c r="AR9" s="52">
        <v>-21.61</v>
      </c>
      <c r="AS9" s="52">
        <v>0</v>
      </c>
      <c r="AT9" s="54">
        <v>0</v>
      </c>
      <c r="AU9" s="52">
        <v>0</v>
      </c>
      <c r="AV9" s="52">
        <v>-12.28</v>
      </c>
      <c r="AW9" s="54">
        <v>0</v>
      </c>
      <c r="AX9" s="52">
        <v>-12.28</v>
      </c>
      <c r="AY9" s="52">
        <v>0</v>
      </c>
      <c r="AZ9" s="54">
        <v>0</v>
      </c>
      <c r="BA9" s="52">
        <v>0</v>
      </c>
      <c r="BB9" s="52">
        <v>-61.4</v>
      </c>
      <c r="BC9" s="54">
        <v>0</v>
      </c>
      <c r="BD9" s="52">
        <v>-61.4</v>
      </c>
      <c r="BE9" s="52">
        <v>-539.92999999999995</v>
      </c>
      <c r="BF9" s="54">
        <v>0</v>
      </c>
      <c r="BG9" s="471">
        <v>-539.92999999999995</v>
      </c>
      <c r="BH9" s="471">
        <v>-299.58999999999997</v>
      </c>
      <c r="BI9" s="54">
        <v>0</v>
      </c>
      <c r="BJ9" s="471">
        <v>-299.58999999999997</v>
      </c>
    </row>
    <row r="10" spans="1:62" x14ac:dyDescent="0.2">
      <c r="A10" s="52" t="s">
        <v>163</v>
      </c>
      <c r="B10" s="52">
        <v>13145</v>
      </c>
      <c r="C10" s="52">
        <v>0</v>
      </c>
      <c r="D10" s="54">
        <v>0</v>
      </c>
      <c r="E10" s="52">
        <v>0</v>
      </c>
      <c r="F10" s="52">
        <v>0</v>
      </c>
      <c r="G10" s="54">
        <v>0</v>
      </c>
      <c r="H10" s="52">
        <v>0</v>
      </c>
      <c r="I10" s="52">
        <v>0</v>
      </c>
      <c r="J10" s="54">
        <v>0</v>
      </c>
      <c r="K10" s="52">
        <v>0</v>
      </c>
      <c r="L10" s="52">
        <v>0</v>
      </c>
      <c r="M10" s="54">
        <v>0</v>
      </c>
      <c r="N10" s="52">
        <v>0</v>
      </c>
      <c r="O10" s="52">
        <v>87391.2</v>
      </c>
      <c r="P10" s="54">
        <v>503.43</v>
      </c>
      <c r="Q10" s="52">
        <v>87894.62999999999</v>
      </c>
      <c r="R10" s="52">
        <v>7829.41</v>
      </c>
      <c r="S10" s="54">
        <v>3020.11</v>
      </c>
      <c r="T10" s="52">
        <v>10849.52</v>
      </c>
      <c r="U10" s="86">
        <v>2526.7199999999998</v>
      </c>
      <c r="V10" s="470">
        <v>5322.99</v>
      </c>
      <c r="W10" s="52">
        <v>7849.7099999999991</v>
      </c>
      <c r="X10" s="52">
        <v>-1357.66</v>
      </c>
      <c r="Y10" s="54">
        <v>2508.66</v>
      </c>
      <c r="Z10" s="52">
        <v>1150.9999999999998</v>
      </c>
      <c r="AA10" s="54">
        <v>11620.23</v>
      </c>
      <c r="AB10" s="54">
        <v>2291.85</v>
      </c>
      <c r="AC10" s="52">
        <v>13912.08</v>
      </c>
      <c r="AD10" s="52">
        <v>15592.48</v>
      </c>
      <c r="AE10" s="54">
        <v>1911.42</v>
      </c>
      <c r="AF10" s="52">
        <v>17503.900000000001</v>
      </c>
      <c r="AG10" s="52">
        <v>19783</v>
      </c>
      <c r="AH10" s="54">
        <v>242.59</v>
      </c>
      <c r="AI10" s="52">
        <v>20025.59</v>
      </c>
      <c r="AJ10" s="52">
        <v>20933.439999999999</v>
      </c>
      <c r="AK10" s="54">
        <v>2554.37</v>
      </c>
      <c r="AL10" s="52">
        <v>23487.809999999998</v>
      </c>
      <c r="AM10" s="52">
        <v>164318.82</v>
      </c>
      <c r="AN10" s="52">
        <v>18355.419999999998</v>
      </c>
      <c r="AO10" s="52">
        <v>182674.24</v>
      </c>
      <c r="AP10" s="52">
        <v>595.39</v>
      </c>
      <c r="AQ10" s="54">
        <v>1002.8299999999999</v>
      </c>
      <c r="AR10" s="52">
        <v>1598.2199999999998</v>
      </c>
      <c r="AS10" s="52">
        <v>20788.13</v>
      </c>
      <c r="AT10" s="54">
        <v>1517.9</v>
      </c>
      <c r="AU10" s="52">
        <v>22306.030000000002</v>
      </c>
      <c r="AV10" s="52">
        <v>8921.57</v>
      </c>
      <c r="AW10" s="54">
        <v>9284.65</v>
      </c>
      <c r="AX10" s="52">
        <v>18206.22</v>
      </c>
      <c r="AY10" s="52">
        <v>27859</v>
      </c>
      <c r="AZ10" s="54">
        <v>992.94999999999993</v>
      </c>
      <c r="BA10" s="52">
        <v>28851.95</v>
      </c>
      <c r="BB10" s="52">
        <v>-1137.3399999999999</v>
      </c>
      <c r="BC10" s="54">
        <v>1203.57</v>
      </c>
      <c r="BD10" s="52">
        <v>66.230000000000018</v>
      </c>
      <c r="BE10" s="52">
        <v>6925.8</v>
      </c>
      <c r="BF10" s="54">
        <v>1994.52</v>
      </c>
      <c r="BG10" s="471">
        <v>8920.32</v>
      </c>
      <c r="BH10" s="471">
        <v>16147.33</v>
      </c>
      <c r="BI10" s="54">
        <v>1689.3200000000002</v>
      </c>
      <c r="BJ10" s="471">
        <v>17836.650000000001</v>
      </c>
    </row>
    <row r="11" spans="1:62" x14ac:dyDescent="0.2">
      <c r="A11" s="52" t="s">
        <v>164</v>
      </c>
      <c r="B11" s="52">
        <v>13023</v>
      </c>
      <c r="C11" s="52">
        <v>-181.25</v>
      </c>
      <c r="D11" s="54">
        <v>231.8</v>
      </c>
      <c r="E11" s="52">
        <v>50.550000000000011</v>
      </c>
      <c r="F11" s="52">
        <v>-478.86</v>
      </c>
      <c r="G11" s="54">
        <v>325.87</v>
      </c>
      <c r="H11" s="52">
        <v>-152.99</v>
      </c>
      <c r="I11" s="52">
        <v>3403.54</v>
      </c>
      <c r="J11" s="54">
        <v>467.59</v>
      </c>
      <c r="K11" s="52">
        <v>3871.13</v>
      </c>
      <c r="L11" s="52">
        <v>3519.97</v>
      </c>
      <c r="M11" s="54">
        <v>428.52000000000004</v>
      </c>
      <c r="N11" s="52">
        <v>3948.49</v>
      </c>
      <c r="O11" s="52">
        <v>4451.47</v>
      </c>
      <c r="P11" s="54">
        <v>412.83</v>
      </c>
      <c r="Q11" s="52">
        <v>4864.3</v>
      </c>
      <c r="R11" s="52">
        <v>4358.2299999999996</v>
      </c>
      <c r="S11" s="54">
        <v>571.22</v>
      </c>
      <c r="T11" s="52">
        <v>4929.45</v>
      </c>
      <c r="U11" s="86">
        <v>6775.61</v>
      </c>
      <c r="V11" s="470">
        <v>351.29</v>
      </c>
      <c r="W11" s="52">
        <v>7126.9</v>
      </c>
      <c r="X11" s="52">
        <v>6402.42</v>
      </c>
      <c r="Y11" s="54">
        <v>623.91999999999996</v>
      </c>
      <c r="Z11" s="52">
        <v>7026.34</v>
      </c>
      <c r="AA11" s="54">
        <v>7234.85</v>
      </c>
      <c r="AB11" s="54">
        <v>484.69</v>
      </c>
      <c r="AC11" s="52">
        <v>7719.54</v>
      </c>
      <c r="AD11" s="52">
        <v>4817.45</v>
      </c>
      <c r="AE11" s="54">
        <v>421.75</v>
      </c>
      <c r="AF11" s="52">
        <v>5239.2</v>
      </c>
      <c r="AG11" s="52">
        <v>12881.55</v>
      </c>
      <c r="AH11" s="54">
        <v>636.39</v>
      </c>
      <c r="AI11" s="52">
        <v>13517.939999999999</v>
      </c>
      <c r="AJ11" s="52">
        <v>5725.91</v>
      </c>
      <c r="AK11" s="54">
        <v>1059.18</v>
      </c>
      <c r="AL11" s="52">
        <v>6785.09</v>
      </c>
      <c r="AM11" s="52">
        <v>58910.89</v>
      </c>
      <c r="AN11" s="52">
        <v>6015.05</v>
      </c>
      <c r="AO11" s="52">
        <v>64925.939999999988</v>
      </c>
      <c r="AP11" s="52">
        <v>1965.78</v>
      </c>
      <c r="AQ11" s="54">
        <v>18.54</v>
      </c>
      <c r="AR11" s="52">
        <v>1984.32</v>
      </c>
      <c r="AS11" s="52">
        <v>-1022.5</v>
      </c>
      <c r="AT11" s="54">
        <v>417.69</v>
      </c>
      <c r="AU11" s="52">
        <v>-604.80999999999995</v>
      </c>
      <c r="AV11" s="52">
        <v>-1316.48</v>
      </c>
      <c r="AW11" s="54">
        <v>619.71</v>
      </c>
      <c r="AX11" s="52">
        <v>-696.77</v>
      </c>
      <c r="AY11" s="52">
        <v>-553.27</v>
      </c>
      <c r="AZ11" s="54">
        <v>68.25</v>
      </c>
      <c r="BA11" s="52">
        <v>-485.02</v>
      </c>
      <c r="BB11" s="52">
        <v>10656.32</v>
      </c>
      <c r="BC11" s="54">
        <v>8.6999999999999993</v>
      </c>
      <c r="BD11" s="52">
        <v>10665.02</v>
      </c>
      <c r="BE11" s="52">
        <v>11612.84</v>
      </c>
      <c r="BF11" s="54">
        <v>918.18000000000006</v>
      </c>
      <c r="BG11" s="471">
        <v>12531.02</v>
      </c>
      <c r="BH11" s="471">
        <v>14454.32</v>
      </c>
      <c r="BI11" s="54">
        <v>394.54</v>
      </c>
      <c r="BJ11" s="471">
        <v>14848.86</v>
      </c>
    </row>
    <row r="12" spans="1:62" x14ac:dyDescent="0.2">
      <c r="A12" s="52" t="s">
        <v>165</v>
      </c>
      <c r="B12" s="52">
        <v>13015</v>
      </c>
      <c r="C12" s="52">
        <v>-559.47</v>
      </c>
      <c r="D12" s="54">
        <v>293.75</v>
      </c>
      <c r="E12" s="52">
        <v>-265.72000000000003</v>
      </c>
      <c r="F12" s="52">
        <v>5683.4</v>
      </c>
      <c r="G12" s="54">
        <v>240.08999999999997</v>
      </c>
      <c r="H12" s="52">
        <v>5923.49</v>
      </c>
      <c r="I12" s="52">
        <v>4111.7700000000004</v>
      </c>
      <c r="J12" s="54">
        <v>289.12</v>
      </c>
      <c r="K12" s="52">
        <v>4400.8900000000003</v>
      </c>
      <c r="L12" s="52">
        <v>1024.07</v>
      </c>
      <c r="M12" s="54">
        <v>350.17</v>
      </c>
      <c r="N12" s="52">
        <v>1374.24</v>
      </c>
      <c r="O12" s="52">
        <v>5926.7</v>
      </c>
      <c r="P12" s="54">
        <v>337.49</v>
      </c>
      <c r="Q12" s="52">
        <v>6264.19</v>
      </c>
      <c r="R12" s="52">
        <v>5553.82</v>
      </c>
      <c r="S12" s="54">
        <v>469.43</v>
      </c>
      <c r="T12" s="52">
        <v>6023.25</v>
      </c>
      <c r="U12" s="86">
        <v>1689.66</v>
      </c>
      <c r="V12" s="470">
        <v>426.98</v>
      </c>
      <c r="W12" s="52">
        <v>2116.6400000000003</v>
      </c>
      <c r="X12" s="52">
        <v>3450.62</v>
      </c>
      <c r="Y12" s="54">
        <v>417.57</v>
      </c>
      <c r="Z12" s="52">
        <v>3868.19</v>
      </c>
      <c r="AA12" s="54">
        <v>7436.67</v>
      </c>
      <c r="AB12" s="54">
        <v>465.07</v>
      </c>
      <c r="AC12" s="52">
        <v>7901.74</v>
      </c>
      <c r="AD12" s="52">
        <v>4339.42</v>
      </c>
      <c r="AE12" s="54">
        <v>405.91999999999996</v>
      </c>
      <c r="AF12" s="52">
        <v>4745.34</v>
      </c>
      <c r="AG12" s="52">
        <v>6400.09</v>
      </c>
      <c r="AH12" s="54">
        <v>299.14999999999998</v>
      </c>
      <c r="AI12" s="52">
        <v>6699.24</v>
      </c>
      <c r="AJ12" s="52">
        <v>3970.91</v>
      </c>
      <c r="AK12" s="54">
        <v>1332.3899999999999</v>
      </c>
      <c r="AL12" s="52">
        <v>5303.2999999999993</v>
      </c>
      <c r="AM12" s="52">
        <v>49027.66</v>
      </c>
      <c r="AN12" s="52">
        <v>5327.13</v>
      </c>
      <c r="AO12" s="52">
        <v>54354.789999999994</v>
      </c>
      <c r="AP12" s="52">
        <v>142.91999999999999</v>
      </c>
      <c r="AQ12" s="54">
        <v>296.37</v>
      </c>
      <c r="AR12" s="52">
        <v>439.28999999999996</v>
      </c>
      <c r="AS12" s="52">
        <v>5954.35</v>
      </c>
      <c r="AT12" s="54">
        <v>424.32</v>
      </c>
      <c r="AU12" s="52">
        <v>6378.67</v>
      </c>
      <c r="AV12" s="52">
        <v>2823.13</v>
      </c>
      <c r="AW12" s="54">
        <v>271.45</v>
      </c>
      <c r="AX12" s="52">
        <v>3094.58</v>
      </c>
      <c r="AY12" s="52">
        <v>4936.6400000000003</v>
      </c>
      <c r="AZ12" s="54">
        <v>281.59999999999997</v>
      </c>
      <c r="BA12" s="52">
        <v>5218.2400000000007</v>
      </c>
      <c r="BB12" s="52">
        <v>4456.26</v>
      </c>
      <c r="BC12" s="54">
        <v>252.90999999999997</v>
      </c>
      <c r="BD12" s="52">
        <v>4709.17</v>
      </c>
      <c r="BE12" s="52">
        <v>4091.47</v>
      </c>
      <c r="BF12" s="54">
        <v>413.5</v>
      </c>
      <c r="BG12" s="471">
        <v>4504.9699999999993</v>
      </c>
      <c r="BH12" s="471">
        <v>4258.8100000000004</v>
      </c>
      <c r="BI12" s="54">
        <v>298.8</v>
      </c>
      <c r="BJ12" s="471">
        <v>4557.6100000000006</v>
      </c>
    </row>
    <row r="13" spans="1:62" x14ac:dyDescent="0.2">
      <c r="A13" s="52" t="s">
        <v>166</v>
      </c>
      <c r="B13" s="52">
        <v>13132</v>
      </c>
      <c r="D13" s="54">
        <v>0</v>
      </c>
      <c r="E13" s="52">
        <v>0</v>
      </c>
      <c r="G13" s="54">
        <v>0</v>
      </c>
      <c r="H13" s="52">
        <v>0</v>
      </c>
      <c r="J13" s="54">
        <v>0</v>
      </c>
      <c r="K13" s="52">
        <v>0</v>
      </c>
      <c r="M13" s="54">
        <v>0</v>
      </c>
      <c r="N13" s="52">
        <v>0</v>
      </c>
      <c r="P13" s="54">
        <v>0</v>
      </c>
      <c r="Q13" s="52">
        <v>0</v>
      </c>
      <c r="S13" s="54">
        <v>0</v>
      </c>
      <c r="T13" s="52">
        <v>0</v>
      </c>
      <c r="U13" s="86"/>
      <c r="V13" s="470">
        <v>0</v>
      </c>
      <c r="W13" s="52">
        <v>0</v>
      </c>
      <c r="Y13" s="54">
        <v>0</v>
      </c>
      <c r="Z13" s="52">
        <v>0</v>
      </c>
      <c r="AA13" s="54"/>
      <c r="AB13" s="54">
        <v>0</v>
      </c>
      <c r="AC13" s="52">
        <v>0</v>
      </c>
      <c r="AE13" s="54">
        <v>0</v>
      </c>
      <c r="AF13" s="52">
        <v>0</v>
      </c>
      <c r="AH13" s="54">
        <v>0</v>
      </c>
      <c r="AI13" s="52">
        <v>0</v>
      </c>
      <c r="AK13" s="54">
        <v>0</v>
      </c>
      <c r="AL13" s="52">
        <v>0</v>
      </c>
      <c r="AM13" s="52">
        <v>0</v>
      </c>
      <c r="AN13" s="52">
        <v>0</v>
      </c>
      <c r="AO13" s="52">
        <v>0</v>
      </c>
      <c r="AQ13" s="54">
        <v>0</v>
      </c>
      <c r="AR13" s="52">
        <v>0</v>
      </c>
      <c r="AT13" s="54">
        <v>0</v>
      </c>
      <c r="AU13" s="52">
        <v>0</v>
      </c>
      <c r="AW13" s="54">
        <v>0</v>
      </c>
      <c r="AX13" s="52">
        <v>0</v>
      </c>
      <c r="AZ13" s="54">
        <v>0</v>
      </c>
      <c r="BA13" s="52">
        <v>0</v>
      </c>
      <c r="BC13" s="54">
        <v>0</v>
      </c>
      <c r="BD13" s="52">
        <v>0</v>
      </c>
      <c r="BF13" s="54">
        <v>0</v>
      </c>
      <c r="BG13" s="471">
        <v>0</v>
      </c>
      <c r="BH13" s="471"/>
      <c r="BI13" s="54">
        <v>0</v>
      </c>
      <c r="BJ13" s="471">
        <v>0</v>
      </c>
    </row>
    <row r="14" spans="1:62" x14ac:dyDescent="0.2">
      <c r="A14" s="52" t="s">
        <v>167</v>
      </c>
      <c r="B14" s="52">
        <v>13131</v>
      </c>
      <c r="D14" s="54">
        <v>0</v>
      </c>
      <c r="E14" s="52">
        <v>0</v>
      </c>
      <c r="G14" s="54">
        <v>0</v>
      </c>
      <c r="H14" s="52">
        <v>0</v>
      </c>
      <c r="J14" s="54">
        <v>0</v>
      </c>
      <c r="K14" s="52">
        <v>0</v>
      </c>
      <c r="M14" s="54">
        <v>0</v>
      </c>
      <c r="N14" s="52">
        <v>0</v>
      </c>
      <c r="P14" s="54">
        <v>0</v>
      </c>
      <c r="Q14" s="52">
        <v>0</v>
      </c>
      <c r="S14" s="54">
        <v>0</v>
      </c>
      <c r="T14" s="52">
        <v>0</v>
      </c>
      <c r="U14" s="86"/>
      <c r="V14" s="470">
        <v>0</v>
      </c>
      <c r="W14" s="52">
        <v>0</v>
      </c>
      <c r="Y14" s="54">
        <v>0</v>
      </c>
      <c r="Z14" s="52">
        <v>0</v>
      </c>
      <c r="AA14" s="54"/>
      <c r="AB14" s="54">
        <v>0</v>
      </c>
      <c r="AC14" s="52">
        <v>0</v>
      </c>
      <c r="AE14" s="54">
        <v>0</v>
      </c>
      <c r="AF14" s="52">
        <v>0</v>
      </c>
      <c r="AH14" s="54">
        <v>0</v>
      </c>
      <c r="AI14" s="52">
        <v>0</v>
      </c>
      <c r="AK14" s="54">
        <v>0</v>
      </c>
      <c r="AL14" s="52">
        <v>0</v>
      </c>
      <c r="AM14" s="52">
        <v>0</v>
      </c>
      <c r="AN14" s="52">
        <v>0</v>
      </c>
      <c r="AO14" s="52">
        <v>0</v>
      </c>
      <c r="AQ14" s="54">
        <v>0</v>
      </c>
      <c r="AR14" s="52">
        <v>0</v>
      </c>
      <c r="AT14" s="54">
        <v>0</v>
      </c>
      <c r="AU14" s="52">
        <v>0</v>
      </c>
      <c r="AW14" s="54">
        <v>0</v>
      </c>
      <c r="AX14" s="52">
        <v>0</v>
      </c>
      <c r="AZ14" s="54">
        <v>0</v>
      </c>
      <c r="BA14" s="52">
        <v>0</v>
      </c>
      <c r="BC14" s="54">
        <v>0</v>
      </c>
      <c r="BD14" s="52">
        <v>0</v>
      </c>
      <c r="BF14" s="54">
        <v>0</v>
      </c>
      <c r="BG14" s="471">
        <v>0</v>
      </c>
      <c r="BH14" s="471"/>
      <c r="BI14" s="54">
        <v>0</v>
      </c>
      <c r="BJ14" s="471">
        <v>0</v>
      </c>
    </row>
    <row r="15" spans="1:62" x14ac:dyDescent="0.2">
      <c r="A15" s="52" t="s">
        <v>168</v>
      </c>
      <c r="B15" s="52">
        <v>13006</v>
      </c>
      <c r="C15" s="52">
        <v>2208.17</v>
      </c>
      <c r="D15" s="54">
        <v>1162.46</v>
      </c>
      <c r="E15" s="52">
        <v>3370.63</v>
      </c>
      <c r="F15" s="52">
        <v>1042.26</v>
      </c>
      <c r="G15" s="54">
        <v>940.07</v>
      </c>
      <c r="H15" s="52">
        <v>1982.33</v>
      </c>
      <c r="I15" s="52">
        <v>-66.760000000000005</v>
      </c>
      <c r="J15" s="54">
        <v>0</v>
      </c>
      <c r="K15" s="52">
        <v>-66.760000000000005</v>
      </c>
      <c r="L15" s="52">
        <v>-1764.3</v>
      </c>
      <c r="M15" s="54">
        <v>0</v>
      </c>
      <c r="N15" s="52">
        <v>-1764.3</v>
      </c>
      <c r="O15" s="52">
        <v>-370.77</v>
      </c>
      <c r="P15" s="54">
        <v>0</v>
      </c>
      <c r="Q15" s="52">
        <v>-370.77</v>
      </c>
      <c r="R15" s="52">
        <v>-2939.94</v>
      </c>
      <c r="S15" s="54">
        <v>854.44</v>
      </c>
      <c r="T15" s="52">
        <v>-2085.5</v>
      </c>
      <c r="U15" s="86">
        <v>0</v>
      </c>
      <c r="V15" s="470">
        <v>0</v>
      </c>
      <c r="W15" s="52">
        <v>0</v>
      </c>
      <c r="X15" s="52">
        <v>0</v>
      </c>
      <c r="Y15" s="54">
        <v>0</v>
      </c>
      <c r="Z15" s="52">
        <v>0</v>
      </c>
      <c r="AA15" s="54">
        <v>-415.15</v>
      </c>
      <c r="AB15" s="54">
        <v>0</v>
      </c>
      <c r="AC15" s="52">
        <v>-415.15</v>
      </c>
      <c r="AD15" s="52">
        <v>-449.65</v>
      </c>
      <c r="AE15" s="54">
        <v>0</v>
      </c>
      <c r="AF15" s="52">
        <v>-449.65</v>
      </c>
      <c r="AG15" s="52">
        <v>-399.28</v>
      </c>
      <c r="AH15" s="54">
        <v>0</v>
      </c>
      <c r="AI15" s="52">
        <v>-399.28</v>
      </c>
      <c r="AJ15" s="52">
        <v>0</v>
      </c>
      <c r="AK15" s="54">
        <v>0</v>
      </c>
      <c r="AL15" s="52">
        <v>0</v>
      </c>
      <c r="AM15" s="52">
        <v>-3155.42</v>
      </c>
      <c r="AN15" s="52">
        <v>2956.9700000000003</v>
      </c>
      <c r="AO15" s="52">
        <v>-198.45000000000027</v>
      </c>
      <c r="AP15" s="52">
        <v>-21.7</v>
      </c>
      <c r="AQ15" s="54">
        <v>0</v>
      </c>
      <c r="AR15" s="52">
        <v>-21.7</v>
      </c>
      <c r="AS15" s="52">
        <v>-2.17</v>
      </c>
      <c r="AT15" s="54">
        <v>0</v>
      </c>
      <c r="AU15" s="52">
        <v>-2.17</v>
      </c>
      <c r="AV15" s="52">
        <v>0</v>
      </c>
      <c r="AW15" s="54">
        <v>0</v>
      </c>
      <c r="AX15" s="52">
        <v>0</v>
      </c>
      <c r="AY15" s="52">
        <v>0</v>
      </c>
      <c r="AZ15" s="54">
        <v>0</v>
      </c>
      <c r="BA15" s="52">
        <v>0</v>
      </c>
      <c r="BB15" s="52">
        <v>0</v>
      </c>
      <c r="BC15" s="54">
        <v>0</v>
      </c>
      <c r="BD15" s="52">
        <v>0</v>
      </c>
      <c r="BE15" s="52">
        <v>0</v>
      </c>
      <c r="BF15" s="54">
        <v>0</v>
      </c>
      <c r="BG15" s="471">
        <v>0</v>
      </c>
      <c r="BH15" s="471">
        <v>-15.19</v>
      </c>
      <c r="BI15" s="54">
        <v>0</v>
      </c>
      <c r="BJ15" s="471">
        <v>-15.19</v>
      </c>
    </row>
    <row r="16" spans="1:62" x14ac:dyDescent="0.2">
      <c r="A16" s="52" t="s">
        <v>169</v>
      </c>
      <c r="B16" s="52">
        <v>13005</v>
      </c>
      <c r="C16" s="52">
        <v>928.51</v>
      </c>
      <c r="D16" s="54">
        <v>1368.07</v>
      </c>
      <c r="E16" s="52">
        <v>2296.58</v>
      </c>
      <c r="F16" s="52">
        <v>-204.52</v>
      </c>
      <c r="G16" s="54">
        <v>1041.96</v>
      </c>
      <c r="H16" s="52">
        <v>837.44</v>
      </c>
      <c r="I16" s="52">
        <v>-2456.75</v>
      </c>
      <c r="J16" s="54">
        <v>133.19999999999999</v>
      </c>
      <c r="K16" s="52">
        <v>-2323.5500000000002</v>
      </c>
      <c r="L16" s="52">
        <v>-11667.69</v>
      </c>
      <c r="M16" s="54">
        <v>1242.3</v>
      </c>
      <c r="N16" s="52">
        <v>-10425.390000000001</v>
      </c>
      <c r="O16" s="52">
        <v>-112.68</v>
      </c>
      <c r="P16" s="54">
        <v>31104.350000000002</v>
      </c>
      <c r="Q16" s="52">
        <v>30991.670000000002</v>
      </c>
      <c r="R16" s="52">
        <v>-419.59</v>
      </c>
      <c r="S16" s="54">
        <v>635.75</v>
      </c>
      <c r="T16" s="52">
        <v>216.16000000000003</v>
      </c>
      <c r="U16" s="86">
        <v>-140.85</v>
      </c>
      <c r="V16" s="470">
        <v>3324.98</v>
      </c>
      <c r="W16" s="52">
        <v>3184.13</v>
      </c>
      <c r="X16" s="52">
        <v>-122.22</v>
      </c>
      <c r="Y16" s="54">
        <v>2360.33</v>
      </c>
      <c r="Z16" s="52">
        <v>2238.11</v>
      </c>
      <c r="AA16" s="54">
        <v>-74.819999999999993</v>
      </c>
      <c r="AB16" s="54">
        <v>2702.31</v>
      </c>
      <c r="AC16" s="52">
        <v>2627.49</v>
      </c>
      <c r="AD16" s="52">
        <v>11.78</v>
      </c>
      <c r="AE16" s="54">
        <v>576.66999999999996</v>
      </c>
      <c r="AF16" s="52">
        <v>588.44999999999993</v>
      </c>
      <c r="AG16" s="52">
        <v>16.100000000000001</v>
      </c>
      <c r="AH16" s="54">
        <v>1448.39</v>
      </c>
      <c r="AI16" s="52">
        <v>1464.49</v>
      </c>
      <c r="AJ16" s="52">
        <v>-211.12</v>
      </c>
      <c r="AK16" s="54">
        <v>7409.58</v>
      </c>
      <c r="AL16" s="52">
        <v>7198.46</v>
      </c>
      <c r="AM16" s="52">
        <v>-14453.85</v>
      </c>
      <c r="AN16" s="52">
        <v>53347.890000000007</v>
      </c>
      <c r="AO16" s="52">
        <v>38894.04</v>
      </c>
      <c r="AP16" s="52">
        <v>-152.78</v>
      </c>
      <c r="AQ16" s="54">
        <v>318.5</v>
      </c>
      <c r="AR16" s="52">
        <v>165.72</v>
      </c>
      <c r="AS16" s="52">
        <v>-120.3</v>
      </c>
      <c r="AT16" s="54">
        <v>0</v>
      </c>
      <c r="AU16" s="52">
        <v>-120.3</v>
      </c>
      <c r="AV16" s="52">
        <v>-169.72</v>
      </c>
      <c r="AW16" s="54">
        <v>0</v>
      </c>
      <c r="AX16" s="52">
        <v>-169.72</v>
      </c>
      <c r="AY16" s="52">
        <v>-239.99</v>
      </c>
      <c r="AZ16" s="54">
        <v>0</v>
      </c>
      <c r="BA16" s="52">
        <v>-239.99</v>
      </c>
      <c r="BB16" s="52">
        <v>-28.41</v>
      </c>
      <c r="BC16" s="54">
        <v>0</v>
      </c>
      <c r="BD16" s="52">
        <v>-28.41</v>
      </c>
      <c r="BE16" s="52">
        <v>-2.27</v>
      </c>
      <c r="BF16" s="54">
        <v>0</v>
      </c>
      <c r="BG16" s="471">
        <v>-2.27</v>
      </c>
      <c r="BH16" s="471">
        <v>-1.1499999999999999</v>
      </c>
      <c r="BI16" s="54">
        <v>0</v>
      </c>
      <c r="BJ16" s="471">
        <v>-1.1499999999999999</v>
      </c>
    </row>
    <row r="17" spans="1:62" x14ac:dyDescent="0.2">
      <c r="A17" s="52" t="s">
        <v>170</v>
      </c>
      <c r="B17" s="52">
        <v>13004</v>
      </c>
      <c r="C17" s="52">
        <v>-2.63</v>
      </c>
      <c r="D17" s="54">
        <v>0</v>
      </c>
      <c r="E17" s="52">
        <v>-2.63</v>
      </c>
      <c r="F17" s="52">
        <v>0</v>
      </c>
      <c r="G17" s="54">
        <v>0</v>
      </c>
      <c r="H17" s="52">
        <v>0</v>
      </c>
      <c r="I17" s="52">
        <v>0</v>
      </c>
      <c r="J17" s="54">
        <v>0</v>
      </c>
      <c r="K17" s="52">
        <v>0</v>
      </c>
      <c r="L17" s="52">
        <v>-0.04</v>
      </c>
      <c r="M17" s="54">
        <v>0</v>
      </c>
      <c r="N17" s="52">
        <v>-0.04</v>
      </c>
      <c r="O17" s="52">
        <v>-0.12</v>
      </c>
      <c r="P17" s="54">
        <v>0</v>
      </c>
      <c r="Q17" s="52">
        <v>-0.12</v>
      </c>
      <c r="R17" s="52">
        <v>0</v>
      </c>
      <c r="S17" s="54">
        <v>0</v>
      </c>
      <c r="T17" s="52">
        <v>0</v>
      </c>
      <c r="U17" s="86">
        <v>0</v>
      </c>
      <c r="V17" s="470">
        <v>0</v>
      </c>
      <c r="W17" s="52">
        <v>0</v>
      </c>
      <c r="X17" s="52">
        <v>0</v>
      </c>
      <c r="Y17" s="54">
        <v>0</v>
      </c>
      <c r="Z17" s="52">
        <v>0</v>
      </c>
      <c r="AA17" s="54">
        <v>-85.4</v>
      </c>
      <c r="AB17" s="54">
        <v>0</v>
      </c>
      <c r="AC17" s="52">
        <v>-85.4</v>
      </c>
      <c r="AD17" s="52">
        <v>-195.2</v>
      </c>
      <c r="AE17" s="54">
        <v>0</v>
      </c>
      <c r="AF17" s="52">
        <v>-195.2</v>
      </c>
      <c r="AG17" s="52">
        <v>-112.85</v>
      </c>
      <c r="AH17" s="54">
        <v>0</v>
      </c>
      <c r="AI17" s="52">
        <v>-112.85</v>
      </c>
      <c r="AJ17" s="52">
        <v>0</v>
      </c>
      <c r="AK17" s="54">
        <v>0</v>
      </c>
      <c r="AL17" s="52">
        <v>0</v>
      </c>
      <c r="AM17" s="52">
        <v>-396.24</v>
      </c>
      <c r="AN17" s="52">
        <v>0</v>
      </c>
      <c r="AO17" s="52">
        <v>-396.24</v>
      </c>
      <c r="AP17" s="52">
        <v>0</v>
      </c>
      <c r="AQ17" s="54">
        <v>0</v>
      </c>
      <c r="AR17" s="52">
        <v>0</v>
      </c>
      <c r="AS17" s="52">
        <v>0</v>
      </c>
      <c r="AT17" s="54">
        <v>0</v>
      </c>
      <c r="AU17" s="52">
        <v>0</v>
      </c>
      <c r="AV17" s="52">
        <v>0</v>
      </c>
      <c r="AW17" s="54">
        <v>0</v>
      </c>
      <c r="AX17" s="52">
        <v>0</v>
      </c>
      <c r="AY17" s="52">
        <v>0</v>
      </c>
      <c r="AZ17" s="54">
        <v>0</v>
      </c>
      <c r="BA17" s="52">
        <v>0</v>
      </c>
      <c r="BB17" s="52">
        <v>0</v>
      </c>
      <c r="BC17" s="54">
        <v>0</v>
      </c>
      <c r="BD17" s="52">
        <v>0</v>
      </c>
      <c r="BE17" s="52">
        <v>0</v>
      </c>
      <c r="BF17" s="54">
        <v>0</v>
      </c>
      <c r="BG17" s="471">
        <v>0</v>
      </c>
      <c r="BH17" s="471">
        <v>0</v>
      </c>
      <c r="BI17" s="54">
        <v>0</v>
      </c>
      <c r="BJ17" s="471">
        <v>0</v>
      </c>
    </row>
    <row r="18" spans="1:62" x14ac:dyDescent="0.2">
      <c r="A18" s="52" t="s">
        <v>171</v>
      </c>
      <c r="B18" s="52">
        <v>13089</v>
      </c>
      <c r="C18" s="52">
        <v>44796.01</v>
      </c>
      <c r="D18" s="54">
        <v>1122.6600000000001</v>
      </c>
      <c r="E18" s="52">
        <v>45918.670000000006</v>
      </c>
      <c r="F18" s="52">
        <v>7920.62</v>
      </c>
      <c r="G18" s="54">
        <v>2349.27</v>
      </c>
      <c r="H18" s="52">
        <v>10269.89</v>
      </c>
      <c r="I18" s="52">
        <v>23367.95</v>
      </c>
      <c r="J18" s="54">
        <v>2934.36</v>
      </c>
      <c r="K18" s="52">
        <v>26302.31</v>
      </c>
      <c r="L18" s="52">
        <v>18855.84</v>
      </c>
      <c r="M18" s="54">
        <v>2955.15</v>
      </c>
      <c r="N18" s="52">
        <v>21810.99</v>
      </c>
      <c r="O18" s="52">
        <v>34376.019999999997</v>
      </c>
      <c r="P18" s="54">
        <v>3730.32</v>
      </c>
      <c r="Q18" s="52">
        <v>38106.339999999997</v>
      </c>
      <c r="R18" s="52">
        <v>12874.94</v>
      </c>
      <c r="S18" s="54">
        <v>2212.65</v>
      </c>
      <c r="T18" s="52">
        <v>15087.59</v>
      </c>
      <c r="U18" s="86">
        <v>2761.1</v>
      </c>
      <c r="V18" s="470">
        <v>1476.09</v>
      </c>
      <c r="W18" s="52">
        <v>4237.1899999999996</v>
      </c>
      <c r="X18" s="52">
        <v>11248.84</v>
      </c>
      <c r="Y18" s="54">
        <v>1651.32</v>
      </c>
      <c r="Z18" s="52">
        <v>12900.16</v>
      </c>
      <c r="AA18" s="54">
        <v>2534.38</v>
      </c>
      <c r="AB18" s="54">
        <v>1401.84</v>
      </c>
      <c r="AC18" s="52">
        <v>3936.2200000000003</v>
      </c>
      <c r="AD18" s="52">
        <v>17032.55</v>
      </c>
      <c r="AE18" s="54">
        <v>0</v>
      </c>
      <c r="AF18" s="52">
        <v>17032.55</v>
      </c>
      <c r="AG18" s="52">
        <v>-547.99</v>
      </c>
      <c r="AH18" s="54">
        <v>0</v>
      </c>
      <c r="AI18" s="52">
        <v>-547.99</v>
      </c>
      <c r="AJ18" s="52">
        <v>2285.73</v>
      </c>
      <c r="AK18" s="54">
        <v>0</v>
      </c>
      <c r="AL18" s="52">
        <v>2285.73</v>
      </c>
      <c r="AM18" s="52">
        <v>177505.99000000002</v>
      </c>
      <c r="AN18" s="52">
        <v>19833.66</v>
      </c>
      <c r="AO18" s="52">
        <v>197339.65000000002</v>
      </c>
      <c r="AP18" s="52">
        <v>24897.27</v>
      </c>
      <c r="AQ18" s="54">
        <v>2043.36</v>
      </c>
      <c r="AR18" s="52">
        <v>26940.63</v>
      </c>
      <c r="AS18" s="52">
        <v>28794.86</v>
      </c>
      <c r="AT18" s="54">
        <v>451.44</v>
      </c>
      <c r="AU18" s="52">
        <v>29246.3</v>
      </c>
      <c r="AV18" s="52">
        <v>28740.92</v>
      </c>
      <c r="AW18" s="54">
        <v>3118.5</v>
      </c>
      <c r="AX18" s="52">
        <v>31859.42</v>
      </c>
      <c r="AY18" s="52">
        <v>89.95</v>
      </c>
      <c r="AZ18" s="54">
        <v>2785.86</v>
      </c>
      <c r="BA18" s="52">
        <v>2875.81</v>
      </c>
      <c r="BB18" s="52">
        <v>50291.71</v>
      </c>
      <c r="BC18" s="54">
        <v>656.37</v>
      </c>
      <c r="BD18" s="52">
        <v>50948.08</v>
      </c>
      <c r="BE18" s="52">
        <v>25971.5</v>
      </c>
      <c r="BF18" s="54">
        <v>3789.72</v>
      </c>
      <c r="BG18" s="471">
        <v>29761.22</v>
      </c>
      <c r="BH18" s="471">
        <v>38033.21</v>
      </c>
      <c r="BI18" s="54">
        <v>2337.39</v>
      </c>
      <c r="BJ18" s="471">
        <v>40370.6</v>
      </c>
    </row>
    <row r="19" spans="1:62" x14ac:dyDescent="0.2">
      <c r="A19" s="52" t="s">
        <v>172</v>
      </c>
      <c r="B19" s="52">
        <v>13091</v>
      </c>
      <c r="C19" s="52">
        <v>3861.93</v>
      </c>
      <c r="D19" s="54">
        <v>1869.79</v>
      </c>
      <c r="E19" s="52">
        <v>5731.7199999999993</v>
      </c>
      <c r="F19" s="52">
        <v>29954.080000000002</v>
      </c>
      <c r="G19" s="54">
        <v>2384.91</v>
      </c>
      <c r="H19" s="52">
        <v>32338.99</v>
      </c>
      <c r="I19" s="52">
        <v>13518.49</v>
      </c>
      <c r="J19" s="54">
        <v>1203.76</v>
      </c>
      <c r="K19" s="52">
        <v>14722.25</v>
      </c>
      <c r="L19" s="52">
        <v>40015.269999999997</v>
      </c>
      <c r="M19" s="54">
        <v>3777.47</v>
      </c>
      <c r="N19" s="52">
        <v>43792.74</v>
      </c>
      <c r="O19" s="52">
        <v>22012.05</v>
      </c>
      <c r="P19" s="54">
        <v>3369.04</v>
      </c>
      <c r="Q19" s="52">
        <v>25381.09</v>
      </c>
      <c r="R19" s="52">
        <v>31837.01</v>
      </c>
      <c r="S19" s="54">
        <v>2689</v>
      </c>
      <c r="T19" s="52">
        <v>34526.009999999995</v>
      </c>
      <c r="U19" s="86">
        <v>8005.3</v>
      </c>
      <c r="V19" s="470">
        <v>1532.27</v>
      </c>
      <c r="W19" s="52">
        <v>9537.57</v>
      </c>
      <c r="X19" s="52">
        <v>2874.28</v>
      </c>
      <c r="Y19" s="54">
        <v>1785.17</v>
      </c>
      <c r="Z19" s="52">
        <v>4659.4500000000007</v>
      </c>
      <c r="AA19" s="54">
        <v>1883.96</v>
      </c>
      <c r="AB19" s="54">
        <v>1341.01</v>
      </c>
      <c r="AC19" s="52">
        <v>3224.9700000000003</v>
      </c>
      <c r="AD19" s="52">
        <v>14064.11</v>
      </c>
      <c r="AE19" s="54">
        <v>2090.25</v>
      </c>
      <c r="AF19" s="52">
        <v>16154.36</v>
      </c>
      <c r="AG19" s="52">
        <v>15160.48</v>
      </c>
      <c r="AH19" s="54">
        <v>2271.63</v>
      </c>
      <c r="AI19" s="52">
        <v>17432.11</v>
      </c>
      <c r="AJ19" s="52">
        <v>12906.95</v>
      </c>
      <c r="AK19" s="54">
        <v>3347.77</v>
      </c>
      <c r="AL19" s="52">
        <v>16254.720000000001</v>
      </c>
      <c r="AM19" s="52">
        <v>196093.91</v>
      </c>
      <c r="AN19" s="52">
        <v>27662.070000000003</v>
      </c>
      <c r="AO19" s="52">
        <v>223755.98</v>
      </c>
      <c r="AP19" s="52">
        <v>13547.46</v>
      </c>
      <c r="AQ19" s="54">
        <v>1280.5899999999999</v>
      </c>
      <c r="AR19" s="52">
        <v>14828.05</v>
      </c>
      <c r="AS19" s="52">
        <v>20275.810000000001</v>
      </c>
      <c r="AT19" s="54">
        <v>2123.5500000000002</v>
      </c>
      <c r="AU19" s="52">
        <v>22399.360000000001</v>
      </c>
      <c r="AV19" s="52">
        <v>23769.37</v>
      </c>
      <c r="AW19" s="54">
        <v>3317.58</v>
      </c>
      <c r="AX19" s="52">
        <v>27086.949999999997</v>
      </c>
      <c r="AY19" s="52">
        <v>50494.73</v>
      </c>
      <c r="AZ19" s="54">
        <v>3020.49</v>
      </c>
      <c r="BA19" s="52">
        <v>53515.22</v>
      </c>
      <c r="BB19" s="52">
        <v>39525.230000000003</v>
      </c>
      <c r="BC19" s="54">
        <v>4463.91</v>
      </c>
      <c r="BD19" s="52">
        <v>43989.14</v>
      </c>
      <c r="BE19" s="52">
        <v>4785.3500000000004</v>
      </c>
      <c r="BF19" s="54">
        <v>2378.9699999999998</v>
      </c>
      <c r="BG19" s="471">
        <v>7164.32</v>
      </c>
      <c r="BH19" s="471">
        <v>34943.75</v>
      </c>
      <c r="BI19" s="54">
        <v>1782</v>
      </c>
      <c r="BJ19" s="471">
        <v>36725.75</v>
      </c>
    </row>
    <row r="20" spans="1:62" x14ac:dyDescent="0.2">
      <c r="A20" s="52" t="s">
        <v>173</v>
      </c>
      <c r="B20" s="52">
        <v>13093</v>
      </c>
      <c r="C20" s="52">
        <v>-376.22</v>
      </c>
      <c r="D20" s="54">
        <v>1138.25</v>
      </c>
      <c r="E20" s="52">
        <v>762.03</v>
      </c>
      <c r="F20" s="52">
        <v>-1194.6300000000001</v>
      </c>
      <c r="G20" s="54">
        <v>3035.4300000000003</v>
      </c>
      <c r="H20" s="52">
        <v>1840.8000000000002</v>
      </c>
      <c r="I20" s="52">
        <v>25912.26</v>
      </c>
      <c r="J20" s="54">
        <v>2477.39</v>
      </c>
      <c r="K20" s="52">
        <v>28389.649999999998</v>
      </c>
      <c r="L20" s="52">
        <v>6911.73</v>
      </c>
      <c r="M20" s="54">
        <v>3215.27</v>
      </c>
      <c r="N20" s="52">
        <v>10127</v>
      </c>
      <c r="O20" s="52">
        <v>28671.67</v>
      </c>
      <c r="P20" s="54">
        <v>2329.1799999999998</v>
      </c>
      <c r="Q20" s="52">
        <v>31000.85</v>
      </c>
      <c r="R20" s="52">
        <v>5404.62</v>
      </c>
      <c r="S20" s="54">
        <v>2254.54</v>
      </c>
      <c r="T20" s="52">
        <v>7659.16</v>
      </c>
      <c r="U20" s="86">
        <v>11050.07</v>
      </c>
      <c r="V20" s="470">
        <v>1182.7</v>
      </c>
      <c r="W20" s="52">
        <v>12232.77</v>
      </c>
      <c r="X20" s="52">
        <v>8181.31</v>
      </c>
      <c r="Y20" s="54">
        <v>1426.41</v>
      </c>
      <c r="Z20" s="52">
        <v>9607.7200000000012</v>
      </c>
      <c r="AA20" s="54">
        <v>4020.23</v>
      </c>
      <c r="AB20" s="54">
        <v>1199.82</v>
      </c>
      <c r="AC20" s="52">
        <v>5220.05</v>
      </c>
      <c r="AD20" s="52">
        <v>10237.209999999999</v>
      </c>
      <c r="AE20" s="54">
        <v>3548.68</v>
      </c>
      <c r="AF20" s="52">
        <v>13785.89</v>
      </c>
      <c r="AG20" s="52">
        <v>14044.76</v>
      </c>
      <c r="AH20" s="54">
        <v>966.32</v>
      </c>
      <c r="AI20" s="52">
        <v>15011.08</v>
      </c>
      <c r="AJ20" s="52">
        <v>7267.66</v>
      </c>
      <c r="AK20" s="54">
        <v>3081.09</v>
      </c>
      <c r="AL20" s="52">
        <v>10348.75</v>
      </c>
      <c r="AM20" s="52">
        <v>120130.67</v>
      </c>
      <c r="AN20" s="52">
        <v>25855.08</v>
      </c>
      <c r="AO20" s="52">
        <v>145985.75</v>
      </c>
      <c r="AP20" s="52">
        <v>8590.8700000000008</v>
      </c>
      <c r="AQ20" s="54">
        <v>1243.1400000000001</v>
      </c>
      <c r="AR20" s="52">
        <v>9834.01</v>
      </c>
      <c r="AS20" s="52">
        <v>18385.849999999999</v>
      </c>
      <c r="AT20" s="54">
        <v>1645.38</v>
      </c>
      <c r="AU20" s="52">
        <v>20031.23</v>
      </c>
      <c r="AV20" s="52">
        <v>28963.360000000001</v>
      </c>
      <c r="AW20" s="54">
        <v>779.87</v>
      </c>
      <c r="AX20" s="52">
        <v>29743.23</v>
      </c>
      <c r="AY20" s="52">
        <v>19969.29</v>
      </c>
      <c r="AZ20" s="54">
        <v>2619.54</v>
      </c>
      <c r="BA20" s="52">
        <v>22588.83</v>
      </c>
      <c r="BB20" s="52">
        <v>53610.36</v>
      </c>
      <c r="BC20" s="54">
        <v>3339.1600000000003</v>
      </c>
      <c r="BD20" s="52">
        <v>56949.520000000004</v>
      </c>
      <c r="BE20" s="52">
        <v>12358.29</v>
      </c>
      <c r="BF20" s="54">
        <v>2050.04</v>
      </c>
      <c r="BG20" s="471">
        <v>14408.330000000002</v>
      </c>
      <c r="BH20" s="471">
        <v>5275.33</v>
      </c>
      <c r="BI20" s="54">
        <v>1443.6100000000001</v>
      </c>
      <c r="BJ20" s="471">
        <v>6718.9400000000005</v>
      </c>
    </row>
    <row r="21" spans="1:62" x14ac:dyDescent="0.2">
      <c r="A21" s="52" t="s">
        <v>175</v>
      </c>
      <c r="B21" s="52">
        <v>13149</v>
      </c>
      <c r="C21" s="52">
        <v>0</v>
      </c>
      <c r="D21" s="54">
        <v>0</v>
      </c>
      <c r="E21" s="52">
        <v>0</v>
      </c>
      <c r="F21" s="52">
        <v>0</v>
      </c>
      <c r="G21" s="54">
        <v>0</v>
      </c>
      <c r="H21" s="52">
        <v>0</v>
      </c>
      <c r="I21" s="52">
        <v>0</v>
      </c>
      <c r="J21" s="54">
        <v>0</v>
      </c>
      <c r="K21" s="52">
        <v>0</v>
      </c>
      <c r="L21" s="52">
        <v>0</v>
      </c>
      <c r="M21" s="54">
        <v>0</v>
      </c>
      <c r="N21" s="52">
        <v>0</v>
      </c>
      <c r="O21" s="52">
        <v>0</v>
      </c>
      <c r="P21" s="54">
        <v>427.7800000000002</v>
      </c>
      <c r="Q21" s="52">
        <v>427.7800000000002</v>
      </c>
      <c r="R21" s="52">
        <v>24747.25</v>
      </c>
      <c r="S21" s="54">
        <v>0</v>
      </c>
      <c r="T21" s="52">
        <v>24747.25</v>
      </c>
      <c r="U21" s="86">
        <v>32341.71</v>
      </c>
      <c r="V21" s="470">
        <v>4931.78</v>
      </c>
      <c r="W21" s="52">
        <v>37273.49</v>
      </c>
      <c r="X21" s="52">
        <v>2719.73</v>
      </c>
      <c r="Y21" s="54">
        <v>2446.19</v>
      </c>
      <c r="Z21" s="52">
        <v>5165.92</v>
      </c>
      <c r="AA21" s="54">
        <v>-1056.24</v>
      </c>
      <c r="AB21" s="54">
        <v>0</v>
      </c>
      <c r="AC21" s="52">
        <v>-1056.24</v>
      </c>
      <c r="AD21" s="52">
        <v>21828.77</v>
      </c>
      <c r="AE21" s="54">
        <v>836.77</v>
      </c>
      <c r="AF21" s="52">
        <v>22665.54</v>
      </c>
      <c r="AG21" s="52">
        <v>12650</v>
      </c>
      <c r="AH21" s="54">
        <v>1607.36</v>
      </c>
      <c r="AI21" s="52">
        <v>14257.36</v>
      </c>
      <c r="AJ21" s="52">
        <v>-835.68</v>
      </c>
      <c r="AK21" s="54">
        <v>1696.5</v>
      </c>
      <c r="AL21" s="52">
        <v>860.82</v>
      </c>
      <c r="AM21" s="52">
        <v>92395.540000000008</v>
      </c>
      <c r="AN21" s="52">
        <v>11946.380000000001</v>
      </c>
      <c r="AO21" s="52">
        <v>104341.92</v>
      </c>
      <c r="AP21" s="52">
        <v>-951.19</v>
      </c>
      <c r="AQ21" s="54">
        <v>889.2</v>
      </c>
      <c r="AR21" s="52">
        <v>-61.990000000000009</v>
      </c>
      <c r="AS21" s="52">
        <v>-1005.26</v>
      </c>
      <c r="AT21" s="54">
        <v>1071.72</v>
      </c>
      <c r="AU21" s="52">
        <v>66.460000000000036</v>
      </c>
      <c r="AV21" s="52">
        <v>27342.05</v>
      </c>
      <c r="AW21" s="54">
        <v>1918.8</v>
      </c>
      <c r="AX21" s="52">
        <v>29260.85</v>
      </c>
      <c r="AY21" s="52">
        <v>23596.7</v>
      </c>
      <c r="AZ21" s="54">
        <v>1629.81</v>
      </c>
      <c r="BA21" s="52">
        <v>25226.510000000002</v>
      </c>
      <c r="BB21" s="52">
        <v>16245.72</v>
      </c>
      <c r="BC21" s="54">
        <v>1692.99</v>
      </c>
      <c r="BD21" s="52">
        <v>17938.71</v>
      </c>
      <c r="BE21" s="52">
        <v>-625.61</v>
      </c>
      <c r="BF21" s="54">
        <v>1518.66</v>
      </c>
      <c r="BG21" s="471">
        <v>893.05000000000007</v>
      </c>
      <c r="BH21" s="471">
        <v>7447.47</v>
      </c>
      <c r="BI21" s="54">
        <v>1749.15</v>
      </c>
      <c r="BJ21" s="471">
        <v>9196.6200000000008</v>
      </c>
    </row>
    <row r="22" spans="1:62" x14ac:dyDescent="0.2">
      <c r="A22" s="52" t="s">
        <v>176</v>
      </c>
      <c r="B22" s="52">
        <v>13150</v>
      </c>
      <c r="C22" s="52">
        <v>0</v>
      </c>
      <c r="D22" s="54">
        <v>0</v>
      </c>
      <c r="E22" s="52">
        <v>0</v>
      </c>
      <c r="F22" s="52">
        <v>0</v>
      </c>
      <c r="G22" s="54">
        <v>0</v>
      </c>
      <c r="H22" s="52">
        <v>0</v>
      </c>
      <c r="I22" s="52">
        <v>0</v>
      </c>
      <c r="J22" s="54">
        <v>0</v>
      </c>
      <c r="K22" s="52">
        <v>0</v>
      </c>
      <c r="L22" s="52">
        <v>0</v>
      </c>
      <c r="M22" s="54">
        <v>0</v>
      </c>
      <c r="N22" s="52">
        <v>0</v>
      </c>
      <c r="O22" s="52">
        <v>0</v>
      </c>
      <c r="P22" s="54">
        <v>0</v>
      </c>
      <c r="Q22" s="52">
        <v>0</v>
      </c>
      <c r="R22" s="52">
        <v>0</v>
      </c>
      <c r="S22" s="54">
        <v>0</v>
      </c>
      <c r="T22" s="52">
        <v>0</v>
      </c>
      <c r="U22" s="86">
        <v>0</v>
      </c>
      <c r="V22" s="470">
        <v>0</v>
      </c>
      <c r="W22" s="52">
        <v>0</v>
      </c>
      <c r="X22" s="52">
        <v>20493.12</v>
      </c>
      <c r="Y22" s="54">
        <v>280.8</v>
      </c>
      <c r="Z22" s="52">
        <v>20773.919999999998</v>
      </c>
      <c r="AA22" s="54">
        <v>20885.900000000001</v>
      </c>
      <c r="AB22" s="54">
        <v>1129.05</v>
      </c>
      <c r="AC22" s="52">
        <v>22014.95</v>
      </c>
      <c r="AD22" s="52">
        <v>5273.74</v>
      </c>
      <c r="AE22" s="54">
        <v>0.11</v>
      </c>
      <c r="AF22" s="52">
        <v>5273.8499999999995</v>
      </c>
      <c r="AG22" s="52">
        <v>9411.25</v>
      </c>
      <c r="AH22" s="54">
        <v>443.43</v>
      </c>
      <c r="AI22" s="52">
        <v>9854.68</v>
      </c>
      <c r="AJ22" s="52">
        <v>7534.86</v>
      </c>
      <c r="AK22" s="54">
        <v>1120.8599999999999</v>
      </c>
      <c r="AL22" s="52">
        <v>8655.7199999999993</v>
      </c>
      <c r="AM22" s="52">
        <v>63598.87</v>
      </c>
      <c r="AN22" s="52">
        <v>2974.25</v>
      </c>
      <c r="AO22" s="52">
        <v>66573.119999999995</v>
      </c>
      <c r="AP22" s="52">
        <v>10708.71</v>
      </c>
      <c r="AQ22" s="54">
        <v>636.48</v>
      </c>
      <c r="AR22" s="52">
        <v>11345.189999999999</v>
      </c>
      <c r="AS22" s="52">
        <v>4526.6000000000004</v>
      </c>
      <c r="AT22" s="54">
        <v>514.79999999999995</v>
      </c>
      <c r="AU22" s="52">
        <v>5041.4000000000005</v>
      </c>
      <c r="AV22" s="52">
        <v>19151.080000000002</v>
      </c>
      <c r="AW22" s="54">
        <v>1268.31</v>
      </c>
      <c r="AX22" s="52">
        <v>20419.390000000003</v>
      </c>
      <c r="AY22" s="52">
        <v>-613.29999999999995</v>
      </c>
      <c r="AZ22" s="54">
        <v>993.33</v>
      </c>
      <c r="BA22" s="52">
        <v>380.03000000000009</v>
      </c>
      <c r="BB22" s="52">
        <v>13692.33</v>
      </c>
      <c r="BC22" s="54">
        <v>960.56999999999994</v>
      </c>
      <c r="BD22" s="52">
        <v>14652.9</v>
      </c>
      <c r="BE22" s="52">
        <v>-633.02</v>
      </c>
      <c r="BF22" s="54">
        <v>1100.97</v>
      </c>
      <c r="BG22" s="471">
        <v>467.95000000000005</v>
      </c>
      <c r="BH22" s="471">
        <v>451.33</v>
      </c>
      <c r="BI22" s="54">
        <v>1187.55</v>
      </c>
      <c r="BJ22" s="471">
        <v>1638.8799999999999</v>
      </c>
    </row>
    <row r="23" spans="1:62" x14ac:dyDescent="0.2">
      <c r="A23" s="52" t="s">
        <v>177</v>
      </c>
      <c r="B23" s="52">
        <v>13108</v>
      </c>
      <c r="C23" s="52">
        <v>0</v>
      </c>
      <c r="D23" s="54">
        <v>0</v>
      </c>
      <c r="E23" s="52">
        <v>0</v>
      </c>
      <c r="F23" s="52">
        <v>0</v>
      </c>
      <c r="G23" s="54">
        <v>0</v>
      </c>
      <c r="H23" s="52">
        <v>0</v>
      </c>
      <c r="I23" s="52">
        <v>0</v>
      </c>
      <c r="J23" s="54">
        <v>0</v>
      </c>
      <c r="K23" s="52">
        <v>0</v>
      </c>
      <c r="L23" s="52">
        <v>0</v>
      </c>
      <c r="M23" s="54">
        <v>0</v>
      </c>
      <c r="N23" s="52">
        <v>0</v>
      </c>
      <c r="O23" s="52">
        <v>0</v>
      </c>
      <c r="P23" s="54">
        <v>0</v>
      </c>
      <c r="Q23" s="52">
        <v>0</v>
      </c>
      <c r="R23" s="52">
        <v>17690.96</v>
      </c>
      <c r="S23" s="54">
        <v>0</v>
      </c>
      <c r="T23" s="52">
        <v>17690.96</v>
      </c>
      <c r="U23" s="86">
        <v>15488.55</v>
      </c>
      <c r="V23" s="470">
        <v>85.02</v>
      </c>
      <c r="W23" s="52">
        <v>15573.57</v>
      </c>
      <c r="X23" s="52">
        <v>7386.4</v>
      </c>
      <c r="Y23" s="54">
        <v>641.16</v>
      </c>
      <c r="Z23" s="52">
        <v>8027.5599999999995</v>
      </c>
      <c r="AA23" s="54">
        <v>7570.57</v>
      </c>
      <c r="AB23" s="54">
        <v>1333.74</v>
      </c>
      <c r="AC23" s="52">
        <v>8904.31</v>
      </c>
      <c r="AD23" s="52">
        <v>-229.34</v>
      </c>
      <c r="AE23" s="54">
        <v>0</v>
      </c>
      <c r="AF23" s="52">
        <v>-229.34</v>
      </c>
      <c r="AG23" s="52">
        <v>-478.09</v>
      </c>
      <c r="AH23" s="54">
        <v>0.78</v>
      </c>
      <c r="AI23" s="52">
        <v>-477.31</v>
      </c>
      <c r="AJ23" s="52">
        <v>1157.74</v>
      </c>
      <c r="AK23" s="54">
        <v>518.74</v>
      </c>
      <c r="AL23" s="52">
        <v>1676.48</v>
      </c>
      <c r="AM23" s="52">
        <v>48586.79</v>
      </c>
      <c r="AN23" s="52">
        <v>2579.4400000000005</v>
      </c>
      <c r="AO23" s="52">
        <v>51166.23</v>
      </c>
      <c r="AP23" s="52">
        <v>-593.38</v>
      </c>
      <c r="AQ23" s="54">
        <v>269.89999999999998</v>
      </c>
      <c r="AR23" s="52">
        <v>-323.48</v>
      </c>
      <c r="AS23" s="52">
        <v>-680.9</v>
      </c>
      <c r="AT23" s="54">
        <v>365.04</v>
      </c>
      <c r="AU23" s="52">
        <v>-315.85999999999996</v>
      </c>
      <c r="AV23" s="52">
        <v>3889.23</v>
      </c>
      <c r="AW23" s="54">
        <v>669.29</v>
      </c>
      <c r="AX23" s="52">
        <v>4558.5200000000004</v>
      </c>
      <c r="AY23" s="52">
        <v>8034.33</v>
      </c>
      <c r="AZ23" s="54">
        <v>439.15999999999997</v>
      </c>
      <c r="BA23" s="52">
        <v>8473.49</v>
      </c>
      <c r="BB23" s="52">
        <v>1605.51</v>
      </c>
      <c r="BC23" s="54">
        <v>368.96</v>
      </c>
      <c r="BD23" s="52">
        <v>1974.47</v>
      </c>
      <c r="BE23" s="52">
        <v>-379.14</v>
      </c>
      <c r="BF23" s="54">
        <v>376.76</v>
      </c>
      <c r="BG23" s="471">
        <v>-2.3799999999999955</v>
      </c>
      <c r="BH23" s="471">
        <v>211.35</v>
      </c>
      <c r="BI23" s="54">
        <v>624.03</v>
      </c>
      <c r="BJ23" s="471">
        <v>835.38</v>
      </c>
    </row>
    <row r="24" spans="1:62" x14ac:dyDescent="0.2">
      <c r="A24" s="52" t="s">
        <v>178</v>
      </c>
      <c r="B24" s="52">
        <v>13151</v>
      </c>
      <c r="C24" s="52">
        <v>0</v>
      </c>
      <c r="D24" s="54">
        <v>0</v>
      </c>
      <c r="E24" s="52">
        <v>0</v>
      </c>
      <c r="F24" s="52">
        <v>0</v>
      </c>
      <c r="G24" s="54">
        <v>0</v>
      </c>
      <c r="H24" s="52">
        <v>0</v>
      </c>
      <c r="I24" s="52">
        <v>0</v>
      </c>
      <c r="J24" s="54">
        <v>0</v>
      </c>
      <c r="K24" s="52">
        <v>0</v>
      </c>
      <c r="L24" s="52">
        <v>0</v>
      </c>
      <c r="M24" s="54">
        <v>0</v>
      </c>
      <c r="N24" s="52">
        <v>0</v>
      </c>
      <c r="O24" s="52">
        <v>0</v>
      </c>
      <c r="P24" s="54">
        <v>0</v>
      </c>
      <c r="Q24" s="52">
        <v>0</v>
      </c>
      <c r="R24" s="52">
        <v>0</v>
      </c>
      <c r="S24" s="54">
        <v>0</v>
      </c>
      <c r="T24" s="52">
        <v>0</v>
      </c>
      <c r="U24" s="86">
        <v>0</v>
      </c>
      <c r="V24" s="470">
        <v>0</v>
      </c>
      <c r="W24" s="52">
        <v>0</v>
      </c>
      <c r="X24" s="52">
        <v>15288</v>
      </c>
      <c r="Y24" s="54">
        <v>0</v>
      </c>
      <c r="Z24" s="52">
        <v>15288</v>
      </c>
      <c r="AA24" s="54">
        <v>-423.25</v>
      </c>
      <c r="AB24" s="54">
        <v>602.94000000000005</v>
      </c>
      <c r="AC24" s="52">
        <v>179.69000000000005</v>
      </c>
      <c r="AD24" s="52">
        <v>6791.22</v>
      </c>
      <c r="AE24" s="54">
        <v>539.76</v>
      </c>
      <c r="AF24" s="52">
        <v>7330.9800000000005</v>
      </c>
      <c r="AG24" s="52">
        <v>3678.34</v>
      </c>
      <c r="AH24" s="54">
        <v>-3.89</v>
      </c>
      <c r="AI24" s="52">
        <v>3674.4500000000003</v>
      </c>
      <c r="AJ24" s="52">
        <v>3126.97</v>
      </c>
      <c r="AK24" s="54">
        <v>507.18</v>
      </c>
      <c r="AL24" s="52">
        <v>3634.1499999999996</v>
      </c>
      <c r="AM24" s="52">
        <v>28461.280000000002</v>
      </c>
      <c r="AN24" s="52">
        <v>1645.99</v>
      </c>
      <c r="AO24" s="52">
        <v>30107.270000000004</v>
      </c>
      <c r="AP24" s="52">
        <v>-265.19</v>
      </c>
      <c r="AQ24" s="54">
        <v>239.2</v>
      </c>
      <c r="AR24" s="52">
        <v>-25.990000000000009</v>
      </c>
      <c r="AS24" s="52">
        <v>-307.67</v>
      </c>
      <c r="AT24" s="54">
        <v>294.83999999999997</v>
      </c>
      <c r="AU24" s="52">
        <v>-12.830000000000041</v>
      </c>
      <c r="AV24" s="52">
        <v>2540.38</v>
      </c>
      <c r="AW24" s="54">
        <v>247.71</v>
      </c>
      <c r="AX24" s="52">
        <v>2788.09</v>
      </c>
      <c r="AY24" s="52">
        <v>-382.66</v>
      </c>
      <c r="AZ24" s="54">
        <v>224.64</v>
      </c>
      <c r="BA24" s="52">
        <v>-158.02000000000004</v>
      </c>
      <c r="BB24" s="52">
        <v>9408</v>
      </c>
      <c r="BC24" s="54">
        <v>241.02</v>
      </c>
      <c r="BD24" s="52">
        <v>9649.02</v>
      </c>
      <c r="BE24" s="52">
        <v>-281.12</v>
      </c>
      <c r="BF24" s="54">
        <v>345.54</v>
      </c>
      <c r="BG24" s="471">
        <v>64.420000000000016</v>
      </c>
      <c r="BH24" s="471">
        <v>-220.17</v>
      </c>
      <c r="BI24" s="54">
        <v>322.92</v>
      </c>
      <c r="BJ24" s="471">
        <v>102.75000000000003</v>
      </c>
    </row>
    <row r="25" spans="1:62" x14ac:dyDescent="0.2">
      <c r="A25" s="52" t="s">
        <v>179</v>
      </c>
      <c r="B25" s="52">
        <v>13095</v>
      </c>
      <c r="C25" s="52">
        <v>-25.74</v>
      </c>
      <c r="D25" s="54">
        <v>0</v>
      </c>
      <c r="E25" s="52">
        <v>-25.74</v>
      </c>
      <c r="F25" s="52">
        <v>-2459.65</v>
      </c>
      <c r="G25" s="54">
        <v>1448.44</v>
      </c>
      <c r="H25" s="52">
        <v>-1011.21</v>
      </c>
      <c r="I25" s="52">
        <v>14625.83</v>
      </c>
      <c r="J25" s="54">
        <v>1044.9000000000001</v>
      </c>
      <c r="K25" s="52">
        <v>15670.73</v>
      </c>
      <c r="L25" s="52">
        <v>4962.99</v>
      </c>
      <c r="M25" s="54">
        <v>4.46</v>
      </c>
      <c r="N25" s="52">
        <v>4967.45</v>
      </c>
      <c r="O25" s="52">
        <v>8006.83</v>
      </c>
      <c r="P25" s="54">
        <v>0</v>
      </c>
      <c r="Q25" s="52">
        <v>8006.83</v>
      </c>
      <c r="R25" s="52">
        <v>-423.11</v>
      </c>
      <c r="S25" s="54">
        <v>722.16</v>
      </c>
      <c r="T25" s="52">
        <v>299.04999999999995</v>
      </c>
      <c r="U25" s="86">
        <v>-270.97000000000003</v>
      </c>
      <c r="V25" s="470">
        <v>0</v>
      </c>
      <c r="W25" s="52">
        <v>-270.97000000000003</v>
      </c>
      <c r="X25" s="52">
        <v>-272.98</v>
      </c>
      <c r="Y25" s="54">
        <v>0</v>
      </c>
      <c r="Z25" s="52">
        <v>-272.98</v>
      </c>
      <c r="AA25" s="54">
        <v>-208.84</v>
      </c>
      <c r="AB25" s="54">
        <v>0</v>
      </c>
      <c r="AC25" s="52">
        <v>-208.84</v>
      </c>
      <c r="AD25" s="52">
        <v>-61.48</v>
      </c>
      <c r="AE25" s="54">
        <v>0</v>
      </c>
      <c r="AF25" s="52">
        <v>-61.48</v>
      </c>
      <c r="AG25" s="52">
        <v>-280</v>
      </c>
      <c r="AH25" s="54">
        <v>0</v>
      </c>
      <c r="AI25" s="52">
        <v>-280</v>
      </c>
      <c r="AJ25" s="52">
        <v>0</v>
      </c>
      <c r="AK25" s="54">
        <v>0</v>
      </c>
      <c r="AL25" s="52">
        <v>0</v>
      </c>
      <c r="AM25" s="52">
        <v>23592.880000000001</v>
      </c>
      <c r="AN25" s="52">
        <v>3219.96</v>
      </c>
      <c r="AO25" s="52">
        <v>26812.839999999997</v>
      </c>
      <c r="AP25" s="52">
        <v>-154.57</v>
      </c>
      <c r="AQ25" s="54">
        <v>0</v>
      </c>
      <c r="AR25" s="52">
        <v>-154.57</v>
      </c>
      <c r="AS25" s="52">
        <v>-85.14</v>
      </c>
      <c r="AT25" s="54">
        <v>0</v>
      </c>
      <c r="AU25" s="52">
        <v>-85.14</v>
      </c>
      <c r="AV25" s="52">
        <v>-2.19</v>
      </c>
      <c r="AW25" s="54">
        <v>0</v>
      </c>
      <c r="AX25" s="52">
        <v>-2.19</v>
      </c>
      <c r="AY25" s="52">
        <v>-3.96</v>
      </c>
      <c r="AZ25" s="54">
        <v>0</v>
      </c>
      <c r="BA25" s="52">
        <v>-3.96</v>
      </c>
      <c r="BB25" s="52">
        <v>-5.94</v>
      </c>
      <c r="BC25" s="54">
        <v>0</v>
      </c>
      <c r="BD25" s="52">
        <v>-5.94</v>
      </c>
      <c r="BE25" s="52">
        <v>-35.64</v>
      </c>
      <c r="BF25" s="54">
        <v>0</v>
      </c>
      <c r="BG25" s="471">
        <v>-35.64</v>
      </c>
      <c r="BH25" s="471">
        <v>-59.41</v>
      </c>
      <c r="BI25" s="54">
        <v>0</v>
      </c>
      <c r="BJ25" s="471">
        <v>-59.41</v>
      </c>
    </row>
    <row r="26" spans="1:62" x14ac:dyDescent="0.2">
      <c r="A26" s="52" t="s">
        <v>180</v>
      </c>
      <c r="B26" s="52">
        <v>13098</v>
      </c>
      <c r="C26" s="52">
        <v>-535.04999999999995</v>
      </c>
      <c r="D26" s="54">
        <v>1789.58</v>
      </c>
      <c r="E26" s="52">
        <v>1254.53</v>
      </c>
      <c r="F26" s="52">
        <v>14610.3</v>
      </c>
      <c r="G26" s="54">
        <v>2703.1</v>
      </c>
      <c r="H26" s="52">
        <v>17313.399999999998</v>
      </c>
      <c r="I26" s="52">
        <v>10626.19</v>
      </c>
      <c r="J26" s="54">
        <v>2051.59</v>
      </c>
      <c r="K26" s="52">
        <v>12677.78</v>
      </c>
      <c r="L26" s="52">
        <v>30759.21</v>
      </c>
      <c r="M26" s="54">
        <v>3552.9700000000003</v>
      </c>
      <c r="N26" s="52">
        <v>34312.18</v>
      </c>
      <c r="O26" s="52">
        <v>15381.36</v>
      </c>
      <c r="P26" s="54">
        <v>1919</v>
      </c>
      <c r="Q26" s="52">
        <v>17300.36</v>
      </c>
      <c r="R26" s="52">
        <v>-1095.96</v>
      </c>
      <c r="S26" s="54">
        <v>1585.08</v>
      </c>
      <c r="T26" s="52">
        <v>489.11999999999989</v>
      </c>
      <c r="U26" s="86">
        <v>-986.71</v>
      </c>
      <c r="V26" s="470">
        <v>0</v>
      </c>
      <c r="W26" s="52">
        <v>-986.71</v>
      </c>
      <c r="X26" s="52">
        <v>-872.99</v>
      </c>
      <c r="Y26" s="54">
        <v>0</v>
      </c>
      <c r="Z26" s="52">
        <v>-872.99</v>
      </c>
      <c r="AA26" s="54">
        <v>-79.73</v>
      </c>
      <c r="AB26" s="54">
        <v>0</v>
      </c>
      <c r="AC26" s="52">
        <v>-79.73</v>
      </c>
      <c r="AD26" s="52">
        <v>-18.91</v>
      </c>
      <c r="AE26" s="54">
        <v>0</v>
      </c>
      <c r="AF26" s="52">
        <v>-18.91</v>
      </c>
      <c r="AG26" s="52">
        <v>-60.5</v>
      </c>
      <c r="AH26" s="54">
        <v>0</v>
      </c>
      <c r="AI26" s="52">
        <v>-60.5</v>
      </c>
      <c r="AJ26" s="52">
        <v>0</v>
      </c>
      <c r="AK26" s="54">
        <v>0</v>
      </c>
      <c r="AL26" s="52">
        <v>0</v>
      </c>
      <c r="AM26" s="52">
        <v>67727.209999999992</v>
      </c>
      <c r="AN26" s="52">
        <v>13601.320000000002</v>
      </c>
      <c r="AO26" s="52">
        <v>81328.529999999984</v>
      </c>
      <c r="AP26" s="52">
        <v>-324.74</v>
      </c>
      <c r="AQ26" s="54">
        <v>0</v>
      </c>
      <c r="AR26" s="52">
        <v>-324.74</v>
      </c>
      <c r="AS26" s="52">
        <v>-152.46</v>
      </c>
      <c r="AT26" s="54">
        <v>0</v>
      </c>
      <c r="AU26" s="52">
        <v>-152.46</v>
      </c>
      <c r="AV26" s="52">
        <v>-140.58000000000001</v>
      </c>
      <c r="AW26" s="54">
        <v>0</v>
      </c>
      <c r="AX26" s="52">
        <v>-140.58000000000001</v>
      </c>
      <c r="AY26" s="52">
        <v>0</v>
      </c>
      <c r="AZ26" s="54">
        <v>0</v>
      </c>
      <c r="BA26" s="52">
        <v>0</v>
      </c>
      <c r="BB26" s="52">
        <v>-146.52000000000001</v>
      </c>
      <c r="BC26" s="54">
        <v>0</v>
      </c>
      <c r="BD26" s="52">
        <v>-146.52000000000001</v>
      </c>
      <c r="BE26" s="52">
        <v>-95.04</v>
      </c>
      <c r="BF26" s="54">
        <v>0</v>
      </c>
      <c r="BG26" s="471">
        <v>-95.04</v>
      </c>
      <c r="BH26" s="471">
        <v>-63.36</v>
      </c>
      <c r="BI26" s="54">
        <v>0</v>
      </c>
      <c r="BJ26" s="471">
        <v>-63.36</v>
      </c>
    </row>
    <row r="27" spans="1:62" x14ac:dyDescent="0.2">
      <c r="A27" s="52" t="s">
        <v>181</v>
      </c>
      <c r="B27" s="52">
        <v>13104</v>
      </c>
      <c r="C27" s="52">
        <v>-653.75</v>
      </c>
      <c r="D27" s="54">
        <v>1465.28</v>
      </c>
      <c r="E27" s="52">
        <v>811.53</v>
      </c>
      <c r="F27" s="52">
        <v>5561.72</v>
      </c>
      <c r="G27" s="54">
        <v>2550.7400000000002</v>
      </c>
      <c r="H27" s="52">
        <v>8112.4600000000009</v>
      </c>
      <c r="I27" s="52">
        <v>13410.04</v>
      </c>
      <c r="J27" s="54">
        <v>2801.92</v>
      </c>
      <c r="K27" s="52">
        <v>16211.960000000001</v>
      </c>
      <c r="L27" s="52">
        <v>14268.99</v>
      </c>
      <c r="M27" s="54">
        <v>1986.54</v>
      </c>
      <c r="N27" s="52">
        <v>16255.529999999999</v>
      </c>
      <c r="O27" s="52">
        <v>18617.57</v>
      </c>
      <c r="P27" s="54">
        <v>2291.56</v>
      </c>
      <c r="Q27" s="52">
        <v>20909.13</v>
      </c>
      <c r="R27" s="52">
        <v>762.82</v>
      </c>
      <c r="S27" s="54">
        <v>1446.36</v>
      </c>
      <c r="T27" s="52">
        <v>2209.1799999999998</v>
      </c>
      <c r="U27" s="86">
        <v>-843.93</v>
      </c>
      <c r="V27" s="470">
        <v>0</v>
      </c>
      <c r="W27" s="52">
        <v>-843.93</v>
      </c>
      <c r="X27" s="52">
        <v>-605.78</v>
      </c>
      <c r="Y27" s="54">
        <v>0</v>
      </c>
      <c r="Z27" s="52">
        <v>-605.78</v>
      </c>
      <c r="AA27" s="54">
        <v>-89.49</v>
      </c>
      <c r="AB27" s="54">
        <v>0</v>
      </c>
      <c r="AC27" s="52">
        <v>-89.49</v>
      </c>
      <c r="AD27" s="52">
        <v>0</v>
      </c>
      <c r="AE27" s="54">
        <v>0</v>
      </c>
      <c r="AF27" s="52">
        <v>0</v>
      </c>
      <c r="AG27" s="52">
        <v>-144.19</v>
      </c>
      <c r="AH27" s="54">
        <v>0</v>
      </c>
      <c r="AI27" s="52">
        <v>-144.19</v>
      </c>
      <c r="AJ27" s="52">
        <v>0</v>
      </c>
      <c r="AK27" s="54">
        <v>0</v>
      </c>
      <c r="AL27" s="52">
        <v>0</v>
      </c>
      <c r="AM27" s="52">
        <v>50284</v>
      </c>
      <c r="AN27" s="52">
        <v>12542.4</v>
      </c>
      <c r="AO27" s="52">
        <v>62826.400000000001</v>
      </c>
      <c r="AP27" s="52">
        <v>-470.05</v>
      </c>
      <c r="AQ27" s="54">
        <v>0</v>
      </c>
      <c r="AR27" s="52">
        <v>-470.05</v>
      </c>
      <c r="AS27" s="52">
        <v>-19.8</v>
      </c>
      <c r="AT27" s="54">
        <v>0</v>
      </c>
      <c r="AU27" s="52">
        <v>-19.8</v>
      </c>
      <c r="AV27" s="52">
        <v>-137.04</v>
      </c>
      <c r="AW27" s="54">
        <v>0</v>
      </c>
      <c r="AX27" s="52">
        <v>-137.04</v>
      </c>
      <c r="AY27" s="52">
        <v>-1.98</v>
      </c>
      <c r="AZ27" s="54">
        <v>0</v>
      </c>
      <c r="BA27" s="52">
        <v>-1.98</v>
      </c>
      <c r="BB27" s="52">
        <v>-7.92</v>
      </c>
      <c r="BC27" s="54">
        <v>0</v>
      </c>
      <c r="BD27" s="52">
        <v>-7.92</v>
      </c>
      <c r="BE27" s="52">
        <v>-35.64</v>
      </c>
      <c r="BF27" s="54">
        <v>0</v>
      </c>
      <c r="BG27" s="471">
        <v>-35.64</v>
      </c>
      <c r="BH27" s="471">
        <v>-15.87</v>
      </c>
      <c r="BI27" s="54">
        <v>0</v>
      </c>
      <c r="BJ27" s="471">
        <v>-15.87</v>
      </c>
    </row>
    <row r="28" spans="1:62" x14ac:dyDescent="0.2">
      <c r="A28" s="52" t="s">
        <v>182</v>
      </c>
      <c r="B28" s="52">
        <v>13101</v>
      </c>
      <c r="C28" s="52">
        <v>-812.05</v>
      </c>
      <c r="D28" s="54">
        <v>758.11</v>
      </c>
      <c r="E28" s="52">
        <v>-53.939999999999941</v>
      </c>
      <c r="F28" s="52">
        <v>9068.56</v>
      </c>
      <c r="G28" s="54">
        <v>2403.7400000000002</v>
      </c>
      <c r="H28" s="52">
        <v>11472.3</v>
      </c>
      <c r="I28" s="52">
        <v>15692.28</v>
      </c>
      <c r="J28" s="54">
        <v>2770.91</v>
      </c>
      <c r="K28" s="52">
        <v>18463.190000000002</v>
      </c>
      <c r="L28" s="52">
        <v>20179.669999999998</v>
      </c>
      <c r="M28" s="54">
        <v>2346.5700000000002</v>
      </c>
      <c r="N28" s="52">
        <v>22526.239999999998</v>
      </c>
      <c r="O28" s="52">
        <v>13241.88</v>
      </c>
      <c r="P28" s="54">
        <v>474.94</v>
      </c>
      <c r="Q28" s="52">
        <v>13716.82</v>
      </c>
      <c r="R28" s="52">
        <v>12261.61</v>
      </c>
      <c r="S28" s="54">
        <v>1542.29</v>
      </c>
      <c r="T28" s="52">
        <v>13803.900000000001</v>
      </c>
      <c r="U28" s="86">
        <v>-1083.77</v>
      </c>
      <c r="V28" s="470">
        <v>0</v>
      </c>
      <c r="W28" s="52">
        <v>-1083.77</v>
      </c>
      <c r="X28" s="52">
        <v>-967.24</v>
      </c>
      <c r="Y28" s="54">
        <v>0</v>
      </c>
      <c r="Z28" s="52">
        <v>-967.24</v>
      </c>
      <c r="AA28" s="54">
        <v>-51.33</v>
      </c>
      <c r="AB28" s="54">
        <v>0</v>
      </c>
      <c r="AC28" s="52">
        <v>-51.33</v>
      </c>
      <c r="AD28" s="52">
        <v>-4.17</v>
      </c>
      <c r="AE28" s="54">
        <v>0</v>
      </c>
      <c r="AF28" s="52">
        <v>-4.17</v>
      </c>
      <c r="AG28" s="52">
        <v>-438.18</v>
      </c>
      <c r="AH28" s="54">
        <v>0</v>
      </c>
      <c r="AI28" s="52">
        <v>-438.18</v>
      </c>
      <c r="AJ28" s="52">
        <v>-8.92</v>
      </c>
      <c r="AK28" s="54">
        <v>0</v>
      </c>
      <c r="AL28" s="52">
        <v>-8.92</v>
      </c>
      <c r="AM28" s="52">
        <v>67078.34</v>
      </c>
      <c r="AN28" s="52">
        <v>10296.560000000001</v>
      </c>
      <c r="AO28" s="52">
        <v>77374.900000000009</v>
      </c>
      <c r="AP28" s="52">
        <v>-91.15</v>
      </c>
      <c r="AQ28" s="54">
        <v>0</v>
      </c>
      <c r="AR28" s="52">
        <v>-91.15</v>
      </c>
      <c r="AS28" s="52">
        <v>-77.22</v>
      </c>
      <c r="AT28" s="54">
        <v>0</v>
      </c>
      <c r="AU28" s="52">
        <v>-77.22</v>
      </c>
      <c r="AV28" s="52">
        <v>-202.08</v>
      </c>
      <c r="AW28" s="54">
        <v>0</v>
      </c>
      <c r="AX28" s="52">
        <v>-202.08</v>
      </c>
      <c r="AY28" s="52">
        <v>-1.98</v>
      </c>
      <c r="AZ28" s="54">
        <v>0</v>
      </c>
      <c r="BA28" s="52">
        <v>-1.98</v>
      </c>
      <c r="BB28" s="52">
        <v>0</v>
      </c>
      <c r="BC28" s="54">
        <v>0</v>
      </c>
      <c r="BD28" s="52">
        <v>0</v>
      </c>
      <c r="BE28" s="52">
        <v>-5.94</v>
      </c>
      <c r="BF28" s="54">
        <v>0</v>
      </c>
      <c r="BG28" s="471">
        <v>-5.94</v>
      </c>
      <c r="BH28" s="471">
        <v>-67.34</v>
      </c>
      <c r="BI28" s="54">
        <v>0</v>
      </c>
      <c r="BJ28" s="471">
        <v>-67.34</v>
      </c>
    </row>
    <row r="29" spans="1:62" x14ac:dyDescent="0.2">
      <c r="A29" s="52" t="s">
        <v>183</v>
      </c>
      <c r="B29" s="52">
        <v>13096</v>
      </c>
      <c r="C29" s="52">
        <v>-375.03</v>
      </c>
      <c r="D29" s="54">
        <v>273.29000000000002</v>
      </c>
      <c r="E29" s="52">
        <v>-101.73999999999995</v>
      </c>
      <c r="F29" s="52">
        <v>1286.49</v>
      </c>
      <c r="G29" s="54">
        <v>448.33</v>
      </c>
      <c r="H29" s="52">
        <v>1734.82</v>
      </c>
      <c r="I29" s="52">
        <v>753.04</v>
      </c>
      <c r="J29" s="54">
        <v>289.16000000000003</v>
      </c>
      <c r="K29" s="52">
        <v>1042.2</v>
      </c>
      <c r="L29" s="52">
        <v>3357.28</v>
      </c>
      <c r="M29" s="54">
        <v>1615.1599999999999</v>
      </c>
      <c r="N29" s="52">
        <v>4972.4400000000005</v>
      </c>
      <c r="O29" s="52">
        <v>2703.03</v>
      </c>
      <c r="P29" s="54">
        <v>436.91</v>
      </c>
      <c r="Q29" s="52">
        <v>3139.94</v>
      </c>
      <c r="R29" s="52">
        <v>8944.68</v>
      </c>
      <c r="S29" s="54">
        <v>574.18000000000006</v>
      </c>
      <c r="T29" s="52">
        <v>9518.86</v>
      </c>
      <c r="U29" s="86">
        <v>-341.04</v>
      </c>
      <c r="V29" s="470">
        <v>0</v>
      </c>
      <c r="W29" s="52">
        <v>-341.04</v>
      </c>
      <c r="X29" s="52">
        <v>-338.49</v>
      </c>
      <c r="Y29" s="54">
        <v>0</v>
      </c>
      <c r="Z29" s="52">
        <v>-338.49</v>
      </c>
      <c r="AA29" s="54">
        <v>-74.05</v>
      </c>
      <c r="AB29" s="54">
        <v>0</v>
      </c>
      <c r="AC29" s="52">
        <v>-74.05</v>
      </c>
      <c r="AD29" s="52">
        <v>-107.54</v>
      </c>
      <c r="AE29" s="54">
        <v>0</v>
      </c>
      <c r="AF29" s="52">
        <v>-107.54</v>
      </c>
      <c r="AG29" s="52">
        <v>-43.56</v>
      </c>
      <c r="AH29" s="54">
        <v>0</v>
      </c>
      <c r="AI29" s="52">
        <v>-43.56</v>
      </c>
      <c r="AJ29" s="52">
        <v>-45.21</v>
      </c>
      <c r="AK29" s="54">
        <v>0</v>
      </c>
      <c r="AL29" s="52">
        <v>-45.21</v>
      </c>
      <c r="AM29" s="52">
        <v>15719.600000000002</v>
      </c>
      <c r="AN29" s="52">
        <v>3637.0299999999997</v>
      </c>
      <c r="AO29" s="52">
        <v>19356.629999999997</v>
      </c>
      <c r="AP29" s="52">
        <v>-189.76</v>
      </c>
      <c r="AQ29" s="54">
        <v>0</v>
      </c>
      <c r="AR29" s="52">
        <v>-189.76</v>
      </c>
      <c r="AS29" s="52">
        <v>-44.88</v>
      </c>
      <c r="AT29" s="54">
        <v>0</v>
      </c>
      <c r="AU29" s="52">
        <v>-44.88</v>
      </c>
      <c r="AV29" s="52">
        <v>-243.08</v>
      </c>
      <c r="AW29" s="54">
        <v>0</v>
      </c>
      <c r="AX29" s="52">
        <v>-243.08</v>
      </c>
      <c r="AY29" s="52">
        <v>-241.56</v>
      </c>
      <c r="AZ29" s="54">
        <v>0</v>
      </c>
      <c r="BA29" s="52">
        <v>-241.56</v>
      </c>
      <c r="BB29" s="52">
        <v>-13.2</v>
      </c>
      <c r="BC29" s="54">
        <v>0</v>
      </c>
      <c r="BD29" s="52">
        <v>-13.2</v>
      </c>
      <c r="BE29" s="52">
        <v>0</v>
      </c>
      <c r="BF29" s="54">
        <v>0</v>
      </c>
      <c r="BG29" s="471">
        <v>0</v>
      </c>
      <c r="BH29" s="471">
        <v>-11.88</v>
      </c>
      <c r="BI29" s="54">
        <v>0</v>
      </c>
      <c r="BJ29" s="471">
        <v>-11.88</v>
      </c>
    </row>
    <row r="30" spans="1:62" x14ac:dyDescent="0.2">
      <c r="A30" s="52" t="s">
        <v>184</v>
      </c>
      <c r="B30" s="52">
        <v>13099</v>
      </c>
      <c r="C30" s="52">
        <v>-223</v>
      </c>
      <c r="D30" s="54">
        <v>567.41999999999996</v>
      </c>
      <c r="E30" s="52">
        <v>344.41999999999996</v>
      </c>
      <c r="F30" s="52">
        <v>6146.75</v>
      </c>
      <c r="G30" s="54">
        <v>839.5</v>
      </c>
      <c r="H30" s="52">
        <v>6986.25</v>
      </c>
      <c r="I30" s="52">
        <v>657.47</v>
      </c>
      <c r="J30" s="54">
        <v>620.13</v>
      </c>
      <c r="K30" s="52">
        <v>1277.5999999999999</v>
      </c>
      <c r="L30" s="52">
        <v>14107.89</v>
      </c>
      <c r="M30" s="54">
        <v>1000.35</v>
      </c>
      <c r="N30" s="52">
        <v>15108.24</v>
      </c>
      <c r="O30" s="52">
        <v>8597.7000000000007</v>
      </c>
      <c r="P30" s="54">
        <v>1201.4900000000002</v>
      </c>
      <c r="Q30" s="52">
        <v>9799.19</v>
      </c>
      <c r="R30" s="52">
        <v>-378.81</v>
      </c>
      <c r="S30" s="54">
        <v>1176.78</v>
      </c>
      <c r="T30" s="52">
        <v>797.97</v>
      </c>
      <c r="U30" s="86">
        <v>-658.81</v>
      </c>
      <c r="V30" s="470">
        <v>0</v>
      </c>
      <c r="W30" s="52">
        <v>-658.81</v>
      </c>
      <c r="X30" s="52">
        <v>-348.98</v>
      </c>
      <c r="Y30" s="54">
        <v>0</v>
      </c>
      <c r="Z30" s="52">
        <v>-348.98</v>
      </c>
      <c r="AA30" s="54">
        <v>-42.64</v>
      </c>
      <c r="AB30" s="54">
        <v>0</v>
      </c>
      <c r="AC30" s="52">
        <v>-42.64</v>
      </c>
      <c r="AD30" s="52">
        <v>-39.6</v>
      </c>
      <c r="AE30" s="54">
        <v>0</v>
      </c>
      <c r="AF30" s="52">
        <v>-39.6</v>
      </c>
      <c r="AG30" s="52">
        <v>-52.48</v>
      </c>
      <c r="AH30" s="54">
        <v>0</v>
      </c>
      <c r="AI30" s="52">
        <v>-52.48</v>
      </c>
      <c r="AJ30" s="52">
        <v>0</v>
      </c>
      <c r="AK30" s="54">
        <v>0</v>
      </c>
      <c r="AL30" s="52">
        <v>0</v>
      </c>
      <c r="AM30" s="52">
        <v>27765.49</v>
      </c>
      <c r="AN30" s="52">
        <v>5405.67</v>
      </c>
      <c r="AO30" s="52">
        <v>33171.160000000003</v>
      </c>
      <c r="AP30" s="52">
        <v>-459.36</v>
      </c>
      <c r="AQ30" s="54">
        <v>0</v>
      </c>
      <c r="AR30" s="52">
        <v>-459.36</v>
      </c>
      <c r="AS30" s="52">
        <v>-27.72</v>
      </c>
      <c r="AT30" s="54">
        <v>0</v>
      </c>
      <c r="AU30" s="52">
        <v>-27.72</v>
      </c>
      <c r="AV30" s="52">
        <v>-130.88</v>
      </c>
      <c r="AW30" s="54">
        <v>0</v>
      </c>
      <c r="AX30" s="52">
        <v>-130.88</v>
      </c>
      <c r="AY30" s="52">
        <v>-34.32</v>
      </c>
      <c r="AZ30" s="54">
        <v>0</v>
      </c>
      <c r="BA30" s="52">
        <v>-34.32</v>
      </c>
      <c r="BB30" s="52">
        <v>-2.84</v>
      </c>
      <c r="BC30" s="54">
        <v>0</v>
      </c>
      <c r="BD30" s="52">
        <v>-2.84</v>
      </c>
      <c r="BE30" s="52">
        <v>-1.32</v>
      </c>
      <c r="BF30" s="54">
        <v>0</v>
      </c>
      <c r="BG30" s="471">
        <v>-1.32</v>
      </c>
      <c r="BH30" s="471">
        <v>-18.48</v>
      </c>
      <c r="BI30" s="54">
        <v>0</v>
      </c>
      <c r="BJ30" s="471">
        <v>-18.48</v>
      </c>
    </row>
    <row r="31" spans="1:62" x14ac:dyDescent="0.2">
      <c r="A31" s="52" t="s">
        <v>185</v>
      </c>
      <c r="B31" s="52">
        <v>13105</v>
      </c>
      <c r="C31" s="52">
        <v>623.74</v>
      </c>
      <c r="D31" s="54">
        <v>348.39</v>
      </c>
      <c r="E31" s="52">
        <v>972.13</v>
      </c>
      <c r="F31" s="52">
        <v>6573.53</v>
      </c>
      <c r="G31" s="54">
        <v>725.03</v>
      </c>
      <c r="H31" s="52">
        <v>7298.5599999999995</v>
      </c>
      <c r="I31" s="52">
        <v>413.95</v>
      </c>
      <c r="J31" s="54">
        <v>455.05</v>
      </c>
      <c r="K31" s="52">
        <v>869</v>
      </c>
      <c r="L31" s="52">
        <v>10565.1</v>
      </c>
      <c r="M31" s="54">
        <v>789.12</v>
      </c>
      <c r="N31" s="52">
        <v>11354.220000000001</v>
      </c>
      <c r="O31" s="52">
        <v>5445.66</v>
      </c>
      <c r="P31" s="54">
        <v>786.92</v>
      </c>
      <c r="Q31" s="52">
        <v>6232.58</v>
      </c>
      <c r="R31" s="52">
        <v>3315.45</v>
      </c>
      <c r="S31" s="54">
        <v>1628.51</v>
      </c>
      <c r="T31" s="52">
        <v>4943.96</v>
      </c>
      <c r="U31" s="86">
        <v>-644.4</v>
      </c>
      <c r="V31" s="470">
        <v>0</v>
      </c>
      <c r="W31" s="52">
        <v>-644.4</v>
      </c>
      <c r="X31" s="52">
        <v>-236.96</v>
      </c>
      <c r="Y31" s="54">
        <v>0</v>
      </c>
      <c r="Z31" s="52">
        <v>-236.96</v>
      </c>
      <c r="AA31" s="54">
        <v>-56.96</v>
      </c>
      <c r="AB31" s="54">
        <v>0</v>
      </c>
      <c r="AC31" s="52">
        <v>-56.96</v>
      </c>
      <c r="AD31" s="52">
        <v>-27.72</v>
      </c>
      <c r="AE31" s="54">
        <v>0</v>
      </c>
      <c r="AF31" s="52">
        <v>-27.72</v>
      </c>
      <c r="AG31" s="52">
        <v>-26.4</v>
      </c>
      <c r="AH31" s="54">
        <v>0</v>
      </c>
      <c r="AI31" s="52">
        <v>-26.4</v>
      </c>
      <c r="AJ31" s="52">
        <v>0</v>
      </c>
      <c r="AK31" s="54">
        <v>0</v>
      </c>
      <c r="AL31" s="52">
        <v>0</v>
      </c>
      <c r="AM31" s="52">
        <v>25944.989999999998</v>
      </c>
      <c r="AN31" s="52">
        <v>4733.0200000000004</v>
      </c>
      <c r="AO31" s="52">
        <v>30678.009999999995</v>
      </c>
      <c r="AP31" s="52">
        <v>-23.76</v>
      </c>
      <c r="AQ31" s="54">
        <v>0</v>
      </c>
      <c r="AR31" s="52">
        <v>-23.76</v>
      </c>
      <c r="AS31" s="52">
        <v>-669.24</v>
      </c>
      <c r="AT31" s="54">
        <v>0</v>
      </c>
      <c r="AU31" s="52">
        <v>-669.24</v>
      </c>
      <c r="AV31" s="52">
        <v>-60.24</v>
      </c>
      <c r="AW31" s="54">
        <v>0</v>
      </c>
      <c r="AX31" s="52">
        <v>-60.24</v>
      </c>
      <c r="AY31" s="52">
        <v>-39.6</v>
      </c>
      <c r="AZ31" s="54">
        <v>0</v>
      </c>
      <c r="BA31" s="52">
        <v>-39.6</v>
      </c>
      <c r="BB31" s="52">
        <v>-14.52</v>
      </c>
      <c r="BC31" s="54">
        <v>0</v>
      </c>
      <c r="BD31" s="52">
        <v>-14.52</v>
      </c>
      <c r="BE31" s="52">
        <v>-1.32</v>
      </c>
      <c r="BF31" s="54">
        <v>0</v>
      </c>
      <c r="BG31" s="471">
        <v>-1.32</v>
      </c>
      <c r="BH31" s="471">
        <v>-5.28</v>
      </c>
      <c r="BI31" s="54">
        <v>0</v>
      </c>
      <c r="BJ31" s="471">
        <v>-5.28</v>
      </c>
    </row>
    <row r="32" spans="1:62" x14ac:dyDescent="0.2">
      <c r="A32" s="52" t="s">
        <v>186</v>
      </c>
      <c r="B32" s="52">
        <v>13102</v>
      </c>
      <c r="C32" s="52">
        <v>-109.98</v>
      </c>
      <c r="D32" s="54">
        <v>325.43</v>
      </c>
      <c r="E32" s="52">
        <v>215.45</v>
      </c>
      <c r="F32" s="52">
        <v>2558.31</v>
      </c>
      <c r="G32" s="54">
        <v>949.05000000000007</v>
      </c>
      <c r="H32" s="52">
        <v>3507.36</v>
      </c>
      <c r="I32" s="52">
        <v>3903.21</v>
      </c>
      <c r="J32" s="54">
        <v>504.96</v>
      </c>
      <c r="K32" s="52">
        <v>4408.17</v>
      </c>
      <c r="L32" s="52">
        <v>6185.19</v>
      </c>
      <c r="M32" s="54">
        <v>830.06000000000006</v>
      </c>
      <c r="N32" s="52">
        <v>7015.25</v>
      </c>
      <c r="O32" s="52">
        <v>9126.09</v>
      </c>
      <c r="P32" s="54">
        <v>453.01</v>
      </c>
      <c r="Q32" s="52">
        <v>9579.1</v>
      </c>
      <c r="R32" s="52">
        <v>8947.1299999999992</v>
      </c>
      <c r="S32" s="54">
        <v>1080.99</v>
      </c>
      <c r="T32" s="52">
        <v>10028.119999999999</v>
      </c>
      <c r="U32" s="86">
        <v>-572.29999999999995</v>
      </c>
      <c r="V32" s="470">
        <v>0</v>
      </c>
      <c r="W32" s="52">
        <v>-572.29999999999995</v>
      </c>
      <c r="X32" s="52">
        <v>-425.75</v>
      </c>
      <c r="Y32" s="54">
        <v>0</v>
      </c>
      <c r="Z32" s="52">
        <v>-425.75</v>
      </c>
      <c r="AA32" s="54">
        <v>-72.430000000000007</v>
      </c>
      <c r="AB32" s="54">
        <v>0</v>
      </c>
      <c r="AC32" s="52">
        <v>-72.430000000000007</v>
      </c>
      <c r="AD32" s="52">
        <v>-41.12</v>
      </c>
      <c r="AE32" s="54">
        <v>0</v>
      </c>
      <c r="AF32" s="52">
        <v>-41.12</v>
      </c>
      <c r="AG32" s="52">
        <v>-52.8</v>
      </c>
      <c r="AH32" s="54">
        <v>0</v>
      </c>
      <c r="AI32" s="52">
        <v>-52.8</v>
      </c>
      <c r="AJ32" s="52">
        <v>0</v>
      </c>
      <c r="AK32" s="54">
        <v>0</v>
      </c>
      <c r="AL32" s="52">
        <v>0</v>
      </c>
      <c r="AM32" s="52">
        <v>29445.55</v>
      </c>
      <c r="AN32" s="52">
        <v>4143.5</v>
      </c>
      <c r="AO32" s="52">
        <v>33589.049999999988</v>
      </c>
      <c r="AP32" s="52">
        <v>-19.8</v>
      </c>
      <c r="AQ32" s="54">
        <v>0</v>
      </c>
      <c r="AR32" s="52">
        <v>-19.8</v>
      </c>
      <c r="AS32" s="52">
        <v>-484.44</v>
      </c>
      <c r="AT32" s="54">
        <v>0</v>
      </c>
      <c r="AU32" s="52">
        <v>-484.44</v>
      </c>
      <c r="AV32" s="52">
        <v>-58.08</v>
      </c>
      <c r="AW32" s="54">
        <v>0</v>
      </c>
      <c r="AX32" s="52">
        <v>-58.08</v>
      </c>
      <c r="AY32" s="52">
        <v>-42.24</v>
      </c>
      <c r="AZ32" s="54">
        <v>0</v>
      </c>
      <c r="BA32" s="52">
        <v>-42.24</v>
      </c>
      <c r="BB32" s="52">
        <v>-7.92</v>
      </c>
      <c r="BC32" s="54">
        <v>0</v>
      </c>
      <c r="BD32" s="52">
        <v>-7.92</v>
      </c>
      <c r="BE32" s="52">
        <v>-1.32</v>
      </c>
      <c r="BF32" s="54">
        <v>0</v>
      </c>
      <c r="BG32" s="471">
        <v>-1.32</v>
      </c>
      <c r="BH32" s="471">
        <v>-3.96</v>
      </c>
      <c r="BI32" s="54">
        <v>0</v>
      </c>
      <c r="BJ32" s="471">
        <v>-3.96</v>
      </c>
    </row>
    <row r="33" spans="1:62" x14ac:dyDescent="0.2">
      <c r="A33" s="52" t="s">
        <v>187</v>
      </c>
      <c r="B33" s="52">
        <v>13154</v>
      </c>
      <c r="C33" s="52">
        <v>0</v>
      </c>
      <c r="D33" s="54">
        <v>0</v>
      </c>
      <c r="E33" s="52">
        <v>0</v>
      </c>
      <c r="F33" s="52">
        <v>0</v>
      </c>
      <c r="G33" s="54">
        <v>0</v>
      </c>
      <c r="H33" s="52">
        <v>0</v>
      </c>
      <c r="I33" s="52">
        <v>0</v>
      </c>
      <c r="J33" s="54">
        <v>0</v>
      </c>
      <c r="K33" s="52">
        <v>0</v>
      </c>
      <c r="L33" s="52">
        <v>0</v>
      </c>
      <c r="M33" s="54">
        <v>0</v>
      </c>
      <c r="N33" s="52">
        <v>0</v>
      </c>
      <c r="O33" s="52">
        <v>0</v>
      </c>
      <c r="P33" s="54">
        <v>0</v>
      </c>
      <c r="Q33" s="52">
        <v>0</v>
      </c>
      <c r="R33" s="52">
        <v>22299.9</v>
      </c>
      <c r="S33" s="54">
        <v>0</v>
      </c>
      <c r="T33" s="52">
        <v>22299.9</v>
      </c>
      <c r="U33" s="86">
        <v>23760.11</v>
      </c>
      <c r="V33" s="470">
        <v>185.18</v>
      </c>
      <c r="W33" s="52">
        <v>23945.29</v>
      </c>
      <c r="X33" s="52">
        <v>18161.09</v>
      </c>
      <c r="Y33" s="54">
        <v>2909.57</v>
      </c>
      <c r="Z33" s="52">
        <v>21070.66</v>
      </c>
      <c r="AA33" s="54">
        <v>5374.06</v>
      </c>
      <c r="AB33" s="54">
        <v>4203.21</v>
      </c>
      <c r="AC33" s="52">
        <v>9577.27</v>
      </c>
      <c r="AD33" s="52">
        <v>12239.82</v>
      </c>
      <c r="AE33" s="54">
        <v>332.45</v>
      </c>
      <c r="AF33" s="52">
        <v>12572.27</v>
      </c>
      <c r="AG33" s="52">
        <v>1228.98</v>
      </c>
      <c r="AH33" s="54">
        <v>2159.29</v>
      </c>
      <c r="AI33" s="52">
        <v>3388.27</v>
      </c>
      <c r="AJ33" s="52">
        <v>-947.26</v>
      </c>
      <c r="AK33" s="54">
        <v>1625.19</v>
      </c>
      <c r="AL33" s="52">
        <v>677.93000000000006</v>
      </c>
      <c r="AM33" s="52">
        <v>82116.700000000012</v>
      </c>
      <c r="AN33" s="52">
        <v>11414.890000000001</v>
      </c>
      <c r="AO33" s="52">
        <v>93531.590000000011</v>
      </c>
      <c r="AP33" s="52">
        <v>-938.65</v>
      </c>
      <c r="AQ33" s="54">
        <v>780.44</v>
      </c>
      <c r="AR33" s="52">
        <v>-158.20999999999992</v>
      </c>
      <c r="AS33" s="52">
        <v>-1129.94</v>
      </c>
      <c r="AT33" s="54">
        <v>793.52</v>
      </c>
      <c r="AU33" s="52">
        <v>-336.42000000000007</v>
      </c>
      <c r="AV33" s="52">
        <v>3621.13</v>
      </c>
      <c r="AW33" s="54">
        <v>1503.11</v>
      </c>
      <c r="AX33" s="52">
        <v>5124.24</v>
      </c>
      <c r="AY33" s="52">
        <v>19012.47</v>
      </c>
      <c r="AZ33" s="54">
        <v>1163.03</v>
      </c>
      <c r="BA33" s="52">
        <v>20175.5</v>
      </c>
      <c r="BB33" s="52">
        <v>7204.38</v>
      </c>
      <c r="BC33" s="54">
        <v>1633.91</v>
      </c>
      <c r="BD33" s="52">
        <v>8838.2900000000009</v>
      </c>
      <c r="BE33" s="52">
        <v>1461.44</v>
      </c>
      <c r="BF33" s="54">
        <v>1407.19</v>
      </c>
      <c r="BG33" s="471">
        <v>2868.63</v>
      </c>
      <c r="BH33" s="471">
        <v>6151.87</v>
      </c>
      <c r="BI33" s="54">
        <v>1438.8</v>
      </c>
      <c r="BJ33" s="471">
        <v>7590.67</v>
      </c>
    </row>
    <row r="34" spans="1:62" x14ac:dyDescent="0.2">
      <c r="A34" s="52" t="s">
        <v>188</v>
      </c>
      <c r="B34" s="52">
        <v>13152</v>
      </c>
      <c r="C34" s="52">
        <v>0</v>
      </c>
      <c r="D34" s="54">
        <v>0</v>
      </c>
      <c r="E34" s="52">
        <v>0</v>
      </c>
      <c r="F34" s="52">
        <v>0</v>
      </c>
      <c r="G34" s="54">
        <v>0</v>
      </c>
      <c r="H34" s="52">
        <v>0</v>
      </c>
      <c r="I34" s="52">
        <v>0</v>
      </c>
      <c r="J34" s="54">
        <v>0</v>
      </c>
      <c r="K34" s="52">
        <v>0</v>
      </c>
      <c r="L34" s="52">
        <v>0</v>
      </c>
      <c r="M34" s="54">
        <v>0</v>
      </c>
      <c r="N34" s="52">
        <v>0</v>
      </c>
      <c r="O34" s="52">
        <v>0</v>
      </c>
      <c r="P34" s="54">
        <v>0</v>
      </c>
      <c r="Q34" s="52">
        <v>0</v>
      </c>
      <c r="R34" s="52">
        <v>22048.98</v>
      </c>
      <c r="S34" s="54">
        <v>0</v>
      </c>
      <c r="T34" s="52">
        <v>22048.98</v>
      </c>
      <c r="U34" s="86">
        <v>13641.83</v>
      </c>
      <c r="V34" s="470">
        <v>2957.24</v>
      </c>
      <c r="W34" s="52">
        <v>16599.07</v>
      </c>
      <c r="X34" s="52">
        <v>11976.04</v>
      </c>
      <c r="Y34" s="54">
        <v>4238.16</v>
      </c>
      <c r="Z34" s="52">
        <v>16214.2</v>
      </c>
      <c r="AA34" s="54">
        <v>7805.37</v>
      </c>
      <c r="AB34" s="54">
        <v>4269.25</v>
      </c>
      <c r="AC34" s="52">
        <v>12074.619999999999</v>
      </c>
      <c r="AD34" s="52">
        <v>9798.41</v>
      </c>
      <c r="AE34" s="54">
        <v>305.2</v>
      </c>
      <c r="AF34" s="52">
        <v>10103.61</v>
      </c>
      <c r="AG34" s="52">
        <v>2460</v>
      </c>
      <c r="AH34" s="54">
        <v>1097.6300000000001</v>
      </c>
      <c r="AI34" s="52">
        <v>3557.63</v>
      </c>
      <c r="AJ34" s="52">
        <v>-737.96</v>
      </c>
      <c r="AK34" s="54">
        <v>1148.8599999999999</v>
      </c>
      <c r="AL34" s="52">
        <v>410.89999999999986</v>
      </c>
      <c r="AM34" s="52">
        <v>66992.67</v>
      </c>
      <c r="AN34" s="52">
        <v>14016.34</v>
      </c>
      <c r="AO34" s="52">
        <v>81009.009999999995</v>
      </c>
      <c r="AP34" s="52">
        <v>-1059.54</v>
      </c>
      <c r="AQ34" s="54">
        <v>626.75</v>
      </c>
      <c r="AR34" s="52">
        <v>-432.78999999999996</v>
      </c>
      <c r="AS34" s="52">
        <v>-1190.32</v>
      </c>
      <c r="AT34" s="54">
        <v>627.84</v>
      </c>
      <c r="AU34" s="52">
        <v>-562.4799999999999</v>
      </c>
      <c r="AV34" s="52">
        <v>3536.81</v>
      </c>
      <c r="AW34" s="54">
        <v>1461.69</v>
      </c>
      <c r="AX34" s="52">
        <v>4998.5</v>
      </c>
      <c r="AY34" s="52">
        <v>18481.04</v>
      </c>
      <c r="AZ34" s="54">
        <v>1290.56</v>
      </c>
      <c r="BA34" s="52">
        <v>19771.600000000002</v>
      </c>
      <c r="BB34" s="52">
        <v>9602.0400000000009</v>
      </c>
      <c r="BC34" s="54">
        <v>1462.78</v>
      </c>
      <c r="BD34" s="52">
        <v>11064.820000000002</v>
      </c>
      <c r="BE34" s="52">
        <v>327.72</v>
      </c>
      <c r="BF34" s="54">
        <v>1301.46</v>
      </c>
      <c r="BG34" s="471">
        <v>1629.18</v>
      </c>
      <c r="BH34" s="471">
        <v>4501.17</v>
      </c>
      <c r="BI34" s="54">
        <v>1315.63</v>
      </c>
      <c r="BJ34" s="471">
        <v>5816.8</v>
      </c>
    </row>
    <row r="35" spans="1:62" x14ac:dyDescent="0.2">
      <c r="A35" s="52" t="s">
        <v>189</v>
      </c>
      <c r="B35" s="52">
        <v>13155</v>
      </c>
      <c r="C35" s="52">
        <v>0</v>
      </c>
      <c r="D35" s="54">
        <v>0</v>
      </c>
      <c r="E35" s="52">
        <v>0</v>
      </c>
      <c r="F35" s="52">
        <v>0</v>
      </c>
      <c r="G35" s="54">
        <v>0</v>
      </c>
      <c r="H35" s="52">
        <v>0</v>
      </c>
      <c r="I35" s="52">
        <v>0</v>
      </c>
      <c r="J35" s="54">
        <v>0</v>
      </c>
      <c r="K35" s="52">
        <v>0</v>
      </c>
      <c r="L35" s="52">
        <v>0</v>
      </c>
      <c r="M35" s="54">
        <v>0</v>
      </c>
      <c r="N35" s="52">
        <v>0</v>
      </c>
      <c r="O35" s="52">
        <v>0</v>
      </c>
      <c r="P35" s="54">
        <v>0</v>
      </c>
      <c r="Q35" s="52">
        <v>0</v>
      </c>
      <c r="R35" s="52">
        <v>15928.5</v>
      </c>
      <c r="S35" s="54">
        <v>0</v>
      </c>
      <c r="T35" s="52">
        <v>15928.5</v>
      </c>
      <c r="U35" s="86">
        <v>12885.31</v>
      </c>
      <c r="V35" s="470">
        <v>1926.43</v>
      </c>
      <c r="W35" s="52">
        <v>14811.74</v>
      </c>
      <c r="X35" s="52">
        <v>14592.47</v>
      </c>
      <c r="Y35" s="54">
        <v>556.38</v>
      </c>
      <c r="Z35" s="52">
        <v>15148.849999999999</v>
      </c>
      <c r="AA35" s="54">
        <v>-721.73</v>
      </c>
      <c r="AB35" s="54">
        <v>0</v>
      </c>
      <c r="AC35" s="52">
        <v>-721.73</v>
      </c>
      <c r="AD35" s="52">
        <v>7808.23</v>
      </c>
      <c r="AE35" s="54">
        <v>257.76</v>
      </c>
      <c r="AF35" s="52">
        <v>8065.99</v>
      </c>
      <c r="AG35" s="52">
        <v>1429.7</v>
      </c>
      <c r="AH35" s="54">
        <v>777.6</v>
      </c>
      <c r="AI35" s="52">
        <v>2207.3000000000002</v>
      </c>
      <c r="AJ35" s="52">
        <v>1740.37</v>
      </c>
      <c r="AK35" s="54">
        <v>1069.92</v>
      </c>
      <c r="AL35" s="52">
        <v>2810.29</v>
      </c>
      <c r="AM35" s="52">
        <v>53662.85</v>
      </c>
      <c r="AN35" s="52">
        <v>4588.09</v>
      </c>
      <c r="AO35" s="52">
        <v>58250.939999999995</v>
      </c>
      <c r="AP35" s="52">
        <v>-527.5</v>
      </c>
      <c r="AQ35" s="54">
        <v>397.44</v>
      </c>
      <c r="AR35" s="52">
        <v>-130.06</v>
      </c>
      <c r="AS35" s="52">
        <v>-553.05999999999995</v>
      </c>
      <c r="AT35" s="54">
        <v>325.44</v>
      </c>
      <c r="AU35" s="52">
        <v>-227.61999999999995</v>
      </c>
      <c r="AV35" s="52">
        <v>9805.61</v>
      </c>
      <c r="AW35" s="54">
        <v>935.28</v>
      </c>
      <c r="AX35" s="52">
        <v>10740.890000000001</v>
      </c>
      <c r="AY35" s="52">
        <v>14635.34</v>
      </c>
      <c r="AZ35" s="54">
        <v>757.44</v>
      </c>
      <c r="BA35" s="52">
        <v>15392.78</v>
      </c>
      <c r="BB35" s="52">
        <v>1825.59</v>
      </c>
      <c r="BC35" s="54">
        <v>684.72</v>
      </c>
      <c r="BD35" s="52">
        <v>2510.31</v>
      </c>
      <c r="BE35" s="52">
        <v>-642.70000000000005</v>
      </c>
      <c r="BF35" s="54">
        <v>672.48</v>
      </c>
      <c r="BG35" s="471">
        <v>29.779999999999973</v>
      </c>
      <c r="BH35" s="471">
        <v>662.06</v>
      </c>
      <c r="BI35" s="54">
        <v>778.32</v>
      </c>
      <c r="BJ35" s="471">
        <v>1440.38</v>
      </c>
    </row>
    <row r="36" spans="1:62" x14ac:dyDescent="0.2">
      <c r="A36" s="52" t="s">
        <v>190</v>
      </c>
      <c r="B36" s="52">
        <v>13153</v>
      </c>
      <c r="C36" s="52">
        <v>0</v>
      </c>
      <c r="D36" s="54">
        <v>0</v>
      </c>
      <c r="E36" s="52">
        <v>0</v>
      </c>
      <c r="F36" s="52">
        <v>0</v>
      </c>
      <c r="G36" s="54">
        <v>0</v>
      </c>
      <c r="H36" s="52">
        <v>0</v>
      </c>
      <c r="I36" s="52">
        <v>0</v>
      </c>
      <c r="J36" s="54">
        <v>0</v>
      </c>
      <c r="K36" s="52">
        <v>0</v>
      </c>
      <c r="L36" s="52">
        <v>0</v>
      </c>
      <c r="M36" s="54">
        <v>0</v>
      </c>
      <c r="N36" s="52">
        <v>0</v>
      </c>
      <c r="O36" s="52">
        <v>0</v>
      </c>
      <c r="P36" s="54">
        <v>0</v>
      </c>
      <c r="Q36" s="52">
        <v>0</v>
      </c>
      <c r="R36" s="52">
        <v>15897</v>
      </c>
      <c r="S36" s="54">
        <v>0</v>
      </c>
      <c r="T36" s="52">
        <v>15897</v>
      </c>
      <c r="U36" s="86">
        <v>15500.15</v>
      </c>
      <c r="V36" s="470">
        <v>3208.53</v>
      </c>
      <c r="W36" s="52">
        <v>18708.68</v>
      </c>
      <c r="X36" s="52">
        <v>-234.6</v>
      </c>
      <c r="Y36" s="54">
        <v>1311.84</v>
      </c>
      <c r="Z36" s="52">
        <v>1077.24</v>
      </c>
      <c r="AA36" s="54">
        <v>15111.16</v>
      </c>
      <c r="AB36" s="54">
        <v>0</v>
      </c>
      <c r="AC36" s="52">
        <v>15111.16</v>
      </c>
      <c r="AD36" s="52">
        <v>10384.11</v>
      </c>
      <c r="AE36" s="54">
        <v>354.39</v>
      </c>
      <c r="AF36" s="52">
        <v>10738.5</v>
      </c>
      <c r="AG36" s="52">
        <v>3108.36</v>
      </c>
      <c r="AH36" s="54">
        <v>867.45</v>
      </c>
      <c r="AI36" s="52">
        <v>3975.8100000000004</v>
      </c>
      <c r="AJ36" s="52">
        <v>-744.19</v>
      </c>
      <c r="AK36" s="54">
        <v>1238.4000000000001</v>
      </c>
      <c r="AL36" s="52">
        <v>494.21000000000004</v>
      </c>
      <c r="AM36" s="52">
        <v>59021.990000000005</v>
      </c>
      <c r="AN36" s="52">
        <v>6980.6100000000006</v>
      </c>
      <c r="AO36" s="52">
        <v>66002.600000000006</v>
      </c>
      <c r="AP36" s="52">
        <v>-535.58000000000004</v>
      </c>
      <c r="AQ36" s="54">
        <v>308.16000000000003</v>
      </c>
      <c r="AR36" s="52">
        <v>-227.42000000000002</v>
      </c>
      <c r="AS36" s="52">
        <v>-642.21</v>
      </c>
      <c r="AT36" s="54">
        <v>326.88</v>
      </c>
      <c r="AU36" s="52">
        <v>-315.33000000000004</v>
      </c>
      <c r="AV36" s="52">
        <v>4399.26</v>
      </c>
      <c r="AW36" s="54">
        <v>786.96</v>
      </c>
      <c r="AX36" s="52">
        <v>5186.22</v>
      </c>
      <c r="AY36" s="52">
        <v>12341.31</v>
      </c>
      <c r="AZ36" s="54">
        <v>622.08000000000004</v>
      </c>
      <c r="BA36" s="52">
        <v>12963.39</v>
      </c>
      <c r="BB36" s="52">
        <v>1305.22</v>
      </c>
      <c r="BC36" s="54">
        <v>679.68</v>
      </c>
      <c r="BD36" s="52">
        <v>1984.9</v>
      </c>
      <c r="BE36" s="52">
        <v>-544.73</v>
      </c>
      <c r="BF36" s="54">
        <v>586.79999999999995</v>
      </c>
      <c r="BG36" s="471">
        <v>42.069999999999936</v>
      </c>
      <c r="BH36" s="471">
        <v>1951.25</v>
      </c>
      <c r="BI36" s="54">
        <v>749.52</v>
      </c>
      <c r="BJ36" s="471">
        <v>2700.77</v>
      </c>
    </row>
    <row r="37" spans="1:62" x14ac:dyDescent="0.2">
      <c r="A37" s="52" t="s">
        <v>191</v>
      </c>
      <c r="B37" s="52">
        <v>13107</v>
      </c>
      <c r="C37" s="52">
        <v>-239.7</v>
      </c>
      <c r="D37" s="54">
        <v>1871.1</v>
      </c>
      <c r="E37" s="52">
        <v>1631.3999999999999</v>
      </c>
      <c r="F37" s="52">
        <v>22444.1</v>
      </c>
      <c r="G37" s="54">
        <v>2649.42</v>
      </c>
      <c r="H37" s="52">
        <v>25093.519999999997</v>
      </c>
      <c r="I37" s="52">
        <v>15152.14</v>
      </c>
      <c r="J37" s="54">
        <v>1964.67</v>
      </c>
      <c r="K37" s="52">
        <v>17116.809999999998</v>
      </c>
      <c r="L37" s="52">
        <v>31469.82</v>
      </c>
      <c r="M37" s="54">
        <v>4444.2199999999993</v>
      </c>
      <c r="N37" s="52">
        <v>35914.04</v>
      </c>
      <c r="O37" s="52">
        <v>12301.35</v>
      </c>
      <c r="P37" s="54">
        <v>0</v>
      </c>
      <c r="Q37" s="52">
        <v>12301.35</v>
      </c>
      <c r="R37" s="52">
        <v>-1165.92</v>
      </c>
      <c r="S37" s="54">
        <v>1741.14</v>
      </c>
      <c r="T37" s="52">
        <v>575.22</v>
      </c>
      <c r="U37" s="86">
        <v>-1309.6500000000001</v>
      </c>
      <c r="V37" s="470">
        <v>0</v>
      </c>
      <c r="W37" s="52">
        <v>-1309.6500000000001</v>
      </c>
      <c r="X37" s="52">
        <v>-1063.0899999999999</v>
      </c>
      <c r="Y37" s="54">
        <v>0</v>
      </c>
      <c r="Z37" s="52">
        <v>-1063.0899999999999</v>
      </c>
      <c r="AA37" s="54">
        <v>-3.54</v>
      </c>
      <c r="AB37" s="54">
        <v>0</v>
      </c>
      <c r="AC37" s="52">
        <v>-3.54</v>
      </c>
      <c r="AD37" s="52">
        <v>-28.72</v>
      </c>
      <c r="AE37" s="54">
        <v>0</v>
      </c>
      <c r="AF37" s="52">
        <v>-28.72</v>
      </c>
      <c r="AG37" s="52">
        <v>-404.64</v>
      </c>
      <c r="AH37" s="54">
        <v>0</v>
      </c>
      <c r="AI37" s="52">
        <v>-404.64</v>
      </c>
      <c r="AJ37" s="52">
        <v>0</v>
      </c>
      <c r="AK37" s="54">
        <v>0</v>
      </c>
      <c r="AL37" s="52">
        <v>0</v>
      </c>
      <c r="AM37" s="52">
        <v>77152.150000000009</v>
      </c>
      <c r="AN37" s="52">
        <v>12670.55</v>
      </c>
      <c r="AO37" s="52">
        <v>89822.700000000012</v>
      </c>
      <c r="AP37" s="52">
        <v>-1.77</v>
      </c>
      <c r="AQ37" s="54">
        <v>0</v>
      </c>
      <c r="AR37" s="52">
        <v>-1.77</v>
      </c>
      <c r="AS37" s="52">
        <v>-1.76</v>
      </c>
      <c r="AT37" s="54">
        <v>0</v>
      </c>
      <c r="AU37" s="52">
        <v>-1.76</v>
      </c>
      <c r="AV37" s="52">
        <v>-4.05</v>
      </c>
      <c r="AW37" s="54">
        <v>0</v>
      </c>
      <c r="AX37" s="52">
        <v>-4.05</v>
      </c>
      <c r="AY37" s="52">
        <v>-35.200000000000003</v>
      </c>
      <c r="AZ37" s="54">
        <v>0</v>
      </c>
      <c r="BA37" s="52">
        <v>-35.200000000000003</v>
      </c>
      <c r="BB37" s="52">
        <v>0</v>
      </c>
      <c r="BC37" s="54">
        <v>0</v>
      </c>
      <c r="BD37" s="52">
        <v>0</v>
      </c>
      <c r="BE37" s="52">
        <v>-105.6</v>
      </c>
      <c r="BF37" s="54">
        <v>0</v>
      </c>
      <c r="BG37" s="471">
        <v>-105.6</v>
      </c>
      <c r="BH37" s="471">
        <v>-3.52</v>
      </c>
      <c r="BI37" s="54">
        <v>0</v>
      </c>
      <c r="BJ37" s="471">
        <v>-3.52</v>
      </c>
    </row>
    <row r="38" spans="1:62" x14ac:dyDescent="0.2">
      <c r="A38" s="52" t="s">
        <v>192</v>
      </c>
      <c r="B38" s="52">
        <v>13157</v>
      </c>
      <c r="C38" s="52">
        <v>0</v>
      </c>
      <c r="D38" s="54">
        <v>0</v>
      </c>
      <c r="E38" s="52">
        <v>0</v>
      </c>
      <c r="F38" s="52">
        <v>0</v>
      </c>
      <c r="G38" s="54">
        <v>0</v>
      </c>
      <c r="H38" s="52">
        <v>0</v>
      </c>
      <c r="I38" s="52">
        <v>0</v>
      </c>
      <c r="J38" s="54">
        <v>0</v>
      </c>
      <c r="K38" s="52">
        <v>0</v>
      </c>
      <c r="L38" s="52">
        <v>0</v>
      </c>
      <c r="M38" s="54">
        <v>0</v>
      </c>
      <c r="N38" s="52">
        <v>0</v>
      </c>
      <c r="O38" s="52">
        <v>0</v>
      </c>
      <c r="P38" s="54">
        <v>0</v>
      </c>
      <c r="Q38" s="52">
        <v>0</v>
      </c>
      <c r="R38" s="52">
        <v>22351.56</v>
      </c>
      <c r="S38" s="54">
        <v>0</v>
      </c>
      <c r="T38" s="52">
        <v>22351.56</v>
      </c>
      <c r="U38" s="86">
        <v>-516.91</v>
      </c>
      <c r="V38" s="470">
        <v>2845.48</v>
      </c>
      <c r="W38" s="52">
        <v>2328.5700000000002</v>
      </c>
      <c r="X38" s="52">
        <v>18088.419999999998</v>
      </c>
      <c r="Y38" s="54">
        <v>3014.98</v>
      </c>
      <c r="Z38" s="52">
        <v>21103.399999999998</v>
      </c>
      <c r="AA38" s="54">
        <v>12710.9</v>
      </c>
      <c r="AB38" s="54">
        <v>1076.3699999999999</v>
      </c>
      <c r="AC38" s="52">
        <v>13787.27</v>
      </c>
      <c r="AD38" s="52">
        <v>9776.16</v>
      </c>
      <c r="AE38" s="54">
        <v>611.49</v>
      </c>
      <c r="AF38" s="52">
        <v>10387.65</v>
      </c>
      <c r="AG38" s="52">
        <v>5326.05</v>
      </c>
      <c r="AH38" s="54">
        <v>1387.57</v>
      </c>
      <c r="AI38" s="52">
        <v>6713.62</v>
      </c>
      <c r="AJ38" s="52">
        <v>-894.35</v>
      </c>
      <c r="AK38" s="54">
        <v>1326.53</v>
      </c>
      <c r="AL38" s="52">
        <v>432.17999999999995</v>
      </c>
      <c r="AM38" s="52">
        <v>66841.83</v>
      </c>
      <c r="AN38" s="52">
        <v>10262.42</v>
      </c>
      <c r="AO38" s="52">
        <v>77104.249999999985</v>
      </c>
      <c r="AP38" s="52">
        <v>-1041.19</v>
      </c>
      <c r="AQ38" s="54">
        <v>735.75</v>
      </c>
      <c r="AR38" s="52">
        <v>-305.44000000000005</v>
      </c>
      <c r="AS38" s="52">
        <v>-1139.33</v>
      </c>
      <c r="AT38" s="54">
        <v>989.72</v>
      </c>
      <c r="AU38" s="52">
        <v>-149.6099999999999</v>
      </c>
      <c r="AV38" s="52">
        <v>19236.43</v>
      </c>
      <c r="AW38" s="54">
        <v>1563.06</v>
      </c>
      <c r="AX38" s="52">
        <v>20799.490000000002</v>
      </c>
      <c r="AY38" s="52">
        <v>16916.759999999998</v>
      </c>
      <c r="AZ38" s="54">
        <v>1107.44</v>
      </c>
      <c r="BA38" s="52">
        <v>18024.199999999997</v>
      </c>
      <c r="BB38" s="52">
        <v>11136.61</v>
      </c>
      <c r="BC38" s="54">
        <v>2205.0700000000002</v>
      </c>
      <c r="BD38" s="52">
        <v>13341.68</v>
      </c>
      <c r="BE38" s="52">
        <v>1193.8499999999999</v>
      </c>
      <c r="BF38" s="54">
        <v>1322.17</v>
      </c>
      <c r="BG38" s="471">
        <v>2516.02</v>
      </c>
      <c r="BH38" s="471">
        <v>6551.49</v>
      </c>
      <c r="BI38" s="54">
        <v>1884.61</v>
      </c>
      <c r="BJ38" s="471">
        <v>8436.1</v>
      </c>
    </row>
    <row r="39" spans="1:62" x14ac:dyDescent="0.2">
      <c r="A39" s="52" t="s">
        <v>193</v>
      </c>
      <c r="B39" s="52">
        <v>13066</v>
      </c>
      <c r="C39" s="52">
        <v>4823.82</v>
      </c>
      <c r="D39" s="54">
        <v>1700.11</v>
      </c>
      <c r="E39" s="52">
        <v>6523.9299999999994</v>
      </c>
      <c r="F39" s="52">
        <v>4194.7299999999996</v>
      </c>
      <c r="G39" s="54">
        <v>2289.96</v>
      </c>
      <c r="H39" s="52">
        <v>6484.69</v>
      </c>
      <c r="I39" s="52">
        <v>18148.54</v>
      </c>
      <c r="J39" s="54">
        <v>2342.63</v>
      </c>
      <c r="K39" s="52">
        <v>20491.170000000002</v>
      </c>
      <c r="L39" s="52">
        <v>19669.13</v>
      </c>
      <c r="M39" s="54">
        <v>4397.4599999999991</v>
      </c>
      <c r="N39" s="52">
        <v>24066.59</v>
      </c>
      <c r="O39" s="52">
        <v>18126.349999999999</v>
      </c>
      <c r="P39" s="54">
        <v>2214.36</v>
      </c>
      <c r="Q39" s="52">
        <v>20340.71</v>
      </c>
      <c r="R39" s="52">
        <v>13027.46</v>
      </c>
      <c r="S39" s="54">
        <v>2400.54</v>
      </c>
      <c r="T39" s="52">
        <v>15428</v>
      </c>
      <c r="U39" s="86">
        <v>19880.8</v>
      </c>
      <c r="V39" s="470">
        <v>2539.9499999999998</v>
      </c>
      <c r="W39" s="52">
        <v>22420.75</v>
      </c>
      <c r="X39" s="52">
        <v>22826.05</v>
      </c>
      <c r="Y39" s="54">
        <v>2984.74</v>
      </c>
      <c r="Z39" s="52">
        <v>25810.79</v>
      </c>
      <c r="AA39" s="54">
        <v>22216.33</v>
      </c>
      <c r="AB39" s="54">
        <v>3151.78</v>
      </c>
      <c r="AC39" s="52">
        <v>25368.11</v>
      </c>
      <c r="AD39" s="52">
        <v>20532.16</v>
      </c>
      <c r="AE39" s="54">
        <v>2836.93</v>
      </c>
      <c r="AF39" s="52">
        <v>23369.09</v>
      </c>
      <c r="AG39" s="52">
        <v>17268.990000000002</v>
      </c>
      <c r="AH39" s="54">
        <v>2713.25</v>
      </c>
      <c r="AI39" s="52">
        <v>19982.240000000002</v>
      </c>
      <c r="AJ39" s="52">
        <v>17136.3</v>
      </c>
      <c r="AK39" s="54">
        <v>3953.1</v>
      </c>
      <c r="AL39" s="52">
        <v>21089.399999999998</v>
      </c>
      <c r="AM39" s="52">
        <v>197850.66</v>
      </c>
      <c r="AN39" s="52">
        <v>33524.81</v>
      </c>
      <c r="AO39" s="52">
        <v>231375.46999999997</v>
      </c>
      <c r="AP39" s="52">
        <v>16997.55</v>
      </c>
      <c r="AQ39" s="54">
        <v>1874.19</v>
      </c>
      <c r="AR39" s="52">
        <v>18871.739999999998</v>
      </c>
      <c r="AS39" s="52">
        <v>30162.07</v>
      </c>
      <c r="AT39" s="54">
        <v>1938.66</v>
      </c>
      <c r="AU39" s="52">
        <v>32100.73</v>
      </c>
      <c r="AV39" s="52">
        <v>20086.63</v>
      </c>
      <c r="AW39" s="54">
        <v>2023.17</v>
      </c>
      <c r="AX39" s="52">
        <v>22109.800000000003</v>
      </c>
      <c r="AY39" s="52">
        <v>23924.46</v>
      </c>
      <c r="AZ39" s="54">
        <v>2272.29</v>
      </c>
      <c r="BA39" s="52">
        <v>26196.75</v>
      </c>
      <c r="BB39" s="52">
        <v>9872.15</v>
      </c>
      <c r="BC39" s="54">
        <v>2332.08</v>
      </c>
      <c r="BD39" s="52">
        <v>12204.23</v>
      </c>
      <c r="BE39" s="52">
        <v>45399.31</v>
      </c>
      <c r="BF39" s="54">
        <v>2360.52</v>
      </c>
      <c r="BG39" s="471">
        <v>47759.829999999994</v>
      </c>
      <c r="BH39" s="471">
        <v>31336.58</v>
      </c>
      <c r="BI39" s="54">
        <v>2309.66</v>
      </c>
      <c r="BJ39" s="471">
        <v>33646.240000000005</v>
      </c>
    </row>
    <row r="40" spans="1:62" x14ac:dyDescent="0.2">
      <c r="A40" s="52" t="s">
        <v>194</v>
      </c>
      <c r="B40" s="52">
        <v>13011</v>
      </c>
      <c r="C40" s="52">
        <v>0</v>
      </c>
      <c r="D40" s="54">
        <v>0</v>
      </c>
      <c r="E40" s="52">
        <v>0</v>
      </c>
      <c r="F40" s="52">
        <v>-41.56</v>
      </c>
      <c r="G40" s="54">
        <v>0</v>
      </c>
      <c r="H40" s="52">
        <v>-41.56</v>
      </c>
      <c r="I40" s="52">
        <v>-174.47</v>
      </c>
      <c r="J40" s="54">
        <v>0</v>
      </c>
      <c r="K40" s="52">
        <v>-174.47</v>
      </c>
      <c r="L40" s="52">
        <v>-172.95</v>
      </c>
      <c r="M40" s="54">
        <v>0</v>
      </c>
      <c r="N40" s="52">
        <v>-172.95</v>
      </c>
      <c r="O40" s="52">
        <v>-38.79</v>
      </c>
      <c r="P40" s="54">
        <v>0</v>
      </c>
      <c r="Q40" s="52">
        <v>-38.79</v>
      </c>
      <c r="R40" s="52">
        <v>-39.200000000000003</v>
      </c>
      <c r="S40" s="54">
        <v>6.35</v>
      </c>
      <c r="T40" s="52">
        <v>-32.85</v>
      </c>
      <c r="U40" s="86">
        <v>-7.68</v>
      </c>
      <c r="V40" s="470">
        <v>0</v>
      </c>
      <c r="W40" s="52">
        <v>-7.68</v>
      </c>
      <c r="X40" s="52">
        <v>-1.91</v>
      </c>
      <c r="Y40" s="54">
        <v>0</v>
      </c>
      <c r="Z40" s="52">
        <v>-1.91</v>
      </c>
      <c r="AA40" s="54">
        <v>0</v>
      </c>
      <c r="AB40" s="54">
        <v>0</v>
      </c>
      <c r="AC40" s="52">
        <v>0</v>
      </c>
      <c r="AD40" s="52">
        <v>-15.28</v>
      </c>
      <c r="AE40" s="54">
        <v>0</v>
      </c>
      <c r="AF40" s="52">
        <v>-15.28</v>
      </c>
      <c r="AG40" s="52">
        <v>0</v>
      </c>
      <c r="AH40" s="54">
        <v>0</v>
      </c>
      <c r="AI40" s="52">
        <v>0</v>
      </c>
      <c r="AJ40" s="52">
        <v>0</v>
      </c>
      <c r="AK40" s="54">
        <v>0</v>
      </c>
      <c r="AL40" s="52">
        <v>0</v>
      </c>
      <c r="AM40" s="52">
        <v>-491.84000000000003</v>
      </c>
      <c r="AN40" s="52">
        <v>6.35</v>
      </c>
      <c r="AO40" s="52">
        <v>-485.49000000000007</v>
      </c>
      <c r="AP40" s="52">
        <v>-613.16999999999996</v>
      </c>
      <c r="AQ40" s="54">
        <v>0</v>
      </c>
      <c r="AR40" s="52">
        <v>-613.16999999999996</v>
      </c>
      <c r="AS40" s="52">
        <v>-265.49</v>
      </c>
      <c r="AT40" s="54">
        <v>0</v>
      </c>
      <c r="AU40" s="52">
        <v>-265.49</v>
      </c>
      <c r="AV40" s="52">
        <v>-1.91</v>
      </c>
      <c r="AW40" s="54">
        <v>0</v>
      </c>
      <c r="AX40" s="52">
        <v>-1.91</v>
      </c>
      <c r="AY40" s="52">
        <v>-133.69999999999999</v>
      </c>
      <c r="AZ40" s="54">
        <v>0</v>
      </c>
      <c r="BA40" s="52">
        <v>-133.69999999999999</v>
      </c>
      <c r="BB40" s="52">
        <v>0</v>
      </c>
      <c r="BC40" s="54">
        <v>0</v>
      </c>
      <c r="BD40" s="52">
        <v>0</v>
      </c>
      <c r="BE40" s="52">
        <v>0</v>
      </c>
      <c r="BF40" s="54">
        <v>0</v>
      </c>
      <c r="BG40" s="471">
        <v>0</v>
      </c>
      <c r="BH40" s="471">
        <v>0</v>
      </c>
      <c r="BI40" s="54">
        <v>0</v>
      </c>
      <c r="BJ40" s="471">
        <v>0</v>
      </c>
    </row>
    <row r="41" spans="1:62" x14ac:dyDescent="0.2">
      <c r="A41" s="52" t="s">
        <v>195</v>
      </c>
      <c r="B41" s="52">
        <v>13040</v>
      </c>
      <c r="C41" s="52">
        <v>-37.89</v>
      </c>
      <c r="D41" s="54">
        <v>0</v>
      </c>
      <c r="E41" s="52">
        <v>-37.89</v>
      </c>
      <c r="F41" s="52">
        <v>-182.71</v>
      </c>
      <c r="G41" s="54">
        <v>1207.8500000000001</v>
      </c>
      <c r="H41" s="52">
        <v>1025.1400000000001</v>
      </c>
      <c r="I41" s="52">
        <v>-184.79</v>
      </c>
      <c r="J41" s="54">
        <v>897.24</v>
      </c>
      <c r="K41" s="52">
        <v>712.45</v>
      </c>
      <c r="L41" s="52">
        <v>-85.98</v>
      </c>
      <c r="M41" s="54">
        <v>346.40999999999997</v>
      </c>
      <c r="N41" s="52">
        <v>260.42999999999995</v>
      </c>
      <c r="O41" s="52">
        <v>-84.15</v>
      </c>
      <c r="P41" s="54">
        <v>559.59</v>
      </c>
      <c r="Q41" s="52">
        <v>475.44000000000005</v>
      </c>
      <c r="R41" s="52">
        <v>-30.8</v>
      </c>
      <c r="S41" s="54">
        <v>635.69999999999993</v>
      </c>
      <c r="T41" s="52">
        <v>604.9</v>
      </c>
      <c r="U41" s="86">
        <v>-13.43</v>
      </c>
      <c r="V41" s="470">
        <v>303.63</v>
      </c>
      <c r="W41" s="52">
        <v>290.2</v>
      </c>
      <c r="X41" s="52">
        <v>-20.62</v>
      </c>
      <c r="Y41" s="54">
        <v>237.21</v>
      </c>
      <c r="Z41" s="52">
        <v>216.59</v>
      </c>
      <c r="AA41" s="54">
        <v>-37.28</v>
      </c>
      <c r="AB41" s="54">
        <v>0</v>
      </c>
      <c r="AC41" s="52">
        <v>-37.28</v>
      </c>
      <c r="AD41" s="52">
        <v>-7.47</v>
      </c>
      <c r="AE41" s="54">
        <v>0</v>
      </c>
      <c r="AF41" s="52">
        <v>-7.47</v>
      </c>
      <c r="AG41" s="52">
        <v>-5318.64</v>
      </c>
      <c r="AH41" s="54">
        <v>0</v>
      </c>
      <c r="AI41" s="52">
        <v>-5318.64</v>
      </c>
      <c r="AJ41" s="52">
        <v>0</v>
      </c>
      <c r="AK41" s="54">
        <v>0</v>
      </c>
      <c r="AL41" s="52">
        <v>0</v>
      </c>
      <c r="AM41" s="52">
        <v>-6003.76</v>
      </c>
      <c r="AN41" s="52">
        <v>4187.63</v>
      </c>
      <c r="AO41" s="52">
        <v>-1816.13</v>
      </c>
      <c r="AP41" s="52">
        <v>0</v>
      </c>
      <c r="AQ41" s="54">
        <v>0</v>
      </c>
      <c r="AR41" s="52">
        <v>0</v>
      </c>
      <c r="AS41" s="52">
        <v>-37.35</v>
      </c>
      <c r="AT41" s="54">
        <v>0</v>
      </c>
      <c r="AU41" s="52">
        <v>-37.35</v>
      </c>
      <c r="AV41" s="52">
        <v>-3645.36</v>
      </c>
      <c r="AW41" s="54">
        <v>0</v>
      </c>
      <c r="AX41" s="52">
        <v>-3645.36</v>
      </c>
      <c r="AY41" s="52">
        <v>-3192.12</v>
      </c>
      <c r="AZ41" s="54">
        <v>0</v>
      </c>
      <c r="BA41" s="52">
        <v>-3192.12</v>
      </c>
      <c r="BB41" s="52">
        <v>-2778.84</v>
      </c>
      <c r="BC41" s="54">
        <v>0</v>
      </c>
      <c r="BD41" s="52">
        <v>-2778.84</v>
      </c>
      <c r="BE41" s="52">
        <v>-74.7</v>
      </c>
      <c r="BF41" s="54">
        <v>0</v>
      </c>
      <c r="BG41" s="471">
        <v>-74.7</v>
      </c>
      <c r="BH41" s="471">
        <v>-74.7</v>
      </c>
      <c r="BI41" s="54">
        <v>0</v>
      </c>
      <c r="BJ41" s="471">
        <v>-74.7</v>
      </c>
    </row>
    <row r="42" spans="1:62" x14ac:dyDescent="0.2">
      <c r="A42" s="52" t="s">
        <v>196</v>
      </c>
      <c r="B42" s="52">
        <v>13139</v>
      </c>
      <c r="C42" s="52">
        <v>50920.47</v>
      </c>
      <c r="D42" s="54">
        <v>1742.23</v>
      </c>
      <c r="E42" s="52">
        <v>52662.700000000004</v>
      </c>
      <c r="F42" s="52">
        <v>17612.71</v>
      </c>
      <c r="G42" s="54">
        <v>2802.6200000000003</v>
      </c>
      <c r="H42" s="52">
        <v>20415.329999999998</v>
      </c>
      <c r="I42" s="52">
        <v>-3407.64</v>
      </c>
      <c r="J42" s="54">
        <v>0</v>
      </c>
      <c r="K42" s="52">
        <v>-3407.64</v>
      </c>
      <c r="L42" s="52">
        <v>62948.81</v>
      </c>
      <c r="M42" s="54">
        <v>4454.79</v>
      </c>
      <c r="N42" s="52">
        <v>67403.599999999991</v>
      </c>
      <c r="O42" s="52">
        <v>21022.92</v>
      </c>
      <c r="P42" s="54">
        <v>1988.34</v>
      </c>
      <c r="Q42" s="52">
        <v>23011.26</v>
      </c>
      <c r="R42" s="52">
        <v>33515.03</v>
      </c>
      <c r="S42" s="54">
        <v>4853.9299999999994</v>
      </c>
      <c r="T42" s="52">
        <v>38368.959999999999</v>
      </c>
      <c r="U42" s="86">
        <v>17299.95</v>
      </c>
      <c r="V42" s="470">
        <v>3090.76</v>
      </c>
      <c r="W42" s="52">
        <v>20390.71</v>
      </c>
      <c r="X42" s="52">
        <v>33797.06</v>
      </c>
      <c r="Y42" s="54">
        <v>4710.41</v>
      </c>
      <c r="Z42" s="52">
        <v>38507.47</v>
      </c>
      <c r="AA42" s="54">
        <v>35603.99</v>
      </c>
      <c r="AB42" s="54">
        <v>3493.23</v>
      </c>
      <c r="AC42" s="52">
        <v>39097.22</v>
      </c>
      <c r="AD42" s="52">
        <v>9576.26</v>
      </c>
      <c r="AE42" s="54">
        <v>4130.8</v>
      </c>
      <c r="AF42" s="52">
        <v>13707.060000000001</v>
      </c>
      <c r="AG42" s="52">
        <v>26721.3</v>
      </c>
      <c r="AH42" s="54">
        <v>-370.64</v>
      </c>
      <c r="AI42" s="52">
        <v>26350.66</v>
      </c>
      <c r="AJ42" s="52">
        <v>12330.69</v>
      </c>
      <c r="AK42" s="54">
        <v>2406.9000000000005</v>
      </c>
      <c r="AL42" s="52">
        <v>14737.59</v>
      </c>
      <c r="AM42" s="52">
        <v>317941.55</v>
      </c>
      <c r="AN42" s="52">
        <v>33303.369999999995</v>
      </c>
      <c r="AO42" s="52">
        <v>351244.92</v>
      </c>
      <c r="AP42" s="52">
        <v>19970.419999999998</v>
      </c>
      <c r="AQ42" s="54">
        <v>1176.6499999999999</v>
      </c>
      <c r="AR42" s="52">
        <v>21147.07</v>
      </c>
      <c r="AS42" s="52">
        <v>21094.51</v>
      </c>
      <c r="AT42" s="54">
        <v>3250.76</v>
      </c>
      <c r="AU42" s="52">
        <v>24345.269999999997</v>
      </c>
      <c r="AV42" s="52">
        <v>25141.4</v>
      </c>
      <c r="AW42" s="54">
        <v>-695.98</v>
      </c>
      <c r="AX42" s="52">
        <v>24445.420000000002</v>
      </c>
      <c r="AY42" s="52">
        <v>27446.400000000001</v>
      </c>
      <c r="AZ42" s="54">
        <v>950.93</v>
      </c>
      <c r="BA42" s="52">
        <v>28397.33</v>
      </c>
      <c r="BB42" s="52">
        <v>15520.6</v>
      </c>
      <c r="BC42" s="54">
        <v>1096.1100000000001</v>
      </c>
      <c r="BD42" s="52">
        <v>16616.71</v>
      </c>
      <c r="BE42" s="52">
        <v>23340.87</v>
      </c>
      <c r="BF42" s="54">
        <v>1277.98</v>
      </c>
      <c r="BG42" s="471">
        <v>24618.85</v>
      </c>
      <c r="BH42" s="471">
        <v>21773.89</v>
      </c>
      <c r="BI42" s="54">
        <v>1169.5</v>
      </c>
      <c r="BJ42" s="471">
        <v>22943.39</v>
      </c>
    </row>
    <row r="43" spans="1:62" x14ac:dyDescent="0.2">
      <c r="A43" s="52" t="s">
        <v>197</v>
      </c>
      <c r="B43" s="52">
        <v>13083</v>
      </c>
      <c r="D43" s="54">
        <v>0</v>
      </c>
      <c r="E43" s="52">
        <v>0</v>
      </c>
      <c r="G43" s="54">
        <v>0</v>
      </c>
      <c r="H43" s="52">
        <v>0</v>
      </c>
      <c r="J43" s="54">
        <v>0</v>
      </c>
      <c r="K43" s="52">
        <v>0</v>
      </c>
      <c r="M43" s="54">
        <v>0</v>
      </c>
      <c r="N43" s="52">
        <v>0</v>
      </c>
      <c r="P43" s="54">
        <v>0</v>
      </c>
      <c r="Q43" s="52">
        <v>0</v>
      </c>
      <c r="S43" s="54">
        <v>0</v>
      </c>
      <c r="T43" s="52">
        <v>0</v>
      </c>
      <c r="U43" s="86"/>
      <c r="V43" s="470">
        <v>0</v>
      </c>
      <c r="W43" s="52">
        <v>0</v>
      </c>
      <c r="Y43" s="54">
        <v>0</v>
      </c>
      <c r="Z43" s="52">
        <v>0</v>
      </c>
      <c r="AA43" s="54"/>
      <c r="AB43" s="54">
        <v>0</v>
      </c>
      <c r="AC43" s="52">
        <v>0</v>
      </c>
      <c r="AE43" s="54">
        <v>0</v>
      </c>
      <c r="AF43" s="52">
        <v>0</v>
      </c>
      <c r="AH43" s="54">
        <v>0</v>
      </c>
      <c r="AI43" s="52">
        <v>0</v>
      </c>
      <c r="AK43" s="54">
        <v>0</v>
      </c>
      <c r="AL43" s="52">
        <v>0</v>
      </c>
      <c r="AM43" s="52">
        <v>0</v>
      </c>
      <c r="AN43" s="52">
        <v>0</v>
      </c>
      <c r="AO43" s="52">
        <v>0</v>
      </c>
      <c r="AQ43" s="54">
        <v>0</v>
      </c>
      <c r="AR43" s="52">
        <v>0</v>
      </c>
      <c r="AT43" s="54">
        <v>0</v>
      </c>
      <c r="AU43" s="52">
        <v>0</v>
      </c>
      <c r="AW43" s="54">
        <v>0</v>
      </c>
      <c r="AX43" s="52">
        <v>0</v>
      </c>
      <c r="AZ43" s="54">
        <v>0</v>
      </c>
      <c r="BA43" s="52">
        <v>0</v>
      </c>
      <c r="BC43" s="54">
        <v>0</v>
      </c>
      <c r="BD43" s="52">
        <v>0</v>
      </c>
      <c r="BF43" s="54">
        <v>0</v>
      </c>
      <c r="BG43" s="471">
        <v>0</v>
      </c>
      <c r="BH43" s="471"/>
      <c r="BI43" s="54">
        <v>0</v>
      </c>
      <c r="BJ43" s="471">
        <v>0</v>
      </c>
    </row>
    <row r="44" spans="1:62" x14ac:dyDescent="0.2">
      <c r="A44" s="52" t="s">
        <v>198</v>
      </c>
      <c r="B44" s="52">
        <v>13082</v>
      </c>
      <c r="C44" s="52">
        <v>-17.600000000000001</v>
      </c>
      <c r="D44" s="54">
        <v>0</v>
      </c>
      <c r="E44" s="52">
        <v>-17.600000000000001</v>
      </c>
      <c r="F44" s="52">
        <v>0</v>
      </c>
      <c r="G44" s="54">
        <v>0</v>
      </c>
      <c r="H44" s="52">
        <v>0</v>
      </c>
      <c r="I44" s="52">
        <v>0</v>
      </c>
      <c r="J44" s="54">
        <v>0</v>
      </c>
      <c r="K44" s="52">
        <v>0</v>
      </c>
      <c r="L44" s="52">
        <v>0</v>
      </c>
      <c r="M44" s="54">
        <v>0</v>
      </c>
      <c r="N44" s="52">
        <v>0</v>
      </c>
      <c r="O44" s="52">
        <v>0</v>
      </c>
      <c r="P44" s="54">
        <v>0</v>
      </c>
      <c r="Q44" s="52">
        <v>0</v>
      </c>
      <c r="R44" s="52">
        <v>0</v>
      </c>
      <c r="S44" s="54">
        <v>0</v>
      </c>
      <c r="T44" s="52">
        <v>0</v>
      </c>
      <c r="U44" s="86">
        <v>2426.7600000000002</v>
      </c>
      <c r="V44" s="470">
        <v>0</v>
      </c>
      <c r="W44" s="52">
        <v>2426.7600000000002</v>
      </c>
      <c r="X44" s="52">
        <v>22179.94</v>
      </c>
      <c r="Y44" s="54">
        <v>2110.08</v>
      </c>
      <c r="Z44" s="52">
        <v>24290.019999999997</v>
      </c>
      <c r="AA44" s="54">
        <v>-70.17</v>
      </c>
      <c r="AB44" s="54">
        <v>0</v>
      </c>
      <c r="AC44" s="52">
        <v>-70.17</v>
      </c>
      <c r="AD44" s="52">
        <v>-29.96</v>
      </c>
      <c r="AE44" s="54">
        <v>7.08</v>
      </c>
      <c r="AF44" s="52">
        <v>-22.880000000000003</v>
      </c>
      <c r="AG44" s="52">
        <v>19144.490000000002</v>
      </c>
      <c r="AH44" s="54">
        <v>5.74</v>
      </c>
      <c r="AI44" s="52">
        <v>19150.230000000003</v>
      </c>
      <c r="AJ44" s="52">
        <v>-521.85</v>
      </c>
      <c r="AK44" s="54">
        <v>7.6999999999999993</v>
      </c>
      <c r="AL44" s="52">
        <v>-514.15</v>
      </c>
      <c r="AM44" s="52">
        <v>43111.610000000008</v>
      </c>
      <c r="AN44" s="52">
        <v>2130.5999999999995</v>
      </c>
      <c r="AO44" s="52">
        <v>45242.21</v>
      </c>
      <c r="AP44" s="52">
        <v>-822.29</v>
      </c>
      <c r="AQ44" s="54">
        <v>15.399999999999999</v>
      </c>
      <c r="AR44" s="52">
        <v>-806.89</v>
      </c>
      <c r="AS44" s="52">
        <v>427.31</v>
      </c>
      <c r="AT44" s="54">
        <v>69.03</v>
      </c>
      <c r="AU44" s="52">
        <v>496.34000000000003</v>
      </c>
      <c r="AV44" s="52">
        <v>-594.62</v>
      </c>
      <c r="AW44" s="54">
        <v>0</v>
      </c>
      <c r="AX44" s="52">
        <v>-594.62</v>
      </c>
      <c r="AY44" s="52">
        <v>-204.96</v>
      </c>
      <c r="AZ44" s="54">
        <v>0</v>
      </c>
      <c r="BA44" s="52">
        <v>-204.96</v>
      </c>
      <c r="BB44" s="52">
        <v>0</v>
      </c>
      <c r="BC44" s="54">
        <v>0</v>
      </c>
      <c r="BD44" s="52">
        <v>0</v>
      </c>
      <c r="BE44" s="52">
        <v>-41.61</v>
      </c>
      <c r="BF44" s="54">
        <v>0</v>
      </c>
      <c r="BG44" s="471">
        <v>-41.61</v>
      </c>
      <c r="BH44" s="471">
        <v>0</v>
      </c>
      <c r="BI44" s="54">
        <v>0</v>
      </c>
      <c r="BJ44" s="471">
        <v>0</v>
      </c>
    </row>
    <row r="45" spans="1:62" x14ac:dyDescent="0.2">
      <c r="A45" s="52" t="s">
        <v>199</v>
      </c>
      <c r="B45" s="52">
        <v>13133</v>
      </c>
      <c r="C45" s="52">
        <v>47044.99</v>
      </c>
      <c r="D45" s="54">
        <v>659.52</v>
      </c>
      <c r="E45" s="52">
        <v>47704.509999999995</v>
      </c>
      <c r="F45" s="52">
        <v>-2748.15</v>
      </c>
      <c r="G45" s="54">
        <v>1088.9100000000001</v>
      </c>
      <c r="H45" s="52">
        <v>-1659.24</v>
      </c>
      <c r="I45" s="52">
        <v>42237.95</v>
      </c>
      <c r="J45" s="54">
        <v>1672.1</v>
      </c>
      <c r="K45" s="52">
        <v>43910.049999999996</v>
      </c>
      <c r="L45" s="52">
        <v>299.38</v>
      </c>
      <c r="M45" s="54">
        <v>1175.03</v>
      </c>
      <c r="N45" s="52">
        <v>1474.4099999999999</v>
      </c>
      <c r="O45" s="52">
        <v>28179.73</v>
      </c>
      <c r="P45" s="54">
        <v>3396.32</v>
      </c>
      <c r="Q45" s="52">
        <v>31576.05</v>
      </c>
      <c r="R45" s="52">
        <v>21430.6</v>
      </c>
      <c r="S45" s="54">
        <v>2214.16</v>
      </c>
      <c r="T45" s="52">
        <v>23644.76</v>
      </c>
      <c r="U45" s="86">
        <v>16793.310000000001</v>
      </c>
      <c r="V45" s="470">
        <v>1683.68</v>
      </c>
      <c r="W45" s="52">
        <v>18476.990000000002</v>
      </c>
      <c r="X45" s="52">
        <v>27056.92</v>
      </c>
      <c r="Y45" s="54">
        <v>2255.7399999999998</v>
      </c>
      <c r="Z45" s="52">
        <v>29312.659999999996</v>
      </c>
      <c r="AA45" s="54">
        <v>24124.28</v>
      </c>
      <c r="AB45" s="54">
        <v>1612.7</v>
      </c>
      <c r="AC45" s="52">
        <v>25736.98</v>
      </c>
      <c r="AD45" s="52">
        <v>25502.85</v>
      </c>
      <c r="AE45" s="54">
        <v>1858.3600000000001</v>
      </c>
      <c r="AF45" s="52">
        <v>27361.21</v>
      </c>
      <c r="AG45" s="52">
        <v>26492.13</v>
      </c>
      <c r="AH45" s="54">
        <v>1188.69</v>
      </c>
      <c r="AI45" s="52">
        <v>27680.82</v>
      </c>
      <c r="AJ45" s="52">
        <v>26868.47</v>
      </c>
      <c r="AK45" s="54">
        <v>2337.64</v>
      </c>
      <c r="AL45" s="52">
        <v>29206.11</v>
      </c>
      <c r="AM45" s="52">
        <v>283282.45999999996</v>
      </c>
      <c r="AN45" s="52">
        <v>21142.85</v>
      </c>
      <c r="AO45" s="52">
        <v>304425.31</v>
      </c>
      <c r="AP45" s="52">
        <v>23322.58</v>
      </c>
      <c r="AQ45" s="54">
        <v>874.39</v>
      </c>
      <c r="AR45" s="52">
        <v>24196.97</v>
      </c>
      <c r="AS45" s="52">
        <v>28146.22</v>
      </c>
      <c r="AT45" s="54">
        <v>2887.11</v>
      </c>
      <c r="AU45" s="52">
        <v>31033.33</v>
      </c>
      <c r="AV45" s="52">
        <v>27717.16</v>
      </c>
      <c r="AW45" s="54">
        <v>1621.27</v>
      </c>
      <c r="AX45" s="52">
        <v>29338.43</v>
      </c>
      <c r="AY45" s="52">
        <v>23677.54</v>
      </c>
      <c r="AZ45" s="54">
        <v>1223.3</v>
      </c>
      <c r="BA45" s="52">
        <v>24900.84</v>
      </c>
      <c r="BB45" s="52">
        <v>36591.96</v>
      </c>
      <c r="BC45" s="54">
        <v>1658.11</v>
      </c>
      <c r="BD45" s="52">
        <v>38250.07</v>
      </c>
      <c r="BE45" s="52">
        <v>28089.82</v>
      </c>
      <c r="BF45" s="54">
        <v>1375.57</v>
      </c>
      <c r="BG45" s="471">
        <v>29465.39</v>
      </c>
      <c r="BH45" s="471">
        <v>28171.14</v>
      </c>
      <c r="BI45" s="54">
        <v>1527.52</v>
      </c>
      <c r="BJ45" s="471">
        <v>29698.66</v>
      </c>
    </row>
    <row r="46" spans="1:62" x14ac:dyDescent="0.2">
      <c r="A46" s="52" t="s">
        <v>200</v>
      </c>
      <c r="B46" s="52">
        <v>13134</v>
      </c>
      <c r="C46" s="52">
        <v>0</v>
      </c>
      <c r="D46" s="54">
        <v>0</v>
      </c>
      <c r="E46" s="52">
        <v>0</v>
      </c>
      <c r="F46" s="52">
        <v>9610.19</v>
      </c>
      <c r="G46" s="54">
        <v>250.06</v>
      </c>
      <c r="H46" s="52">
        <v>9860.25</v>
      </c>
      <c r="I46" s="52">
        <v>111.76</v>
      </c>
      <c r="J46" s="54">
        <v>181.72</v>
      </c>
      <c r="K46" s="52">
        <v>293.48</v>
      </c>
      <c r="L46" s="52">
        <v>8836.74</v>
      </c>
      <c r="M46" s="54">
        <v>1061.6099999999999</v>
      </c>
      <c r="N46" s="52">
        <v>9898.35</v>
      </c>
      <c r="O46" s="52">
        <v>5819.91</v>
      </c>
      <c r="P46" s="54">
        <v>437.13</v>
      </c>
      <c r="Q46" s="52">
        <v>6257.04</v>
      </c>
      <c r="R46" s="52">
        <v>5071.47</v>
      </c>
      <c r="S46" s="54">
        <v>676.51</v>
      </c>
      <c r="T46" s="52">
        <v>5747.9800000000005</v>
      </c>
      <c r="U46" s="86">
        <v>9550.64</v>
      </c>
      <c r="V46" s="470">
        <v>603.66999999999996</v>
      </c>
      <c r="W46" s="52">
        <v>10154.31</v>
      </c>
      <c r="X46" s="52">
        <v>9084.18</v>
      </c>
      <c r="Y46" s="54">
        <v>915.91</v>
      </c>
      <c r="Z46" s="52">
        <v>10000.09</v>
      </c>
      <c r="AA46" s="54">
        <v>15506.29</v>
      </c>
      <c r="AB46" s="54">
        <v>749.37</v>
      </c>
      <c r="AC46" s="52">
        <v>16255.660000000002</v>
      </c>
      <c r="AD46" s="52">
        <v>8576.14</v>
      </c>
      <c r="AE46" s="54">
        <v>805.83</v>
      </c>
      <c r="AF46" s="52">
        <v>9381.9699999999993</v>
      </c>
      <c r="AG46" s="52">
        <v>6490.96</v>
      </c>
      <c r="AH46" s="54">
        <v>588.94000000000005</v>
      </c>
      <c r="AI46" s="52">
        <v>7079.9</v>
      </c>
      <c r="AJ46" s="52">
        <v>9122.7199999999993</v>
      </c>
      <c r="AK46" s="54">
        <v>878.51</v>
      </c>
      <c r="AL46" s="52">
        <v>10001.23</v>
      </c>
      <c r="AM46" s="52">
        <v>87781.000000000015</v>
      </c>
      <c r="AN46" s="52">
        <v>7149.26</v>
      </c>
      <c r="AO46" s="52">
        <v>94930.26</v>
      </c>
      <c r="AP46" s="52">
        <v>3752.43</v>
      </c>
      <c r="AQ46" s="54">
        <v>537.46</v>
      </c>
      <c r="AR46" s="52">
        <v>4289.8899999999994</v>
      </c>
      <c r="AS46" s="52">
        <v>7016.85</v>
      </c>
      <c r="AT46" s="54">
        <v>1691.94</v>
      </c>
      <c r="AU46" s="52">
        <v>8708.7900000000009</v>
      </c>
      <c r="AV46" s="52">
        <v>15465.34</v>
      </c>
      <c r="AW46" s="54">
        <v>1079.8699999999999</v>
      </c>
      <c r="AX46" s="52">
        <v>16545.21</v>
      </c>
      <c r="AY46" s="52">
        <v>19682.21</v>
      </c>
      <c r="AZ46" s="54">
        <v>1307.8800000000001</v>
      </c>
      <c r="BA46" s="52">
        <v>20990.09</v>
      </c>
      <c r="BB46" s="52">
        <v>-1762.62</v>
      </c>
      <c r="BC46" s="54">
        <v>788.88</v>
      </c>
      <c r="BD46" s="52">
        <v>-973.7399999999999</v>
      </c>
      <c r="BE46" s="52">
        <v>295.13</v>
      </c>
      <c r="BF46" s="54">
        <v>487.86</v>
      </c>
      <c r="BG46" s="471">
        <v>782.99</v>
      </c>
      <c r="BH46" s="471">
        <v>-354.62</v>
      </c>
      <c r="BI46" s="54">
        <v>0</v>
      </c>
      <c r="BJ46" s="471">
        <v>-354.62</v>
      </c>
    </row>
    <row r="47" spans="1:62" x14ac:dyDescent="0.2">
      <c r="A47" s="52" t="s">
        <v>201</v>
      </c>
      <c r="B47" s="52">
        <v>13072</v>
      </c>
      <c r="C47" s="52">
        <v>1486.94</v>
      </c>
      <c r="D47" s="54">
        <v>858.68</v>
      </c>
      <c r="E47" s="52">
        <v>2345.62</v>
      </c>
      <c r="F47" s="52">
        <v>13443.39</v>
      </c>
      <c r="G47" s="54">
        <v>1691.08</v>
      </c>
      <c r="H47" s="52">
        <v>15134.47</v>
      </c>
      <c r="I47" s="52">
        <v>15518.94</v>
      </c>
      <c r="J47" s="54">
        <v>1336.66</v>
      </c>
      <c r="K47" s="52">
        <v>16855.600000000002</v>
      </c>
      <c r="L47" s="52">
        <v>10444.31</v>
      </c>
      <c r="M47" s="54">
        <v>1796.21</v>
      </c>
      <c r="N47" s="52">
        <v>12240.52</v>
      </c>
      <c r="O47" s="52">
        <v>10366.92</v>
      </c>
      <c r="P47" s="54">
        <v>611.88</v>
      </c>
      <c r="Q47" s="52">
        <v>10978.8</v>
      </c>
      <c r="R47" s="52">
        <v>11974.34</v>
      </c>
      <c r="S47" s="54">
        <v>2340.8200000000002</v>
      </c>
      <c r="T47" s="52">
        <v>14315.16</v>
      </c>
      <c r="U47" s="86">
        <v>13407.47</v>
      </c>
      <c r="V47" s="470">
        <v>1380.21</v>
      </c>
      <c r="W47" s="52">
        <v>14787.68</v>
      </c>
      <c r="X47" s="52">
        <v>17079.759999999998</v>
      </c>
      <c r="Y47" s="54">
        <v>1943.44</v>
      </c>
      <c r="Z47" s="52">
        <v>19023.199999999997</v>
      </c>
      <c r="AA47" s="54">
        <v>15316.45</v>
      </c>
      <c r="AB47" s="54">
        <v>1237.68</v>
      </c>
      <c r="AC47" s="52">
        <v>16554.13</v>
      </c>
      <c r="AD47" s="52">
        <v>10662.39</v>
      </c>
      <c r="AE47" s="54">
        <v>1366.31</v>
      </c>
      <c r="AF47" s="52">
        <v>12028.699999999999</v>
      </c>
      <c r="AG47" s="52">
        <v>24305.02</v>
      </c>
      <c r="AH47" s="54">
        <v>2976.78</v>
      </c>
      <c r="AI47" s="52">
        <v>27281.8</v>
      </c>
      <c r="AJ47" s="52">
        <v>20311.849999999999</v>
      </c>
      <c r="AK47" s="54">
        <v>3154.3799999999997</v>
      </c>
      <c r="AL47" s="52">
        <v>23466.23</v>
      </c>
      <c r="AM47" s="52">
        <v>164317.78</v>
      </c>
      <c r="AN47" s="52">
        <v>20694.13</v>
      </c>
      <c r="AO47" s="52">
        <v>185011.91</v>
      </c>
      <c r="AP47" s="52">
        <v>8534.82</v>
      </c>
      <c r="AQ47" s="54">
        <v>1124.05</v>
      </c>
      <c r="AR47" s="52">
        <v>9658.869999999999</v>
      </c>
      <c r="AS47" s="52">
        <v>19822.89</v>
      </c>
      <c r="AT47" s="54">
        <v>2167.7600000000002</v>
      </c>
      <c r="AU47" s="52">
        <v>21990.65</v>
      </c>
      <c r="AV47" s="52">
        <v>9217.65</v>
      </c>
      <c r="AW47" s="54">
        <v>6806.71</v>
      </c>
      <c r="AX47" s="52">
        <v>16024.36</v>
      </c>
      <c r="AY47" s="52">
        <v>-1869.58</v>
      </c>
      <c r="AZ47" s="54">
        <v>552.23</v>
      </c>
      <c r="BA47" s="52">
        <v>-1317.35</v>
      </c>
      <c r="BB47" s="52">
        <v>-1906.49</v>
      </c>
      <c r="BC47" s="54">
        <v>850.64</v>
      </c>
      <c r="BD47" s="52">
        <v>-1055.8499999999999</v>
      </c>
      <c r="BE47" s="52">
        <v>45700.62</v>
      </c>
      <c r="BF47" s="54">
        <v>499.05</v>
      </c>
      <c r="BG47" s="471">
        <v>46199.670000000006</v>
      </c>
      <c r="BH47" s="471">
        <v>5605.46</v>
      </c>
      <c r="BI47" s="54">
        <v>960.14</v>
      </c>
      <c r="BJ47" s="471">
        <v>6565.6</v>
      </c>
    </row>
    <row r="48" spans="1:62" x14ac:dyDescent="0.2">
      <c r="A48" s="52" t="s">
        <v>202</v>
      </c>
      <c r="B48" s="52">
        <v>13074</v>
      </c>
      <c r="C48" s="52">
        <v>-1552.13</v>
      </c>
      <c r="D48" s="54">
        <v>918.9</v>
      </c>
      <c r="E48" s="52">
        <v>-633.23000000000013</v>
      </c>
      <c r="F48" s="52">
        <v>42531.25</v>
      </c>
      <c r="G48" s="54">
        <v>2550.33</v>
      </c>
      <c r="H48" s="52">
        <v>45081.58</v>
      </c>
      <c r="I48" s="52">
        <v>43431.75</v>
      </c>
      <c r="J48" s="54">
        <v>2867.2</v>
      </c>
      <c r="K48" s="52">
        <v>46298.95</v>
      </c>
      <c r="L48" s="52">
        <v>32558.63</v>
      </c>
      <c r="M48" s="54">
        <v>3004.8100000000004</v>
      </c>
      <c r="N48" s="52">
        <v>35563.440000000002</v>
      </c>
      <c r="O48" s="52">
        <v>29672.99</v>
      </c>
      <c r="P48" s="54">
        <v>1742.01</v>
      </c>
      <c r="Q48" s="52">
        <v>31415</v>
      </c>
      <c r="R48" s="52">
        <v>25542.26</v>
      </c>
      <c r="S48" s="54">
        <v>2929.12</v>
      </c>
      <c r="T48" s="52">
        <v>28471.379999999997</v>
      </c>
      <c r="U48" s="86">
        <v>33472.07</v>
      </c>
      <c r="V48" s="470">
        <v>2162.6999999999998</v>
      </c>
      <c r="W48" s="52">
        <v>35634.769999999997</v>
      </c>
      <c r="X48" s="52">
        <v>45061.36</v>
      </c>
      <c r="Y48" s="54">
        <v>2937.82</v>
      </c>
      <c r="Z48" s="52">
        <v>47999.18</v>
      </c>
      <c r="AA48" s="54">
        <v>32212.31</v>
      </c>
      <c r="AB48" s="54">
        <v>2748.13</v>
      </c>
      <c r="AC48" s="52">
        <v>34960.44</v>
      </c>
      <c r="AD48" s="52">
        <v>50336.17</v>
      </c>
      <c r="AE48" s="54">
        <v>2290.02</v>
      </c>
      <c r="AF48" s="52">
        <v>52626.189999999995</v>
      </c>
      <c r="AG48" s="52">
        <v>45246.49</v>
      </c>
      <c r="AH48" s="54">
        <v>2045.79</v>
      </c>
      <c r="AI48" s="52">
        <v>47292.28</v>
      </c>
      <c r="AJ48" s="52">
        <v>37987.760000000002</v>
      </c>
      <c r="AK48" s="54">
        <v>4860.7299999999996</v>
      </c>
      <c r="AL48" s="52">
        <v>42848.490000000005</v>
      </c>
      <c r="AM48" s="52">
        <v>416500.91</v>
      </c>
      <c r="AN48" s="52">
        <v>31057.560000000005</v>
      </c>
      <c r="AO48" s="52">
        <v>447558.47</v>
      </c>
      <c r="AP48" s="52">
        <v>28771.71</v>
      </c>
      <c r="AQ48" s="54">
        <v>1704.02</v>
      </c>
      <c r="AR48" s="52">
        <v>30475.73</v>
      </c>
      <c r="AS48" s="52">
        <v>42887.55</v>
      </c>
      <c r="AT48" s="54">
        <v>2164.86</v>
      </c>
      <c r="AU48" s="52">
        <v>45052.41</v>
      </c>
      <c r="AV48" s="52">
        <v>38263.040000000001</v>
      </c>
      <c r="AW48" s="54">
        <v>5770.88</v>
      </c>
      <c r="AX48" s="52">
        <v>44033.919999999998</v>
      </c>
      <c r="AY48" s="52">
        <v>41813.51</v>
      </c>
      <c r="AZ48" s="54">
        <v>2164.86</v>
      </c>
      <c r="BA48" s="52">
        <v>43978.37</v>
      </c>
      <c r="BB48" s="52">
        <v>56626.12</v>
      </c>
      <c r="BC48" s="54">
        <v>1978.1399999999999</v>
      </c>
      <c r="BD48" s="52">
        <v>58604.26</v>
      </c>
      <c r="BE48" s="52">
        <v>47570.51</v>
      </c>
      <c r="BF48" s="54">
        <v>2934.2000000000003</v>
      </c>
      <c r="BG48" s="471">
        <v>50504.71</v>
      </c>
      <c r="BH48" s="471">
        <v>33694.720000000001</v>
      </c>
      <c r="BI48" s="54">
        <v>1956.45</v>
      </c>
      <c r="BJ48" s="471">
        <v>35651.17</v>
      </c>
    </row>
    <row r="49" spans="1:62" x14ac:dyDescent="0.2">
      <c r="A49" s="52" t="s">
        <v>203</v>
      </c>
      <c r="B49" s="52">
        <v>13071</v>
      </c>
      <c r="C49" s="52">
        <v>-550.46</v>
      </c>
      <c r="D49" s="54">
        <v>647.80999999999995</v>
      </c>
      <c r="E49" s="52">
        <v>97.349999999999909</v>
      </c>
      <c r="F49" s="52">
        <v>3823.72</v>
      </c>
      <c r="G49" s="54">
        <v>962.52</v>
      </c>
      <c r="H49" s="52">
        <v>4786.24</v>
      </c>
      <c r="I49" s="52">
        <v>16894.900000000001</v>
      </c>
      <c r="J49" s="54">
        <v>1564.17</v>
      </c>
      <c r="K49" s="52">
        <v>18459.07</v>
      </c>
      <c r="L49" s="52">
        <v>9542.1</v>
      </c>
      <c r="M49" s="54">
        <v>1298.03</v>
      </c>
      <c r="N49" s="52">
        <v>10840.130000000001</v>
      </c>
      <c r="O49" s="52">
        <v>6721.33</v>
      </c>
      <c r="P49" s="54">
        <v>640.09</v>
      </c>
      <c r="Q49" s="52">
        <v>7361.42</v>
      </c>
      <c r="R49" s="52">
        <v>7855.83</v>
      </c>
      <c r="S49" s="54">
        <v>1326.65</v>
      </c>
      <c r="T49" s="52">
        <v>9182.48</v>
      </c>
      <c r="U49" s="86">
        <v>10077.629999999999</v>
      </c>
      <c r="V49" s="470">
        <v>935.36</v>
      </c>
      <c r="W49" s="52">
        <v>11012.99</v>
      </c>
      <c r="X49" s="52">
        <v>11821.39</v>
      </c>
      <c r="Y49" s="54">
        <v>1192.95</v>
      </c>
      <c r="Z49" s="52">
        <v>13014.34</v>
      </c>
      <c r="AA49" s="54">
        <v>9456.11</v>
      </c>
      <c r="AB49" s="54">
        <v>1032.5899999999999</v>
      </c>
      <c r="AC49" s="52">
        <v>10488.7</v>
      </c>
      <c r="AD49" s="52">
        <v>13714.28</v>
      </c>
      <c r="AE49" s="54">
        <v>1018.6399999999999</v>
      </c>
      <c r="AF49" s="52">
        <v>14732.92</v>
      </c>
      <c r="AG49" s="52">
        <v>10011.459999999999</v>
      </c>
      <c r="AH49" s="54">
        <v>678.12</v>
      </c>
      <c r="AI49" s="52">
        <v>10689.58</v>
      </c>
      <c r="AJ49" s="52">
        <v>8634.77</v>
      </c>
      <c r="AK49" s="54">
        <v>1321.3</v>
      </c>
      <c r="AL49" s="52">
        <v>9956.07</v>
      </c>
      <c r="AM49" s="52">
        <v>108003.06000000001</v>
      </c>
      <c r="AN49" s="52">
        <v>12618.23</v>
      </c>
      <c r="AO49" s="52">
        <v>120621.29000000001</v>
      </c>
      <c r="AP49" s="52">
        <v>10917.67</v>
      </c>
      <c r="AQ49" s="54">
        <v>900.16</v>
      </c>
      <c r="AR49" s="52">
        <v>11817.83</v>
      </c>
      <c r="AS49" s="52">
        <v>13456.03</v>
      </c>
      <c r="AT49" s="54">
        <v>1013.84</v>
      </c>
      <c r="AU49" s="52">
        <v>14469.87</v>
      </c>
      <c r="AV49" s="52">
        <v>12095.67</v>
      </c>
      <c r="AW49" s="54">
        <v>2911.0299999999997</v>
      </c>
      <c r="AX49" s="52">
        <v>15006.7</v>
      </c>
      <c r="AY49" s="52">
        <v>4157.46</v>
      </c>
      <c r="AZ49" s="54">
        <v>696.16</v>
      </c>
      <c r="BA49" s="52">
        <v>4853.62</v>
      </c>
      <c r="BB49" s="52">
        <v>17086.900000000001</v>
      </c>
      <c r="BC49" s="54">
        <v>827.65</v>
      </c>
      <c r="BD49" s="52">
        <v>17914.550000000003</v>
      </c>
      <c r="BE49" s="52">
        <v>11049.1</v>
      </c>
      <c r="BF49" s="54">
        <v>1101.68</v>
      </c>
      <c r="BG49" s="471">
        <v>12150.78</v>
      </c>
      <c r="BH49" s="471">
        <v>8548.3700000000008</v>
      </c>
      <c r="BI49" s="54">
        <v>772.92</v>
      </c>
      <c r="BJ49" s="471">
        <v>9321.2900000000009</v>
      </c>
    </row>
    <row r="50" spans="1:62" x14ac:dyDescent="0.2">
      <c r="A50" s="52" t="s">
        <v>204</v>
      </c>
      <c r="B50" s="52">
        <v>13037</v>
      </c>
      <c r="C50" s="52">
        <v>-1521.55</v>
      </c>
      <c r="D50" s="54">
        <v>1126.3900000000001</v>
      </c>
      <c r="E50" s="52">
        <v>-395.15999999999985</v>
      </c>
      <c r="F50" s="52">
        <v>-3674.09</v>
      </c>
      <c r="G50" s="54">
        <v>3802.95</v>
      </c>
      <c r="H50" s="52">
        <v>128.85999999999967</v>
      </c>
      <c r="I50" s="52">
        <v>26263.74</v>
      </c>
      <c r="J50" s="54">
        <v>2637.06</v>
      </c>
      <c r="K50" s="52">
        <v>28900.800000000003</v>
      </c>
      <c r="L50" s="52">
        <v>34040.379999999997</v>
      </c>
      <c r="M50" s="54">
        <v>4507</v>
      </c>
      <c r="N50" s="52">
        <v>38547.379999999997</v>
      </c>
      <c r="O50" s="52">
        <v>35957.72</v>
      </c>
      <c r="P50" s="54">
        <v>2800.77</v>
      </c>
      <c r="Q50" s="52">
        <v>38758.49</v>
      </c>
      <c r="R50" s="52">
        <v>20781.150000000001</v>
      </c>
      <c r="S50" s="54">
        <v>4631.43</v>
      </c>
      <c r="T50" s="52">
        <v>25412.58</v>
      </c>
      <c r="U50" s="86">
        <v>40791.19</v>
      </c>
      <c r="V50" s="470">
        <v>3094.35</v>
      </c>
      <c r="W50" s="52">
        <v>43885.54</v>
      </c>
      <c r="X50" s="52">
        <v>38887.07</v>
      </c>
      <c r="Y50" s="54">
        <v>4916.2</v>
      </c>
      <c r="Z50" s="52">
        <v>43803.27</v>
      </c>
      <c r="AA50" s="54">
        <v>44949.91</v>
      </c>
      <c r="AB50" s="54">
        <v>3949.43</v>
      </c>
      <c r="AC50" s="52">
        <v>48899.340000000004</v>
      </c>
      <c r="AD50" s="52">
        <v>28547.89</v>
      </c>
      <c r="AE50" s="54">
        <v>3096.3</v>
      </c>
      <c r="AF50" s="52">
        <v>31644.19</v>
      </c>
      <c r="AG50" s="52">
        <v>25189.360000000001</v>
      </c>
      <c r="AH50" s="54">
        <v>4664.66</v>
      </c>
      <c r="AI50" s="52">
        <v>29854.02</v>
      </c>
      <c r="AJ50" s="52">
        <v>14412.92</v>
      </c>
      <c r="AK50" s="54">
        <v>3710.71</v>
      </c>
      <c r="AL50" s="52">
        <v>18123.63</v>
      </c>
      <c r="AM50" s="52">
        <v>304625.69</v>
      </c>
      <c r="AN50" s="52">
        <v>42937.249999999993</v>
      </c>
      <c r="AO50" s="52">
        <v>347562.94000000006</v>
      </c>
      <c r="AP50" s="52">
        <v>25433.42</v>
      </c>
      <c r="AQ50" s="54">
        <v>1366.25</v>
      </c>
      <c r="AR50" s="52">
        <v>26799.67</v>
      </c>
      <c r="AS50" s="52">
        <v>18081.97</v>
      </c>
      <c r="AT50" s="54">
        <v>2692.63</v>
      </c>
      <c r="AU50" s="52">
        <v>20774.600000000002</v>
      </c>
      <c r="AV50" s="52">
        <v>33971.019999999997</v>
      </c>
      <c r="AW50" s="54">
        <v>12447.42</v>
      </c>
      <c r="AX50" s="52">
        <v>46418.439999999995</v>
      </c>
      <c r="AY50" s="52">
        <v>33486.980000000003</v>
      </c>
      <c r="AZ50" s="54">
        <v>3788.43</v>
      </c>
      <c r="BA50" s="52">
        <v>37275.410000000003</v>
      </c>
      <c r="BB50" s="52">
        <v>41506.04</v>
      </c>
      <c r="BC50" s="54">
        <v>1616.51</v>
      </c>
      <c r="BD50" s="52">
        <v>43122.55</v>
      </c>
      <c r="BE50" s="52">
        <v>49443.26</v>
      </c>
      <c r="BF50" s="54">
        <v>4986.0499999999993</v>
      </c>
      <c r="BG50" s="471">
        <v>54429.31</v>
      </c>
      <c r="BH50" s="471">
        <v>35051.94</v>
      </c>
      <c r="BI50" s="54">
        <v>1661.21</v>
      </c>
      <c r="BJ50" s="471">
        <v>36713.15</v>
      </c>
    </row>
    <row r="51" spans="1:62" x14ac:dyDescent="0.2">
      <c r="A51" s="52" t="s">
        <v>205</v>
      </c>
      <c r="B51" s="52">
        <v>13032</v>
      </c>
      <c r="C51" s="52">
        <v>-1493.81</v>
      </c>
      <c r="D51" s="54">
        <v>1583.17</v>
      </c>
      <c r="E51" s="52">
        <v>89.360000000000127</v>
      </c>
      <c r="F51" s="52">
        <v>-1800.44</v>
      </c>
      <c r="G51" s="54">
        <v>5571.83</v>
      </c>
      <c r="H51" s="52">
        <v>3771.39</v>
      </c>
      <c r="I51" s="52">
        <v>52239.85</v>
      </c>
      <c r="J51" s="54">
        <v>3819.58</v>
      </c>
      <c r="K51" s="52">
        <v>56059.43</v>
      </c>
      <c r="L51" s="52">
        <v>39874.49</v>
      </c>
      <c r="M51" s="54">
        <v>6109.81</v>
      </c>
      <c r="N51" s="52">
        <v>45984.299999999996</v>
      </c>
      <c r="O51" s="52">
        <v>46150.15</v>
      </c>
      <c r="P51" s="54">
        <v>4593.3999999999996</v>
      </c>
      <c r="Q51" s="52">
        <v>50743.55</v>
      </c>
      <c r="R51" s="52">
        <v>43668.5</v>
      </c>
      <c r="S51" s="54">
        <v>6034.4400000000005</v>
      </c>
      <c r="T51" s="52">
        <v>49702.94</v>
      </c>
      <c r="U51" s="86">
        <v>53726.02</v>
      </c>
      <c r="V51" s="470">
        <v>4447.7700000000004</v>
      </c>
      <c r="W51" s="52">
        <v>58173.789999999994</v>
      </c>
      <c r="X51" s="52">
        <v>55246.5</v>
      </c>
      <c r="Y51" s="54">
        <v>6722.21</v>
      </c>
      <c r="Z51" s="52">
        <v>61968.71</v>
      </c>
      <c r="AA51" s="54">
        <v>59984.49</v>
      </c>
      <c r="AB51" s="54">
        <v>5936.85</v>
      </c>
      <c r="AC51" s="52">
        <v>65921.34</v>
      </c>
      <c r="AD51" s="52">
        <v>46587.74</v>
      </c>
      <c r="AE51" s="54">
        <v>4444.91</v>
      </c>
      <c r="AF51" s="52">
        <v>51032.649999999994</v>
      </c>
      <c r="AG51" s="52">
        <v>43909.38</v>
      </c>
      <c r="AH51" s="54">
        <v>3218.15</v>
      </c>
      <c r="AI51" s="52">
        <v>47127.53</v>
      </c>
      <c r="AJ51" s="52">
        <v>29385.7</v>
      </c>
      <c r="AK51" s="54">
        <v>6186.34</v>
      </c>
      <c r="AL51" s="52">
        <v>35572.04</v>
      </c>
      <c r="AM51" s="52">
        <v>467478.57</v>
      </c>
      <c r="AN51" s="52">
        <v>58668.460000000006</v>
      </c>
      <c r="AO51" s="52">
        <v>526147.03000000014</v>
      </c>
      <c r="AP51" s="52">
        <v>15696.64</v>
      </c>
      <c r="AQ51" s="54">
        <v>2466.6999999999998</v>
      </c>
      <c r="AR51" s="52">
        <v>18163.34</v>
      </c>
      <c r="AS51" s="52">
        <v>37924.910000000003</v>
      </c>
      <c r="AT51" s="54">
        <v>3591.23</v>
      </c>
      <c r="AU51" s="52">
        <v>41516.140000000007</v>
      </c>
      <c r="AV51" s="52">
        <v>48592.800000000003</v>
      </c>
      <c r="AW51" s="54">
        <v>16412.73</v>
      </c>
      <c r="AX51" s="52">
        <v>65005.53</v>
      </c>
      <c r="AY51" s="52">
        <v>45732.79</v>
      </c>
      <c r="AZ51" s="54">
        <v>3643.0800000000004</v>
      </c>
      <c r="BA51" s="52">
        <v>49375.87</v>
      </c>
      <c r="BB51" s="52">
        <v>62501.84</v>
      </c>
      <c r="BC51" s="54">
        <v>3592.59</v>
      </c>
      <c r="BD51" s="52">
        <v>66094.429999999993</v>
      </c>
      <c r="BE51" s="52">
        <v>64350.74</v>
      </c>
      <c r="BF51" s="54">
        <v>6005.9800000000005</v>
      </c>
      <c r="BG51" s="471">
        <v>70356.72</v>
      </c>
      <c r="BH51" s="471">
        <v>35082.32</v>
      </c>
      <c r="BI51" s="54">
        <v>2854.19</v>
      </c>
      <c r="BJ51" s="471">
        <v>37936.51</v>
      </c>
    </row>
    <row r="52" spans="1:62" x14ac:dyDescent="0.2">
      <c r="A52" s="52" t="s">
        <v>206</v>
      </c>
      <c r="B52" s="52">
        <v>13036</v>
      </c>
      <c r="D52" s="54">
        <v>0</v>
      </c>
      <c r="E52" s="52">
        <v>0</v>
      </c>
      <c r="G52" s="54">
        <v>0</v>
      </c>
      <c r="H52" s="52">
        <v>0</v>
      </c>
      <c r="J52" s="54">
        <v>0</v>
      </c>
      <c r="K52" s="52">
        <v>0</v>
      </c>
      <c r="M52" s="54">
        <v>0</v>
      </c>
      <c r="N52" s="52">
        <v>0</v>
      </c>
      <c r="P52" s="54">
        <v>0</v>
      </c>
      <c r="Q52" s="52">
        <v>0</v>
      </c>
      <c r="S52" s="54">
        <v>0</v>
      </c>
      <c r="T52" s="52">
        <v>0</v>
      </c>
      <c r="U52" s="86"/>
      <c r="V52" s="470">
        <v>0</v>
      </c>
      <c r="W52" s="52">
        <v>0</v>
      </c>
      <c r="Y52" s="54">
        <v>0</v>
      </c>
      <c r="Z52" s="52">
        <v>0</v>
      </c>
      <c r="AA52" s="54"/>
      <c r="AB52" s="54">
        <v>0</v>
      </c>
      <c r="AC52" s="52">
        <v>0</v>
      </c>
      <c r="AE52" s="54">
        <v>0</v>
      </c>
      <c r="AF52" s="52">
        <v>0</v>
      </c>
      <c r="AH52" s="54">
        <v>0</v>
      </c>
      <c r="AI52" s="52">
        <v>0</v>
      </c>
      <c r="AK52" s="54">
        <v>0</v>
      </c>
      <c r="AL52" s="52">
        <v>0</v>
      </c>
      <c r="AM52" s="52">
        <v>0</v>
      </c>
      <c r="AN52" s="52">
        <v>0</v>
      </c>
      <c r="AO52" s="52">
        <v>0</v>
      </c>
      <c r="AQ52" s="54">
        <v>0</v>
      </c>
      <c r="AR52" s="52">
        <v>0</v>
      </c>
      <c r="AT52" s="54">
        <v>0</v>
      </c>
      <c r="AU52" s="52">
        <v>0</v>
      </c>
      <c r="AW52" s="54">
        <v>0</v>
      </c>
      <c r="AX52" s="52">
        <v>0</v>
      </c>
      <c r="AZ52" s="54">
        <v>0</v>
      </c>
      <c r="BA52" s="52">
        <v>0</v>
      </c>
      <c r="BC52" s="54">
        <v>0</v>
      </c>
      <c r="BD52" s="52">
        <v>0</v>
      </c>
      <c r="BF52" s="54">
        <v>0</v>
      </c>
      <c r="BG52" s="471">
        <v>0</v>
      </c>
      <c r="BH52" s="471"/>
      <c r="BI52" s="54">
        <v>0</v>
      </c>
      <c r="BJ52" s="471">
        <v>0</v>
      </c>
    </row>
    <row r="53" spans="1:62" x14ac:dyDescent="0.2">
      <c r="A53" s="52" t="s">
        <v>207</v>
      </c>
      <c r="B53" s="52">
        <v>13064</v>
      </c>
      <c r="C53" s="52">
        <v>5917.03</v>
      </c>
      <c r="D53" s="54">
        <v>327.10000000000002</v>
      </c>
      <c r="E53" s="52">
        <v>6244.13</v>
      </c>
      <c r="F53" s="52">
        <v>9994.66</v>
      </c>
      <c r="G53" s="54">
        <v>802.48</v>
      </c>
      <c r="H53" s="52">
        <v>10797.14</v>
      </c>
      <c r="I53" s="52">
        <v>3462.42</v>
      </c>
      <c r="J53" s="54">
        <v>405.78</v>
      </c>
      <c r="K53" s="52">
        <v>3868.2</v>
      </c>
      <c r="L53" s="52">
        <v>4414.0600000000004</v>
      </c>
      <c r="M53" s="54">
        <v>930.09</v>
      </c>
      <c r="N53" s="52">
        <v>5344.1500000000005</v>
      </c>
      <c r="O53" s="52">
        <v>2605.5500000000002</v>
      </c>
      <c r="P53" s="54">
        <v>686.53</v>
      </c>
      <c r="Q53" s="52">
        <v>3292.08</v>
      </c>
      <c r="R53" s="52">
        <v>5131.09</v>
      </c>
      <c r="S53" s="54">
        <v>1011.84</v>
      </c>
      <c r="T53" s="52">
        <v>6142.93</v>
      </c>
      <c r="U53" s="86">
        <v>1259.77</v>
      </c>
      <c r="V53" s="470">
        <v>788.53</v>
      </c>
      <c r="W53" s="52">
        <v>2048.3000000000002</v>
      </c>
      <c r="X53" s="52">
        <v>6350.02</v>
      </c>
      <c r="Y53" s="54">
        <v>1577.07</v>
      </c>
      <c r="Z53" s="52">
        <v>7927.09</v>
      </c>
      <c r="AA53" s="54">
        <v>12019.63</v>
      </c>
      <c r="AB53" s="54">
        <v>1416.57</v>
      </c>
      <c r="AC53" s="52">
        <v>13436.199999999999</v>
      </c>
      <c r="AD53" s="52">
        <v>2067.2399999999998</v>
      </c>
      <c r="AE53" s="54">
        <v>563.75</v>
      </c>
      <c r="AF53" s="52">
        <v>2630.99</v>
      </c>
      <c r="AG53" s="52">
        <v>-208.59</v>
      </c>
      <c r="AH53" s="54">
        <v>0</v>
      </c>
      <c r="AI53" s="52">
        <v>-208.59</v>
      </c>
      <c r="AJ53" s="52">
        <v>-204.86</v>
      </c>
      <c r="AK53" s="54">
        <v>0</v>
      </c>
      <c r="AL53" s="52">
        <v>-204.86</v>
      </c>
      <c r="AM53" s="52">
        <v>52808.020000000004</v>
      </c>
      <c r="AN53" s="52">
        <v>8509.739999999998</v>
      </c>
      <c r="AO53" s="52">
        <v>61317.760000000002</v>
      </c>
      <c r="AP53" s="52">
        <v>-933.08</v>
      </c>
      <c r="AQ53" s="54">
        <v>0</v>
      </c>
      <c r="AR53" s="52">
        <v>-933.08</v>
      </c>
      <c r="AS53" s="52">
        <v>-1567.96</v>
      </c>
      <c r="AT53" s="54">
        <v>0</v>
      </c>
      <c r="AU53" s="52">
        <v>-1567.96</v>
      </c>
      <c r="AV53" s="52">
        <v>-39.54</v>
      </c>
      <c r="AW53" s="54">
        <v>0</v>
      </c>
      <c r="AX53" s="52">
        <v>-39.54</v>
      </c>
      <c r="AY53" s="52">
        <v>-347.86</v>
      </c>
      <c r="AZ53" s="54">
        <v>0</v>
      </c>
      <c r="BA53" s="52">
        <v>-347.86</v>
      </c>
      <c r="BB53" s="52">
        <v>-932.67</v>
      </c>
      <c r="BC53" s="54">
        <v>0</v>
      </c>
      <c r="BD53" s="52">
        <v>-932.67</v>
      </c>
      <c r="BE53" s="52">
        <v>-1006.54</v>
      </c>
      <c r="BF53" s="54">
        <v>0</v>
      </c>
      <c r="BG53" s="471">
        <v>-1006.54</v>
      </c>
      <c r="BH53" s="471">
        <v>-705.03</v>
      </c>
      <c r="BI53" s="54">
        <v>0</v>
      </c>
      <c r="BJ53" s="471">
        <v>-705.03</v>
      </c>
    </row>
    <row r="54" spans="1:62" x14ac:dyDescent="0.2">
      <c r="A54" s="52" t="s">
        <v>208</v>
      </c>
      <c r="B54" s="52">
        <v>13140</v>
      </c>
      <c r="C54" s="52">
        <v>0</v>
      </c>
      <c r="D54" s="54">
        <v>0</v>
      </c>
      <c r="E54" s="52">
        <v>0</v>
      </c>
      <c r="F54" s="52">
        <v>-298.52</v>
      </c>
      <c r="G54" s="54">
        <v>53.73</v>
      </c>
      <c r="H54" s="52">
        <v>-244.79</v>
      </c>
      <c r="I54" s="52">
        <v>2366.3200000000002</v>
      </c>
      <c r="J54" s="54">
        <v>26.86</v>
      </c>
      <c r="K54" s="52">
        <v>2393.1800000000003</v>
      </c>
      <c r="L54" s="52">
        <v>330.11</v>
      </c>
      <c r="M54" s="54">
        <v>193.93</v>
      </c>
      <c r="N54" s="52">
        <v>524.04</v>
      </c>
      <c r="O54" s="52">
        <v>3658.29</v>
      </c>
      <c r="P54" s="54">
        <v>1157.4000000000001</v>
      </c>
      <c r="Q54" s="52">
        <v>4815.6900000000005</v>
      </c>
      <c r="R54" s="52">
        <v>283.86</v>
      </c>
      <c r="S54" s="54">
        <v>619.77</v>
      </c>
      <c r="T54" s="52">
        <v>903.63</v>
      </c>
      <c r="U54" s="86">
        <v>456.21</v>
      </c>
      <c r="V54" s="470">
        <v>955.79</v>
      </c>
      <c r="W54" s="52">
        <v>1412</v>
      </c>
      <c r="X54" s="52">
        <v>0</v>
      </c>
      <c r="Y54" s="54">
        <v>612.29999999999995</v>
      </c>
      <c r="Z54" s="52">
        <v>612.29999999999995</v>
      </c>
      <c r="AA54" s="54">
        <v>2100.35</v>
      </c>
      <c r="AB54" s="54">
        <v>761.64</v>
      </c>
      <c r="AC54" s="52">
        <v>2861.99</v>
      </c>
      <c r="AD54" s="52">
        <v>2822.56</v>
      </c>
      <c r="AE54" s="54">
        <v>948.32</v>
      </c>
      <c r="AF54" s="52">
        <v>3770.88</v>
      </c>
      <c r="AG54" s="52">
        <v>2900.08</v>
      </c>
      <c r="AH54" s="54">
        <v>1000.58</v>
      </c>
      <c r="AI54" s="52">
        <v>3900.66</v>
      </c>
      <c r="AJ54" s="52">
        <v>3631.12</v>
      </c>
      <c r="AK54" s="54">
        <v>1919.04</v>
      </c>
      <c r="AL54" s="52">
        <v>5550.16</v>
      </c>
      <c r="AM54" s="52">
        <v>18250.38</v>
      </c>
      <c r="AN54" s="52">
        <v>8249.36</v>
      </c>
      <c r="AO54" s="52">
        <v>26499.739999999998</v>
      </c>
      <c r="AP54" s="52">
        <v>-182.92</v>
      </c>
      <c r="AQ54" s="54">
        <v>209.07999999999998</v>
      </c>
      <c r="AR54" s="52">
        <v>26.159999999999997</v>
      </c>
      <c r="AS54" s="52">
        <v>-2380.17</v>
      </c>
      <c r="AT54" s="54">
        <v>577.91999999999996</v>
      </c>
      <c r="AU54" s="52">
        <v>-1802.25</v>
      </c>
      <c r="AV54" s="52">
        <v>2143.9</v>
      </c>
      <c r="AW54" s="54">
        <v>291.38</v>
      </c>
      <c r="AX54" s="52">
        <v>2435.2800000000002</v>
      </c>
      <c r="AY54" s="52">
        <v>-2823.41</v>
      </c>
      <c r="AZ54" s="54">
        <v>31.699999999999996</v>
      </c>
      <c r="BA54" s="52">
        <v>-2791.71</v>
      </c>
      <c r="BB54" s="52">
        <v>357.72</v>
      </c>
      <c r="BC54" s="54">
        <v>7.0399999999999991</v>
      </c>
      <c r="BD54" s="52">
        <v>364.76000000000005</v>
      </c>
      <c r="BE54" s="52">
        <v>1021.55</v>
      </c>
      <c r="BF54" s="54">
        <v>0</v>
      </c>
      <c r="BG54" s="471">
        <v>1021.55</v>
      </c>
      <c r="BH54" s="471">
        <v>1047.82</v>
      </c>
      <c r="BI54" s="54">
        <v>10.559999999999999</v>
      </c>
      <c r="BJ54" s="471">
        <v>1058.3799999999999</v>
      </c>
    </row>
    <row r="55" spans="1:62" x14ac:dyDescent="0.2">
      <c r="A55" s="52" t="s">
        <v>209</v>
      </c>
      <c r="B55" s="52">
        <v>13110</v>
      </c>
      <c r="C55" s="52">
        <v>13288.67</v>
      </c>
      <c r="D55" s="54">
        <v>1351.08</v>
      </c>
      <c r="E55" s="52">
        <v>14639.75</v>
      </c>
      <c r="F55" s="52">
        <v>20252.41</v>
      </c>
      <c r="G55" s="54">
        <v>3414.11</v>
      </c>
      <c r="H55" s="52">
        <v>23666.52</v>
      </c>
      <c r="I55" s="52">
        <v>31220.11</v>
      </c>
      <c r="J55" s="54">
        <v>1595.27</v>
      </c>
      <c r="K55" s="52">
        <v>32815.379999999997</v>
      </c>
      <c r="L55" s="52">
        <v>22069.03</v>
      </c>
      <c r="M55" s="54">
        <v>1491.49</v>
      </c>
      <c r="N55" s="52">
        <v>23560.52</v>
      </c>
      <c r="O55" s="52">
        <v>38301.22</v>
      </c>
      <c r="P55" s="54">
        <v>1798.66</v>
      </c>
      <c r="Q55" s="52">
        <v>40099.880000000005</v>
      </c>
      <c r="R55" s="52">
        <v>23414.99</v>
      </c>
      <c r="S55" s="54">
        <v>1661.56</v>
      </c>
      <c r="T55" s="52">
        <v>25076.550000000003</v>
      </c>
      <c r="U55" s="86">
        <v>27264.54</v>
      </c>
      <c r="V55" s="470">
        <v>1024.73</v>
      </c>
      <c r="W55" s="52">
        <v>28289.27</v>
      </c>
      <c r="X55" s="52">
        <v>13228.02</v>
      </c>
      <c r="Y55" s="54">
        <v>1533.71</v>
      </c>
      <c r="Z55" s="52">
        <v>14761.73</v>
      </c>
      <c r="AA55" s="54">
        <v>11666.66</v>
      </c>
      <c r="AB55" s="54">
        <v>1450.21</v>
      </c>
      <c r="AC55" s="52">
        <v>13116.869999999999</v>
      </c>
      <c r="AD55" s="52">
        <v>41868.9</v>
      </c>
      <c r="AE55" s="54">
        <v>1525.76</v>
      </c>
      <c r="AF55" s="52">
        <v>43394.66</v>
      </c>
      <c r="AG55" s="52">
        <v>28653.77</v>
      </c>
      <c r="AH55" s="54">
        <v>1034.72</v>
      </c>
      <c r="AI55" s="52">
        <v>29688.49</v>
      </c>
      <c r="AJ55" s="52">
        <v>30864.89</v>
      </c>
      <c r="AK55" s="54">
        <v>1872.02</v>
      </c>
      <c r="AL55" s="52">
        <v>32736.91</v>
      </c>
      <c r="AM55" s="52">
        <v>302093.21000000002</v>
      </c>
      <c r="AN55" s="52">
        <v>19753.32</v>
      </c>
      <c r="AO55" s="52">
        <v>321846.52999999997</v>
      </c>
      <c r="AP55" s="52">
        <v>12068.7</v>
      </c>
      <c r="AQ55" s="54">
        <v>1000.98</v>
      </c>
      <c r="AR55" s="52">
        <v>13069.68</v>
      </c>
      <c r="AS55" s="52">
        <v>32666.21</v>
      </c>
      <c r="AT55" s="54">
        <v>1339.2</v>
      </c>
      <c r="AU55" s="52">
        <v>34005.409999999996</v>
      </c>
      <c r="AV55" s="52">
        <v>19480.96</v>
      </c>
      <c r="AW55" s="54">
        <v>110.78</v>
      </c>
      <c r="AX55" s="52">
        <v>19591.739999999998</v>
      </c>
      <c r="AY55" s="52">
        <v>-3982.76</v>
      </c>
      <c r="AZ55" s="54">
        <v>3193.56</v>
      </c>
      <c r="BA55" s="52">
        <v>-789.20000000000027</v>
      </c>
      <c r="BB55" s="52">
        <v>66243.539999999994</v>
      </c>
      <c r="BC55" s="54">
        <v>573.44000000000005</v>
      </c>
      <c r="BD55" s="52">
        <v>66816.98</v>
      </c>
      <c r="BE55" s="52">
        <v>9498.98</v>
      </c>
      <c r="BF55" s="54">
        <v>2178.81</v>
      </c>
      <c r="BG55" s="471">
        <v>11677.789999999999</v>
      </c>
      <c r="BH55" s="471">
        <v>72194.399999999994</v>
      </c>
      <c r="BI55" s="54">
        <v>1094.1299999999999</v>
      </c>
      <c r="BJ55" s="471">
        <v>73288.53</v>
      </c>
    </row>
    <row r="56" spans="1:62" x14ac:dyDescent="0.2">
      <c r="A56" s="52" t="s">
        <v>210</v>
      </c>
      <c r="B56" s="52">
        <v>13063</v>
      </c>
      <c r="C56" s="52">
        <v>-4497.09</v>
      </c>
      <c r="D56" s="54">
        <v>7789.31</v>
      </c>
      <c r="E56" s="52">
        <v>3292.2200000000003</v>
      </c>
      <c r="F56" s="52">
        <v>94566.53</v>
      </c>
      <c r="G56" s="54">
        <v>22673.86</v>
      </c>
      <c r="H56" s="52">
        <v>117240.39</v>
      </c>
      <c r="I56" s="52">
        <v>84406.02</v>
      </c>
      <c r="J56" s="54">
        <v>5817.15</v>
      </c>
      <c r="K56" s="52">
        <v>90223.17</v>
      </c>
      <c r="L56" s="52">
        <v>-45947.93</v>
      </c>
      <c r="M56" s="54">
        <v>15910.449999999999</v>
      </c>
      <c r="N56" s="52">
        <v>-30037.480000000003</v>
      </c>
      <c r="O56" s="52">
        <v>36863.949999999997</v>
      </c>
      <c r="P56" s="54">
        <v>5621.6</v>
      </c>
      <c r="Q56" s="52">
        <v>42485.549999999996</v>
      </c>
      <c r="R56" s="52">
        <v>39169.78</v>
      </c>
      <c r="S56" s="54">
        <v>8701.9600000000009</v>
      </c>
      <c r="T56" s="52">
        <v>47871.74</v>
      </c>
      <c r="U56" s="86">
        <v>45490.8</v>
      </c>
      <c r="V56" s="470">
        <v>5737.23</v>
      </c>
      <c r="W56" s="52">
        <v>51228.03</v>
      </c>
      <c r="X56" s="52">
        <v>93249.21</v>
      </c>
      <c r="Y56" s="54">
        <v>12543.55</v>
      </c>
      <c r="Z56" s="52">
        <v>105792.76000000001</v>
      </c>
      <c r="AA56" s="54">
        <v>83811.789999999994</v>
      </c>
      <c r="AB56" s="54">
        <v>11786.05</v>
      </c>
      <c r="AC56" s="52">
        <v>95597.84</v>
      </c>
      <c r="AD56" s="52">
        <v>99647.44</v>
      </c>
      <c r="AE56" s="54">
        <v>11067.67</v>
      </c>
      <c r="AF56" s="52">
        <v>110715.11</v>
      </c>
      <c r="AG56" s="52">
        <v>341518.48</v>
      </c>
      <c r="AH56" s="54">
        <v>5611.94</v>
      </c>
      <c r="AI56" s="52">
        <v>347130.42</v>
      </c>
      <c r="AJ56" s="52">
        <v>-25926.720000000001</v>
      </c>
      <c r="AK56" s="54">
        <v>13230.449999999999</v>
      </c>
      <c r="AL56" s="52">
        <v>-12696.270000000002</v>
      </c>
      <c r="AM56" s="52">
        <v>842352.26</v>
      </c>
      <c r="AN56" s="52">
        <v>126491.22</v>
      </c>
      <c r="AO56" s="52">
        <v>968843.48</v>
      </c>
      <c r="AP56" s="52">
        <v>84781.3</v>
      </c>
      <c r="AQ56" s="54">
        <v>7379.42</v>
      </c>
      <c r="AR56" s="52">
        <v>92160.72</v>
      </c>
      <c r="AS56" s="52">
        <v>116491.15</v>
      </c>
      <c r="AT56" s="54">
        <v>5904.44</v>
      </c>
      <c r="AU56" s="52">
        <v>122395.59</v>
      </c>
      <c r="AV56" s="52">
        <v>97210.38</v>
      </c>
      <c r="AW56" s="54">
        <v>9095.1200000000008</v>
      </c>
      <c r="AX56" s="52">
        <v>106305.5</v>
      </c>
      <c r="AY56" s="52">
        <v>88765.56</v>
      </c>
      <c r="AZ56" s="54">
        <v>10140.279999999999</v>
      </c>
      <c r="BA56" s="52">
        <v>98905.84</v>
      </c>
      <c r="BB56" s="52">
        <v>119564.65</v>
      </c>
      <c r="BC56" s="54">
        <v>8027.7199999999993</v>
      </c>
      <c r="BD56" s="52">
        <v>127592.37</v>
      </c>
      <c r="BE56" s="52">
        <v>175902.96</v>
      </c>
      <c r="BF56" s="54">
        <v>17943.29</v>
      </c>
      <c r="BG56" s="471">
        <v>193846.25</v>
      </c>
      <c r="BH56" s="471">
        <v>47193.51</v>
      </c>
      <c r="BI56" s="54">
        <v>2888.4000000000005</v>
      </c>
      <c r="BJ56" s="471">
        <v>50081.91</v>
      </c>
    </row>
    <row r="57" spans="1:62" x14ac:dyDescent="0.2">
      <c r="A57" s="52" t="s">
        <v>211</v>
      </c>
      <c r="B57" s="52">
        <v>13062</v>
      </c>
      <c r="C57" s="52">
        <v>-877.66</v>
      </c>
      <c r="D57" s="54">
        <v>1050.1600000000001</v>
      </c>
      <c r="E57" s="52">
        <v>172.50000000000011</v>
      </c>
      <c r="F57" s="52">
        <v>23822.959999999999</v>
      </c>
      <c r="G57" s="54">
        <v>2142.54</v>
      </c>
      <c r="H57" s="52">
        <v>25965.5</v>
      </c>
      <c r="I57" s="52">
        <v>18433.46</v>
      </c>
      <c r="J57" s="54">
        <v>1981.57</v>
      </c>
      <c r="K57" s="52">
        <v>20415.03</v>
      </c>
      <c r="L57" s="52">
        <v>3633.85</v>
      </c>
      <c r="M57" s="54">
        <v>2890.91</v>
      </c>
      <c r="N57" s="52">
        <v>6524.76</v>
      </c>
      <c r="O57" s="52">
        <v>10027.379999999999</v>
      </c>
      <c r="P57" s="54">
        <v>1557.01</v>
      </c>
      <c r="Q57" s="52">
        <v>11584.39</v>
      </c>
      <c r="R57" s="52">
        <v>11439.76</v>
      </c>
      <c r="S57" s="54">
        <v>2916.26</v>
      </c>
      <c r="T57" s="52">
        <v>14356.02</v>
      </c>
      <c r="U57" s="86">
        <v>20035.080000000002</v>
      </c>
      <c r="V57" s="470">
        <v>1712.69</v>
      </c>
      <c r="W57" s="52">
        <v>21747.77</v>
      </c>
      <c r="X57" s="52">
        <v>21016.05</v>
      </c>
      <c r="Y57" s="54">
        <v>2888.66</v>
      </c>
      <c r="Z57" s="52">
        <v>23904.71</v>
      </c>
      <c r="AA57" s="54">
        <v>19805.09</v>
      </c>
      <c r="AB57" s="54">
        <v>0</v>
      </c>
      <c r="AC57" s="52">
        <v>19805.09</v>
      </c>
      <c r="AD57" s="52">
        <v>23710.27</v>
      </c>
      <c r="AE57" s="54">
        <v>0</v>
      </c>
      <c r="AF57" s="52">
        <v>23710.27</v>
      </c>
      <c r="AG57" s="52">
        <v>43925.58</v>
      </c>
      <c r="AH57" s="54">
        <v>0</v>
      </c>
      <c r="AI57" s="52">
        <v>43925.58</v>
      </c>
      <c r="AJ57" s="52">
        <v>10819.62</v>
      </c>
      <c r="AK57" s="54">
        <v>0</v>
      </c>
      <c r="AL57" s="52">
        <v>10819.62</v>
      </c>
      <c r="AM57" s="52">
        <v>205791.44</v>
      </c>
      <c r="AN57" s="52">
        <v>17139.8</v>
      </c>
      <c r="AO57" s="52">
        <v>222931.24</v>
      </c>
      <c r="AP57" s="52">
        <v>32613.360000000001</v>
      </c>
      <c r="AQ57" s="54">
        <v>1842.2800000000002</v>
      </c>
      <c r="AR57" s="52">
        <v>34455.64</v>
      </c>
      <c r="AS57" s="52">
        <v>31936.58</v>
      </c>
      <c r="AT57" s="54">
        <v>2054</v>
      </c>
      <c r="AU57" s="52">
        <v>33990.58</v>
      </c>
      <c r="AV57" s="52">
        <v>41568.28</v>
      </c>
      <c r="AW57" s="54">
        <v>2113.34</v>
      </c>
      <c r="AX57" s="52">
        <v>43681.619999999995</v>
      </c>
      <c r="AY57" s="52">
        <v>-2515.61</v>
      </c>
      <c r="AZ57" s="54">
        <v>1643.2</v>
      </c>
      <c r="BA57" s="52">
        <v>-872.41000000000008</v>
      </c>
      <c r="BB57" s="52">
        <v>66788.37</v>
      </c>
      <c r="BC57" s="54">
        <v>894.90000000000009</v>
      </c>
      <c r="BD57" s="52">
        <v>67683.26999999999</v>
      </c>
      <c r="BE57" s="52">
        <v>21204.95</v>
      </c>
      <c r="BF57" s="54">
        <v>3521.28</v>
      </c>
      <c r="BG57" s="471">
        <v>24726.23</v>
      </c>
      <c r="BH57" s="471">
        <v>25908.91</v>
      </c>
      <c r="BI57" s="54">
        <v>864.88000000000011</v>
      </c>
      <c r="BJ57" s="471">
        <v>26773.79</v>
      </c>
    </row>
    <row r="58" spans="1:62" x14ac:dyDescent="0.2">
      <c r="A58" s="52" t="s">
        <v>571</v>
      </c>
      <c r="B58" s="52">
        <v>13166</v>
      </c>
      <c r="D58" s="54">
        <v>0</v>
      </c>
      <c r="G58" s="54">
        <v>0</v>
      </c>
      <c r="J58" s="54">
        <v>0</v>
      </c>
      <c r="M58" s="54">
        <v>0</v>
      </c>
      <c r="P58" s="54">
        <v>0</v>
      </c>
      <c r="S58" s="54">
        <v>0</v>
      </c>
      <c r="U58" s="86">
        <v>0</v>
      </c>
      <c r="V58" s="470">
        <v>0</v>
      </c>
      <c r="Y58" s="54">
        <v>0</v>
      </c>
      <c r="AA58" s="54"/>
      <c r="AB58" s="54">
        <v>0</v>
      </c>
      <c r="AE58" s="54">
        <v>0</v>
      </c>
      <c r="AH58" s="54">
        <v>0</v>
      </c>
      <c r="AK58" s="54">
        <v>0</v>
      </c>
      <c r="AQ58" s="54">
        <v>0</v>
      </c>
      <c r="AT58" s="54">
        <v>0</v>
      </c>
      <c r="AW58" s="54">
        <v>0</v>
      </c>
      <c r="AZ58" s="54">
        <v>0</v>
      </c>
      <c r="BC58" s="54">
        <v>0</v>
      </c>
      <c r="BF58" s="54">
        <v>0</v>
      </c>
      <c r="BG58" s="471">
        <v>0</v>
      </c>
      <c r="BH58" s="471">
        <v>17422</v>
      </c>
      <c r="BI58" s="54">
        <v>0</v>
      </c>
      <c r="BJ58" s="471">
        <v>17422</v>
      </c>
    </row>
    <row r="59" spans="1:62" x14ac:dyDescent="0.2">
      <c r="A59" s="52" t="s">
        <v>572</v>
      </c>
      <c r="B59" s="52">
        <v>13165</v>
      </c>
      <c r="D59" s="54">
        <v>0</v>
      </c>
      <c r="G59" s="54">
        <v>0</v>
      </c>
      <c r="J59" s="54">
        <v>0</v>
      </c>
      <c r="M59" s="54">
        <v>0</v>
      </c>
      <c r="P59" s="54">
        <v>0</v>
      </c>
      <c r="S59" s="54">
        <v>0</v>
      </c>
      <c r="U59" s="86">
        <v>0</v>
      </c>
      <c r="V59" s="470">
        <v>0</v>
      </c>
      <c r="Y59" s="54">
        <v>0</v>
      </c>
      <c r="AA59" s="54"/>
      <c r="AB59" s="54">
        <v>0</v>
      </c>
      <c r="AE59" s="54">
        <v>0</v>
      </c>
      <c r="AH59" s="54">
        <v>0</v>
      </c>
      <c r="AK59" s="54">
        <v>0</v>
      </c>
      <c r="AQ59" s="54">
        <v>0</v>
      </c>
      <c r="AT59" s="54">
        <v>0</v>
      </c>
      <c r="AW59" s="54">
        <v>0</v>
      </c>
      <c r="AZ59" s="54">
        <v>0</v>
      </c>
      <c r="BC59" s="54">
        <v>0</v>
      </c>
      <c r="BF59" s="54">
        <v>0</v>
      </c>
      <c r="BG59" s="471">
        <v>0</v>
      </c>
      <c r="BH59" s="471">
        <v>35175</v>
      </c>
      <c r="BI59" s="54">
        <v>0</v>
      </c>
      <c r="BJ59" s="471">
        <v>35175</v>
      </c>
    </row>
    <row r="60" spans="1:62" x14ac:dyDescent="0.2">
      <c r="A60" s="52" t="s">
        <v>212</v>
      </c>
      <c r="B60" s="52">
        <v>13060</v>
      </c>
      <c r="C60" s="52">
        <v>5758.8</v>
      </c>
      <c r="D60" s="54">
        <v>2432.96</v>
      </c>
      <c r="E60" s="52">
        <v>8191.76</v>
      </c>
      <c r="F60" s="52">
        <v>60945.71</v>
      </c>
      <c r="G60" s="54">
        <v>10611.48</v>
      </c>
      <c r="H60" s="52">
        <v>71557.19</v>
      </c>
      <c r="I60" s="52">
        <v>26843.13</v>
      </c>
      <c r="J60" s="54">
        <v>-8982.5499999999993</v>
      </c>
      <c r="K60" s="52">
        <v>17860.580000000002</v>
      </c>
      <c r="L60" s="52">
        <v>-16745.73</v>
      </c>
      <c r="M60" s="54">
        <v>3277.2000000000003</v>
      </c>
      <c r="N60" s="52">
        <v>-13468.529999999999</v>
      </c>
      <c r="O60" s="52">
        <v>-4321.0200000000004</v>
      </c>
      <c r="P60" s="54">
        <v>4269.25</v>
      </c>
      <c r="Q60" s="52">
        <v>-51.770000000000437</v>
      </c>
      <c r="R60" s="52">
        <v>9830.4599999999991</v>
      </c>
      <c r="S60" s="54">
        <v>2319.98</v>
      </c>
      <c r="T60" s="52">
        <v>12150.439999999999</v>
      </c>
      <c r="U60" s="86">
        <v>18180.009999999998</v>
      </c>
      <c r="V60" s="470">
        <v>3805.05</v>
      </c>
      <c r="W60" s="52">
        <v>21985.059999999998</v>
      </c>
      <c r="X60" s="52">
        <v>19792.02</v>
      </c>
      <c r="Y60" s="54">
        <v>3362.69</v>
      </c>
      <c r="Z60" s="52">
        <v>23154.71</v>
      </c>
      <c r="AA60" s="54">
        <v>35801.54</v>
      </c>
      <c r="AB60" s="54">
        <v>3349</v>
      </c>
      <c r="AC60" s="52">
        <v>39150.54</v>
      </c>
      <c r="AD60" s="52">
        <v>18572.830000000002</v>
      </c>
      <c r="AE60" s="54">
        <v>1130.03</v>
      </c>
      <c r="AF60" s="52">
        <v>19702.86</v>
      </c>
      <c r="AG60" s="52">
        <v>23350.75</v>
      </c>
      <c r="AH60" s="54">
        <v>1296.1500000000001</v>
      </c>
      <c r="AI60" s="52">
        <v>24646.9</v>
      </c>
      <c r="AJ60" s="52">
        <v>8721.85</v>
      </c>
      <c r="AK60" s="54">
        <v>3662.69</v>
      </c>
      <c r="AL60" s="52">
        <v>12384.54</v>
      </c>
      <c r="AM60" s="52">
        <v>206730.35</v>
      </c>
      <c r="AN60" s="52">
        <v>30533.929999999997</v>
      </c>
      <c r="AO60" s="52">
        <v>237264.28000000003</v>
      </c>
      <c r="AP60" s="52">
        <v>19165.669999999998</v>
      </c>
      <c r="AQ60" s="54">
        <v>1788.1399999999999</v>
      </c>
      <c r="AR60" s="52">
        <v>20953.809999999998</v>
      </c>
      <c r="AS60" s="52">
        <v>47990.73</v>
      </c>
      <c r="AT60" s="54">
        <v>2619.6999999999998</v>
      </c>
      <c r="AU60" s="52">
        <v>50610.43</v>
      </c>
      <c r="AV60" s="52">
        <v>74388.27</v>
      </c>
      <c r="AW60" s="54">
        <v>3111.27</v>
      </c>
      <c r="AX60" s="52">
        <v>77499.540000000008</v>
      </c>
      <c r="AY60" s="52">
        <v>29660.61</v>
      </c>
      <c r="AZ60" s="54">
        <v>3162.12</v>
      </c>
      <c r="BA60" s="52">
        <v>32822.730000000003</v>
      </c>
      <c r="BB60" s="52">
        <v>41909.1</v>
      </c>
      <c r="BC60" s="54">
        <v>1237.49</v>
      </c>
      <c r="BD60" s="52">
        <v>43146.59</v>
      </c>
      <c r="BE60" s="52">
        <v>74556.19</v>
      </c>
      <c r="BF60" s="54">
        <v>9094.5999999999985</v>
      </c>
      <c r="BG60" s="471">
        <v>83650.790000000008</v>
      </c>
      <c r="BH60" s="471">
        <v>-1913.67</v>
      </c>
      <c r="BI60" s="54">
        <v>1345.33</v>
      </c>
      <c r="BJ60" s="471">
        <v>-568.34000000000015</v>
      </c>
    </row>
    <row r="61" spans="1:62" x14ac:dyDescent="0.2">
      <c r="A61" s="52" t="s">
        <v>213</v>
      </c>
      <c r="B61" s="52">
        <v>13061</v>
      </c>
      <c r="C61" s="52">
        <v>28129.94</v>
      </c>
      <c r="D61" s="54">
        <v>411.2</v>
      </c>
      <c r="E61" s="52">
        <v>28541.14</v>
      </c>
      <c r="F61" s="52">
        <v>4353.72</v>
      </c>
      <c r="G61" s="54">
        <v>1032.95</v>
      </c>
      <c r="H61" s="52">
        <v>5386.67</v>
      </c>
      <c r="I61" s="52">
        <v>18468.330000000002</v>
      </c>
      <c r="J61" s="54">
        <v>775.99</v>
      </c>
      <c r="K61" s="52">
        <v>19244.320000000003</v>
      </c>
      <c r="L61" s="52">
        <v>335.35</v>
      </c>
      <c r="M61" s="54">
        <v>1190.24</v>
      </c>
      <c r="N61" s="52">
        <v>1525.5900000000001</v>
      </c>
      <c r="O61" s="52">
        <v>8220.64</v>
      </c>
      <c r="P61" s="54">
        <v>1316.02</v>
      </c>
      <c r="Q61" s="52">
        <v>9536.66</v>
      </c>
      <c r="R61" s="52">
        <v>6094.42</v>
      </c>
      <c r="S61" s="54">
        <v>1371.31</v>
      </c>
      <c r="T61" s="52">
        <v>7465.73</v>
      </c>
      <c r="U61" s="86">
        <v>13473</v>
      </c>
      <c r="V61" s="470">
        <v>844.78</v>
      </c>
      <c r="W61" s="52">
        <v>14317.78</v>
      </c>
      <c r="X61" s="52">
        <v>11885.74</v>
      </c>
      <c r="Y61" s="54">
        <v>1329.44</v>
      </c>
      <c r="Z61" s="52">
        <v>13215.18</v>
      </c>
      <c r="AA61" s="54">
        <v>9384.2099999999991</v>
      </c>
      <c r="AB61" s="54">
        <v>1274.23</v>
      </c>
      <c r="AC61" s="52">
        <v>10658.439999999999</v>
      </c>
      <c r="AD61" s="52">
        <v>17945.849999999999</v>
      </c>
      <c r="AE61" s="54">
        <v>993.99</v>
      </c>
      <c r="AF61" s="52">
        <v>18939.84</v>
      </c>
      <c r="AG61" s="52">
        <v>26272.58</v>
      </c>
      <c r="AH61" s="54">
        <v>497.75</v>
      </c>
      <c r="AI61" s="52">
        <v>26770.33</v>
      </c>
      <c r="AJ61" s="52">
        <v>8119.14</v>
      </c>
      <c r="AK61" s="54">
        <v>4455.3999999999996</v>
      </c>
      <c r="AL61" s="52">
        <v>12574.54</v>
      </c>
      <c r="AM61" s="52">
        <v>152682.92000000004</v>
      </c>
      <c r="AN61" s="52">
        <v>15493.299999999997</v>
      </c>
      <c r="AO61" s="52">
        <v>168176.22</v>
      </c>
      <c r="AP61" s="52">
        <v>5478.12</v>
      </c>
      <c r="AQ61" s="54">
        <v>356.43</v>
      </c>
      <c r="AR61" s="52">
        <v>5834.55</v>
      </c>
      <c r="AS61" s="52">
        <v>11408.37</v>
      </c>
      <c r="AT61" s="54">
        <v>503.25</v>
      </c>
      <c r="AU61" s="52">
        <v>11911.62</v>
      </c>
      <c r="AV61" s="52">
        <v>10932.83</v>
      </c>
      <c r="AW61" s="54">
        <v>763.6</v>
      </c>
      <c r="AX61" s="52">
        <v>11696.43</v>
      </c>
      <c r="AY61" s="52">
        <v>33886.94</v>
      </c>
      <c r="AZ61" s="54">
        <v>2166.5700000000002</v>
      </c>
      <c r="BA61" s="52">
        <v>36053.51</v>
      </c>
      <c r="BB61" s="52">
        <v>12700.52</v>
      </c>
      <c r="BC61" s="54">
        <v>443.20000000000005</v>
      </c>
      <c r="BD61" s="52">
        <v>13143.720000000001</v>
      </c>
      <c r="BE61" s="52">
        <v>1258.57</v>
      </c>
      <c r="BF61" s="54">
        <v>1363.1699999999998</v>
      </c>
      <c r="BG61" s="471">
        <v>2621.74</v>
      </c>
      <c r="BH61" s="471">
        <v>-2849.45</v>
      </c>
      <c r="BI61" s="54">
        <v>539.85</v>
      </c>
      <c r="BJ61" s="471">
        <v>-2309.6</v>
      </c>
    </row>
    <row r="62" spans="1:62" x14ac:dyDescent="0.2">
      <c r="A62" s="52" t="s">
        <v>258</v>
      </c>
      <c r="B62" s="52">
        <v>13158</v>
      </c>
      <c r="C62" s="52">
        <v>0</v>
      </c>
      <c r="D62" s="54">
        <v>0</v>
      </c>
      <c r="F62" s="52">
        <v>0</v>
      </c>
      <c r="G62" s="54">
        <v>0</v>
      </c>
      <c r="I62" s="52">
        <v>0</v>
      </c>
      <c r="J62" s="54">
        <v>0</v>
      </c>
      <c r="L62" s="52">
        <v>0</v>
      </c>
      <c r="M62" s="54">
        <v>0</v>
      </c>
      <c r="O62" s="52">
        <v>0</v>
      </c>
      <c r="P62" s="54">
        <v>0</v>
      </c>
      <c r="R62" s="52">
        <v>0</v>
      </c>
      <c r="S62" s="54">
        <v>0</v>
      </c>
      <c r="U62" s="86">
        <v>0</v>
      </c>
      <c r="V62" s="470">
        <v>0</v>
      </c>
      <c r="Y62" s="54">
        <v>0</v>
      </c>
      <c r="AA62" s="54"/>
      <c r="AB62" s="54">
        <v>0</v>
      </c>
      <c r="AE62" s="54">
        <v>0</v>
      </c>
      <c r="AG62" s="52">
        <v>29392</v>
      </c>
      <c r="AH62" s="54">
        <v>0</v>
      </c>
      <c r="AI62" s="52">
        <v>29392</v>
      </c>
      <c r="AJ62" s="52">
        <v>23745.97</v>
      </c>
      <c r="AK62" s="54">
        <v>261.5</v>
      </c>
      <c r="AL62" s="52">
        <v>24007.47</v>
      </c>
      <c r="AM62" s="52">
        <v>53137.97</v>
      </c>
      <c r="AN62" s="52">
        <v>261.5</v>
      </c>
      <c r="AO62" s="52">
        <v>53399.47</v>
      </c>
      <c r="AP62" s="52">
        <v>-1034.3900000000001</v>
      </c>
      <c r="AQ62" s="54">
        <v>532.61</v>
      </c>
      <c r="AR62" s="52">
        <v>-501.78000000000009</v>
      </c>
      <c r="AS62" s="52">
        <v>1160.46</v>
      </c>
      <c r="AT62" s="54">
        <v>114.3</v>
      </c>
      <c r="AU62" s="52">
        <v>1274.76</v>
      </c>
      <c r="AV62" s="52">
        <v>3778</v>
      </c>
      <c r="AW62" s="54">
        <v>154.69</v>
      </c>
      <c r="AX62" s="52">
        <v>3932.69</v>
      </c>
      <c r="AY62" s="52">
        <v>6863.33</v>
      </c>
      <c r="AZ62" s="54">
        <v>463.26</v>
      </c>
      <c r="BA62" s="52">
        <v>7326.59</v>
      </c>
      <c r="BB62" s="52">
        <v>10336.75</v>
      </c>
      <c r="BC62" s="54">
        <v>814.44999999999982</v>
      </c>
      <c r="BD62" s="52">
        <v>11151.2</v>
      </c>
      <c r="BE62" s="52">
        <v>25196.69</v>
      </c>
      <c r="BF62" s="54">
        <v>590.29</v>
      </c>
      <c r="BG62" s="471">
        <v>25786.98</v>
      </c>
      <c r="BH62" s="471">
        <v>22130.5</v>
      </c>
      <c r="BI62" s="54">
        <v>579.6</v>
      </c>
      <c r="BJ62" s="471">
        <v>22710.1</v>
      </c>
    </row>
    <row r="63" spans="1:62" x14ac:dyDescent="0.2">
      <c r="A63" s="52" t="s">
        <v>214</v>
      </c>
      <c r="B63" s="52">
        <v>13122</v>
      </c>
      <c r="C63" s="52">
        <v>4538.05</v>
      </c>
      <c r="D63" s="54">
        <v>171.39</v>
      </c>
      <c r="E63" s="52">
        <v>4709.4400000000005</v>
      </c>
      <c r="F63" s="52">
        <v>22222.87</v>
      </c>
      <c r="G63" s="54">
        <v>1269.07</v>
      </c>
      <c r="H63" s="52">
        <v>23491.94</v>
      </c>
      <c r="I63" s="52">
        <v>23244.639999999999</v>
      </c>
      <c r="J63" s="54">
        <v>937.59</v>
      </c>
      <c r="K63" s="52">
        <v>24182.23</v>
      </c>
      <c r="L63" s="52">
        <v>20399.75</v>
      </c>
      <c r="M63" s="54">
        <v>2961.42</v>
      </c>
      <c r="N63" s="52">
        <v>23361.17</v>
      </c>
      <c r="O63" s="52">
        <v>23773.21</v>
      </c>
      <c r="P63" s="54">
        <v>1760.84</v>
      </c>
      <c r="Q63" s="52">
        <v>25534.05</v>
      </c>
      <c r="R63" s="52">
        <v>31864.66</v>
      </c>
      <c r="S63" s="54">
        <v>2331.79</v>
      </c>
      <c r="T63" s="52">
        <v>34196.449999999997</v>
      </c>
      <c r="U63" s="86">
        <v>19146.099999999999</v>
      </c>
      <c r="V63" s="470">
        <v>1709.34</v>
      </c>
      <c r="W63" s="52">
        <v>20855.439999999999</v>
      </c>
      <c r="X63" s="52">
        <v>47694.48</v>
      </c>
      <c r="Y63" s="54">
        <v>3534.84</v>
      </c>
      <c r="Z63" s="52">
        <v>51229.320000000007</v>
      </c>
      <c r="AA63" s="54">
        <v>38772.79</v>
      </c>
      <c r="AB63" s="54">
        <v>2088.16</v>
      </c>
      <c r="AC63" s="52">
        <v>40860.949999999997</v>
      </c>
      <c r="AD63" s="52">
        <v>19989.91</v>
      </c>
      <c r="AE63" s="54">
        <v>2020.96</v>
      </c>
      <c r="AF63" s="52">
        <v>22010.87</v>
      </c>
      <c r="AG63" s="52">
        <v>-4189.59</v>
      </c>
      <c r="AH63" s="54">
        <v>1662.13</v>
      </c>
      <c r="AI63" s="52">
        <v>-2527.46</v>
      </c>
      <c r="AJ63" s="52">
        <v>42558.58</v>
      </c>
      <c r="AK63" s="54">
        <v>3298.33</v>
      </c>
      <c r="AL63" s="52">
        <v>45856.91</v>
      </c>
      <c r="AM63" s="52">
        <v>290015.45</v>
      </c>
      <c r="AN63" s="52">
        <v>23745.86</v>
      </c>
      <c r="AO63" s="52">
        <v>313761.30999999994</v>
      </c>
      <c r="AP63" s="52">
        <v>-1805.33</v>
      </c>
      <c r="AQ63" s="54">
        <v>1407.27</v>
      </c>
      <c r="AR63" s="52">
        <v>-398.05999999999995</v>
      </c>
      <c r="AS63" s="52">
        <v>22800.7</v>
      </c>
      <c r="AT63" s="54">
        <v>2194.56</v>
      </c>
      <c r="AU63" s="52">
        <v>24995.260000000002</v>
      </c>
      <c r="AV63" s="52">
        <v>1433.12</v>
      </c>
      <c r="AW63" s="54">
        <v>1698.51</v>
      </c>
      <c r="AX63" s="52">
        <v>3131.63</v>
      </c>
      <c r="AY63" s="52">
        <v>-2437.63</v>
      </c>
      <c r="AZ63" s="54">
        <v>1291.5899999999999</v>
      </c>
      <c r="BA63" s="52">
        <v>-1146.0400000000002</v>
      </c>
      <c r="BB63" s="52">
        <v>-5.5</v>
      </c>
      <c r="BC63" s="54">
        <v>0</v>
      </c>
      <c r="BD63" s="52">
        <v>-5.5</v>
      </c>
      <c r="BE63" s="52">
        <v>24048.89</v>
      </c>
      <c r="BF63" s="54">
        <v>0</v>
      </c>
      <c r="BG63" s="471">
        <v>24048.89</v>
      </c>
      <c r="BH63" s="471">
        <v>49457.24</v>
      </c>
      <c r="BI63" s="54">
        <v>1696.1599999999999</v>
      </c>
      <c r="BJ63" s="471">
        <v>51153.399999999994</v>
      </c>
    </row>
    <row r="64" spans="1:62" x14ac:dyDescent="0.2">
      <c r="A64" s="52" t="s">
        <v>215</v>
      </c>
      <c r="B64" s="52">
        <v>13042</v>
      </c>
      <c r="D64" s="54">
        <v>0</v>
      </c>
      <c r="E64" s="52">
        <v>0</v>
      </c>
      <c r="G64" s="54">
        <v>0</v>
      </c>
      <c r="H64" s="52">
        <v>0</v>
      </c>
      <c r="J64" s="54">
        <v>0</v>
      </c>
      <c r="K64" s="52">
        <v>0</v>
      </c>
      <c r="M64" s="54">
        <v>0</v>
      </c>
      <c r="N64" s="52">
        <v>0</v>
      </c>
      <c r="P64" s="54">
        <v>0</v>
      </c>
      <c r="Q64" s="52">
        <v>0</v>
      </c>
      <c r="S64" s="54">
        <v>0</v>
      </c>
      <c r="T64" s="52">
        <v>0</v>
      </c>
      <c r="U64" s="86"/>
      <c r="V64" s="470">
        <v>0</v>
      </c>
      <c r="W64" s="52">
        <v>0</v>
      </c>
      <c r="Y64" s="54">
        <v>0</v>
      </c>
      <c r="Z64" s="52">
        <v>0</v>
      </c>
      <c r="AA64" s="54"/>
      <c r="AB64" s="54">
        <v>0</v>
      </c>
      <c r="AC64" s="52">
        <v>0</v>
      </c>
      <c r="AE64" s="54">
        <v>0</v>
      </c>
      <c r="AF64" s="52">
        <v>0</v>
      </c>
      <c r="AH64" s="54">
        <v>0</v>
      </c>
      <c r="AI64" s="52">
        <v>0</v>
      </c>
      <c r="AK64" s="54">
        <v>0</v>
      </c>
      <c r="AL64" s="52">
        <v>0</v>
      </c>
      <c r="AM64" s="52">
        <v>0</v>
      </c>
      <c r="AN64" s="52">
        <v>0</v>
      </c>
      <c r="AO64" s="52">
        <v>0</v>
      </c>
      <c r="AQ64" s="54">
        <v>0</v>
      </c>
      <c r="AR64" s="52">
        <v>0</v>
      </c>
      <c r="AT64" s="54">
        <v>0</v>
      </c>
      <c r="AU64" s="52">
        <v>0</v>
      </c>
      <c r="AW64" s="54">
        <v>0</v>
      </c>
      <c r="AX64" s="52">
        <v>0</v>
      </c>
      <c r="AZ64" s="54">
        <v>0</v>
      </c>
      <c r="BA64" s="52">
        <v>0</v>
      </c>
      <c r="BC64" s="54">
        <v>0</v>
      </c>
      <c r="BD64" s="52">
        <v>0</v>
      </c>
      <c r="BF64" s="54">
        <v>0</v>
      </c>
      <c r="BG64" s="471">
        <v>0</v>
      </c>
      <c r="BH64" s="471"/>
      <c r="BI64" s="54">
        <v>0</v>
      </c>
      <c r="BJ64" s="471">
        <v>0</v>
      </c>
    </row>
    <row r="65" spans="1:62" x14ac:dyDescent="0.2">
      <c r="A65" s="52" t="s">
        <v>216</v>
      </c>
      <c r="B65" s="52">
        <v>13044</v>
      </c>
      <c r="D65" s="54">
        <v>0</v>
      </c>
      <c r="E65" s="52">
        <v>0</v>
      </c>
      <c r="G65" s="54">
        <v>0</v>
      </c>
      <c r="H65" s="52">
        <v>0</v>
      </c>
      <c r="J65" s="54">
        <v>0</v>
      </c>
      <c r="K65" s="52">
        <v>0</v>
      </c>
      <c r="M65" s="54">
        <v>0</v>
      </c>
      <c r="N65" s="52">
        <v>0</v>
      </c>
      <c r="P65" s="54">
        <v>0</v>
      </c>
      <c r="Q65" s="52">
        <v>0</v>
      </c>
      <c r="S65" s="54">
        <v>0</v>
      </c>
      <c r="T65" s="52">
        <v>0</v>
      </c>
      <c r="U65" s="86"/>
      <c r="V65" s="470">
        <v>0</v>
      </c>
      <c r="W65" s="52">
        <v>0</v>
      </c>
      <c r="Y65" s="54">
        <v>0</v>
      </c>
      <c r="Z65" s="52">
        <v>0</v>
      </c>
      <c r="AA65" s="54"/>
      <c r="AB65" s="54">
        <v>0</v>
      </c>
      <c r="AC65" s="52">
        <v>0</v>
      </c>
      <c r="AE65" s="54">
        <v>0</v>
      </c>
      <c r="AF65" s="52">
        <v>0</v>
      </c>
      <c r="AH65" s="54">
        <v>0</v>
      </c>
      <c r="AI65" s="52">
        <v>0</v>
      </c>
      <c r="AK65" s="54">
        <v>0</v>
      </c>
      <c r="AL65" s="52">
        <v>0</v>
      </c>
      <c r="AM65" s="52">
        <v>0</v>
      </c>
      <c r="AN65" s="52">
        <v>0</v>
      </c>
      <c r="AO65" s="52">
        <v>0</v>
      </c>
      <c r="AQ65" s="54">
        <v>0</v>
      </c>
      <c r="AR65" s="52">
        <v>0</v>
      </c>
      <c r="AT65" s="54">
        <v>0</v>
      </c>
      <c r="AU65" s="52">
        <v>0</v>
      </c>
      <c r="AW65" s="54">
        <v>0</v>
      </c>
      <c r="AX65" s="52">
        <v>0</v>
      </c>
      <c r="AZ65" s="54">
        <v>0</v>
      </c>
      <c r="BA65" s="52">
        <v>0</v>
      </c>
      <c r="BC65" s="54">
        <v>0</v>
      </c>
      <c r="BD65" s="52">
        <v>0</v>
      </c>
      <c r="BF65" s="54">
        <v>0</v>
      </c>
      <c r="BG65" s="471">
        <v>0</v>
      </c>
      <c r="BH65" s="471"/>
      <c r="BI65" s="54">
        <v>0</v>
      </c>
      <c r="BJ65" s="471">
        <v>0</v>
      </c>
    </row>
    <row r="66" spans="1:62" x14ac:dyDescent="0.2">
      <c r="A66" s="52" t="s">
        <v>217</v>
      </c>
      <c r="B66" s="52">
        <v>13137</v>
      </c>
      <c r="C66" s="52">
        <v>-359.26</v>
      </c>
      <c r="D66" s="54">
        <v>63.74</v>
      </c>
      <c r="E66" s="52">
        <v>-295.52</v>
      </c>
      <c r="F66" s="52">
        <v>-347.81</v>
      </c>
      <c r="G66" s="54">
        <v>127.48</v>
      </c>
      <c r="H66" s="52">
        <v>-220.32999999999998</v>
      </c>
      <c r="I66" s="52">
        <v>-442.63</v>
      </c>
      <c r="J66" s="54">
        <v>209.58</v>
      </c>
      <c r="K66" s="52">
        <v>-233.04999999999998</v>
      </c>
      <c r="L66" s="52">
        <v>-124.66</v>
      </c>
      <c r="M66" s="54">
        <v>555.91000000000008</v>
      </c>
      <c r="N66" s="52">
        <v>431.25000000000011</v>
      </c>
      <c r="O66" s="52">
        <v>-293.51</v>
      </c>
      <c r="P66" s="54">
        <v>674.39</v>
      </c>
      <c r="Q66" s="52">
        <v>380.88</v>
      </c>
      <c r="R66" s="52">
        <v>-121.39</v>
      </c>
      <c r="S66" s="54">
        <v>1111.8300000000002</v>
      </c>
      <c r="T66" s="52">
        <v>990.44000000000017</v>
      </c>
      <c r="U66" s="86">
        <v>-262.75</v>
      </c>
      <c r="V66" s="470">
        <v>473.89</v>
      </c>
      <c r="W66" s="52">
        <v>211.14</v>
      </c>
      <c r="X66" s="52">
        <v>-275.43</v>
      </c>
      <c r="Y66" s="54">
        <v>656.15</v>
      </c>
      <c r="Z66" s="52">
        <v>380.71999999999997</v>
      </c>
      <c r="AA66" s="54">
        <v>-257.76</v>
      </c>
      <c r="AB66" s="54">
        <v>2369.46</v>
      </c>
      <c r="AC66" s="52">
        <v>2111.6999999999998</v>
      </c>
      <c r="AD66" s="52">
        <v>-208.83</v>
      </c>
      <c r="AE66" s="54">
        <v>583.26</v>
      </c>
      <c r="AF66" s="52">
        <v>374.42999999999995</v>
      </c>
      <c r="AG66" s="52">
        <v>1177.27</v>
      </c>
      <c r="AH66" s="54">
        <v>437.44</v>
      </c>
      <c r="AI66" s="52">
        <v>1614.71</v>
      </c>
      <c r="AJ66" s="52">
        <v>3277.39</v>
      </c>
      <c r="AK66" s="54">
        <v>747.29</v>
      </c>
      <c r="AL66" s="52">
        <v>4024.68</v>
      </c>
      <c r="AM66" s="52">
        <v>1760.63</v>
      </c>
      <c r="AN66" s="52">
        <v>8010.42</v>
      </c>
      <c r="AO66" s="52">
        <v>9771.0500000000011</v>
      </c>
      <c r="AP66" s="52">
        <v>6394.81</v>
      </c>
      <c r="AQ66" s="54">
        <v>391.87</v>
      </c>
      <c r="AR66" s="52">
        <v>6786.68</v>
      </c>
      <c r="AS66" s="52">
        <v>1365.94</v>
      </c>
      <c r="AT66" s="54">
        <v>373.51</v>
      </c>
      <c r="AU66" s="52">
        <v>1739.45</v>
      </c>
      <c r="AV66" s="52">
        <v>1446.62</v>
      </c>
      <c r="AW66" s="54">
        <v>0.14000000000000001</v>
      </c>
      <c r="AX66" s="52">
        <v>1446.76</v>
      </c>
      <c r="AY66" s="52">
        <v>-24.7</v>
      </c>
      <c r="AZ66" s="54">
        <v>182.2</v>
      </c>
      <c r="BA66" s="52">
        <v>157.5</v>
      </c>
      <c r="BB66" s="52">
        <v>-121.7</v>
      </c>
      <c r="BC66" s="54">
        <v>0</v>
      </c>
      <c r="BD66" s="52">
        <v>-121.7</v>
      </c>
      <c r="BE66" s="52">
        <v>-144.26</v>
      </c>
      <c r="BF66" s="54">
        <v>0</v>
      </c>
      <c r="BG66" s="471">
        <v>-144.26</v>
      </c>
      <c r="BH66" s="471">
        <v>-87.48</v>
      </c>
      <c r="BI66" s="54">
        <v>0</v>
      </c>
      <c r="BJ66" s="471">
        <v>-87.48</v>
      </c>
    </row>
    <row r="67" spans="1:62" x14ac:dyDescent="0.2">
      <c r="A67" s="52" t="s">
        <v>218</v>
      </c>
      <c r="B67" s="52">
        <v>13138</v>
      </c>
      <c r="C67" s="52">
        <v>-76.16</v>
      </c>
      <c r="D67" s="54">
        <v>0</v>
      </c>
      <c r="E67" s="52">
        <v>-76.16</v>
      </c>
      <c r="F67" s="52">
        <v>36982.69</v>
      </c>
      <c r="G67" s="54">
        <v>417.30999999999983</v>
      </c>
      <c r="H67" s="52">
        <v>37400</v>
      </c>
      <c r="I67" s="52">
        <v>-200.54</v>
      </c>
      <c r="J67" s="54">
        <v>314.23</v>
      </c>
      <c r="K67" s="52">
        <v>113.69000000000003</v>
      </c>
      <c r="L67" s="52">
        <v>-1096.53</v>
      </c>
      <c r="M67" s="54">
        <v>0</v>
      </c>
      <c r="N67" s="52">
        <v>-1096.53</v>
      </c>
      <c r="O67" s="52">
        <v>452.85</v>
      </c>
      <c r="P67" s="54">
        <v>590.6</v>
      </c>
      <c r="Q67" s="52">
        <v>1043.45</v>
      </c>
      <c r="R67" s="52">
        <v>7227.78</v>
      </c>
      <c r="S67" s="54">
        <v>581.07999999999993</v>
      </c>
      <c r="T67" s="52">
        <v>7808.86</v>
      </c>
      <c r="U67" s="86">
        <v>18052.47</v>
      </c>
      <c r="V67" s="470">
        <v>906.43</v>
      </c>
      <c r="W67" s="52">
        <v>18958.900000000001</v>
      </c>
      <c r="X67" s="52">
        <v>18291.32</v>
      </c>
      <c r="Y67" s="54">
        <v>1569.84</v>
      </c>
      <c r="Z67" s="52">
        <v>19861.16</v>
      </c>
      <c r="AA67" s="54">
        <v>31353.22</v>
      </c>
      <c r="AB67" s="54">
        <v>0</v>
      </c>
      <c r="AC67" s="52">
        <v>31353.22</v>
      </c>
      <c r="AD67" s="52">
        <v>19569.62</v>
      </c>
      <c r="AE67" s="54">
        <v>1569.9199999999998</v>
      </c>
      <c r="AF67" s="52">
        <v>21139.539999999997</v>
      </c>
      <c r="AG67" s="52">
        <v>14918.72</v>
      </c>
      <c r="AH67" s="54">
        <v>835.9</v>
      </c>
      <c r="AI67" s="52">
        <v>15754.619999999999</v>
      </c>
      <c r="AJ67" s="52">
        <v>12478.86</v>
      </c>
      <c r="AK67" s="54">
        <v>1754.61</v>
      </c>
      <c r="AL67" s="52">
        <v>14233.470000000001</v>
      </c>
      <c r="AM67" s="52">
        <v>157954.29999999999</v>
      </c>
      <c r="AN67" s="52">
        <v>8539.92</v>
      </c>
      <c r="AO67" s="52">
        <v>166494.22</v>
      </c>
      <c r="AP67" s="52">
        <v>7820.25</v>
      </c>
      <c r="AQ67" s="54">
        <v>0</v>
      </c>
      <c r="AR67" s="52">
        <v>7820.25</v>
      </c>
      <c r="AS67" s="52">
        <v>-1357.85</v>
      </c>
      <c r="AT67" s="54">
        <v>1478.7</v>
      </c>
      <c r="AU67" s="52">
        <v>120.85000000000014</v>
      </c>
      <c r="AV67" s="52">
        <v>33806.559999999998</v>
      </c>
      <c r="AW67" s="54">
        <v>249.91</v>
      </c>
      <c r="AX67" s="52">
        <v>34056.47</v>
      </c>
      <c r="AY67" s="52">
        <v>14916.11</v>
      </c>
      <c r="AZ67" s="54">
        <v>1897.2</v>
      </c>
      <c r="BA67" s="52">
        <v>16813.310000000001</v>
      </c>
      <c r="BB67" s="52">
        <v>-2333.23</v>
      </c>
      <c r="BC67" s="54">
        <v>1711.2</v>
      </c>
      <c r="BD67" s="52">
        <v>-622.03</v>
      </c>
      <c r="BE67" s="52">
        <v>-636.13</v>
      </c>
      <c r="BF67" s="54">
        <v>0</v>
      </c>
      <c r="BG67" s="471">
        <v>-636.13</v>
      </c>
      <c r="BH67" s="471">
        <v>23519.93</v>
      </c>
      <c r="BI67" s="54">
        <v>-14.329999999999998</v>
      </c>
      <c r="BJ67" s="471">
        <v>23505.599999999999</v>
      </c>
    </row>
    <row r="68" spans="1:62" x14ac:dyDescent="0.2">
      <c r="A68" s="52" t="s">
        <v>219</v>
      </c>
      <c r="B68" s="52">
        <v>13112</v>
      </c>
      <c r="C68" s="52">
        <v>-1438.31</v>
      </c>
      <c r="D68" s="54">
        <v>717.05</v>
      </c>
      <c r="E68" s="52">
        <v>-721.26</v>
      </c>
      <c r="F68" s="52">
        <v>27063.98</v>
      </c>
      <c r="G68" s="54">
        <v>902.83999999999992</v>
      </c>
      <c r="H68" s="52">
        <v>27966.82</v>
      </c>
      <c r="I68" s="52">
        <v>31324.76</v>
      </c>
      <c r="J68" s="54">
        <v>1082.08</v>
      </c>
      <c r="K68" s="52">
        <v>32406.839999999997</v>
      </c>
      <c r="L68" s="52">
        <v>19743.240000000002</v>
      </c>
      <c r="M68" s="54">
        <v>852.13</v>
      </c>
      <c r="N68" s="52">
        <v>20595.370000000003</v>
      </c>
      <c r="O68" s="52">
        <v>40186.269999999997</v>
      </c>
      <c r="P68" s="54">
        <v>1139.8800000000001</v>
      </c>
      <c r="Q68" s="52">
        <v>41326.149999999994</v>
      </c>
      <c r="R68" s="52">
        <v>29675.75</v>
      </c>
      <c r="S68" s="54">
        <v>1364.1100000000001</v>
      </c>
      <c r="T68" s="52">
        <v>31039.86</v>
      </c>
      <c r="U68" s="86">
        <v>30836.85</v>
      </c>
      <c r="V68" s="470">
        <v>962.2</v>
      </c>
      <c r="W68" s="52">
        <v>31799.05</v>
      </c>
      <c r="X68" s="52">
        <v>31907.29</v>
      </c>
      <c r="Y68" s="54">
        <v>1287.58</v>
      </c>
      <c r="Z68" s="52">
        <v>33194.870000000003</v>
      </c>
      <c r="AA68" s="54">
        <v>38020.89</v>
      </c>
      <c r="AB68" s="54">
        <v>974.88</v>
      </c>
      <c r="AC68" s="52">
        <v>38995.769999999997</v>
      </c>
      <c r="AD68" s="52">
        <v>22940.55</v>
      </c>
      <c r="AE68" s="54">
        <v>946.91</v>
      </c>
      <c r="AF68" s="52">
        <v>23887.46</v>
      </c>
      <c r="AG68" s="52">
        <v>32736.53</v>
      </c>
      <c r="AH68" s="54">
        <v>715.87</v>
      </c>
      <c r="AI68" s="52">
        <v>33452.400000000001</v>
      </c>
      <c r="AJ68" s="52">
        <v>19769.14</v>
      </c>
      <c r="AK68" s="54">
        <v>1174.76</v>
      </c>
      <c r="AL68" s="52">
        <v>20943.899999999998</v>
      </c>
      <c r="AM68" s="52">
        <v>322766.94000000006</v>
      </c>
      <c r="AN68" s="52">
        <v>12120.289999999999</v>
      </c>
      <c r="AO68" s="52">
        <v>334887.23</v>
      </c>
      <c r="AP68" s="52">
        <v>30643.79</v>
      </c>
      <c r="AQ68" s="54">
        <v>833.87</v>
      </c>
      <c r="AR68" s="52">
        <v>31477.66</v>
      </c>
      <c r="AS68" s="52">
        <v>34802.89</v>
      </c>
      <c r="AT68" s="54">
        <v>896.83</v>
      </c>
      <c r="AU68" s="52">
        <v>35699.72</v>
      </c>
      <c r="AV68" s="52">
        <v>35762.69</v>
      </c>
      <c r="AW68" s="54">
        <v>1029.58</v>
      </c>
      <c r="AX68" s="52">
        <v>36792.270000000004</v>
      </c>
      <c r="AY68" s="52">
        <v>41027.410000000003</v>
      </c>
      <c r="AZ68" s="54">
        <v>917.33</v>
      </c>
      <c r="BA68" s="52">
        <v>41944.740000000005</v>
      </c>
      <c r="BB68" s="52">
        <v>42371.040000000001</v>
      </c>
      <c r="BC68" s="54">
        <v>1092.74</v>
      </c>
      <c r="BD68" s="52">
        <v>43463.78</v>
      </c>
      <c r="BE68" s="52">
        <v>49030.64</v>
      </c>
      <c r="BF68" s="54">
        <v>1077.02</v>
      </c>
      <c r="BG68" s="471">
        <v>50107.659999999996</v>
      </c>
      <c r="BH68" s="471">
        <v>31358.73</v>
      </c>
      <c r="BI68" s="54">
        <v>935.52</v>
      </c>
      <c r="BJ68" s="471">
        <v>32294.25</v>
      </c>
    </row>
    <row r="69" spans="1:62" x14ac:dyDescent="0.2">
      <c r="A69" s="52" t="s">
        <v>220</v>
      </c>
      <c r="B69" s="52">
        <v>13009</v>
      </c>
      <c r="C69" s="52">
        <v>2373</v>
      </c>
      <c r="D69" s="54">
        <v>269.83</v>
      </c>
      <c r="E69" s="52">
        <v>2642.83</v>
      </c>
      <c r="F69" s="52">
        <v>361.76</v>
      </c>
      <c r="G69" s="54">
        <v>44.98</v>
      </c>
      <c r="H69" s="52">
        <v>406.74</v>
      </c>
      <c r="I69" s="52">
        <v>-5912.68</v>
      </c>
      <c r="J69" s="54">
        <v>539.09</v>
      </c>
      <c r="K69" s="52">
        <v>-5373.59</v>
      </c>
      <c r="L69" s="52">
        <v>-7508.38</v>
      </c>
      <c r="M69" s="54">
        <v>449.74</v>
      </c>
      <c r="N69" s="52">
        <v>-7058.64</v>
      </c>
      <c r="O69" s="52">
        <v>457.5</v>
      </c>
      <c r="P69" s="54">
        <v>292.35000000000002</v>
      </c>
      <c r="Q69" s="52">
        <v>749.85</v>
      </c>
      <c r="R69" s="52">
        <v>-214.21</v>
      </c>
      <c r="S69" s="54">
        <v>224.88</v>
      </c>
      <c r="T69" s="52">
        <v>10.669999999999987</v>
      </c>
      <c r="U69" s="86">
        <v>-91.44</v>
      </c>
      <c r="V69" s="470">
        <v>202.41</v>
      </c>
      <c r="W69" s="52">
        <v>110.97</v>
      </c>
      <c r="X69" s="52">
        <v>-23.79</v>
      </c>
      <c r="Y69" s="54">
        <v>67.459999999999994</v>
      </c>
      <c r="Z69" s="52">
        <v>43.669999999999995</v>
      </c>
      <c r="AA69" s="54">
        <v>0</v>
      </c>
      <c r="AB69" s="54">
        <v>314.85000000000002</v>
      </c>
      <c r="AC69" s="52">
        <v>314.85000000000002</v>
      </c>
      <c r="AD69" s="52">
        <v>0</v>
      </c>
      <c r="AE69" s="54">
        <v>296.8</v>
      </c>
      <c r="AF69" s="52">
        <v>296.8</v>
      </c>
      <c r="AG69" s="52">
        <v>-2048.69</v>
      </c>
      <c r="AH69" s="54">
        <v>0</v>
      </c>
      <c r="AI69" s="52">
        <v>-2048.69</v>
      </c>
      <c r="AJ69" s="52">
        <v>0</v>
      </c>
      <c r="AK69" s="54">
        <v>0</v>
      </c>
      <c r="AL69" s="52">
        <v>0</v>
      </c>
      <c r="AM69" s="52">
        <v>-12606.93</v>
      </c>
      <c r="AN69" s="52">
        <v>2702.3900000000003</v>
      </c>
      <c r="AO69" s="52">
        <v>-9904.5399999999991</v>
      </c>
      <c r="AP69" s="52">
        <v>0</v>
      </c>
      <c r="AQ69" s="54">
        <v>0</v>
      </c>
      <c r="AR69" s="52">
        <v>0</v>
      </c>
      <c r="AS69" s="52">
        <v>-300.58</v>
      </c>
      <c r="AT69" s="54">
        <v>0</v>
      </c>
      <c r="AU69" s="52">
        <v>-300.58</v>
      </c>
      <c r="AV69" s="52">
        <v>-513.98</v>
      </c>
      <c r="AW69" s="54">
        <v>0</v>
      </c>
      <c r="AX69" s="52">
        <v>-513.98</v>
      </c>
      <c r="AY69" s="52">
        <v>-317.14999999999998</v>
      </c>
      <c r="AZ69" s="54">
        <v>0</v>
      </c>
      <c r="BA69" s="52">
        <v>-317.14999999999998</v>
      </c>
      <c r="BB69" s="52">
        <v>-648.62</v>
      </c>
      <c r="BC69" s="54">
        <v>0</v>
      </c>
      <c r="BD69" s="52">
        <v>-648.62</v>
      </c>
      <c r="BE69" s="52">
        <v>0</v>
      </c>
      <c r="BF69" s="54">
        <v>0</v>
      </c>
      <c r="BG69" s="471">
        <v>0</v>
      </c>
      <c r="BH69" s="471">
        <v>-15.82</v>
      </c>
      <c r="BI69" s="54">
        <v>0</v>
      </c>
      <c r="BJ69" s="471">
        <v>-15.82</v>
      </c>
    </row>
    <row r="70" spans="1:62" x14ac:dyDescent="0.2">
      <c r="A70" s="52" t="s">
        <v>221</v>
      </c>
      <c r="B70" s="52">
        <v>13008</v>
      </c>
      <c r="C70" s="52">
        <v>0</v>
      </c>
      <c r="D70" s="54">
        <v>0</v>
      </c>
      <c r="E70" s="52">
        <v>0</v>
      </c>
      <c r="F70" s="52">
        <v>0</v>
      </c>
      <c r="G70" s="54">
        <v>0</v>
      </c>
      <c r="H70" s="52">
        <v>0</v>
      </c>
      <c r="I70" s="52">
        <v>0</v>
      </c>
      <c r="J70" s="54">
        <v>0</v>
      </c>
      <c r="K70" s="52">
        <v>0</v>
      </c>
      <c r="L70" s="52">
        <v>-132.24</v>
      </c>
      <c r="M70" s="54">
        <v>0</v>
      </c>
      <c r="N70" s="52">
        <v>-132.24</v>
      </c>
      <c r="O70" s="52">
        <v>-44.08</v>
      </c>
      <c r="P70" s="54">
        <v>0</v>
      </c>
      <c r="Q70" s="52">
        <v>-44.08</v>
      </c>
      <c r="R70" s="52">
        <v>-12.31</v>
      </c>
      <c r="S70" s="54">
        <v>0</v>
      </c>
      <c r="T70" s="52">
        <v>-12.31</v>
      </c>
      <c r="U70" s="86">
        <v>0</v>
      </c>
      <c r="V70" s="470">
        <v>0</v>
      </c>
      <c r="W70" s="52">
        <v>0</v>
      </c>
      <c r="X70" s="52">
        <v>0</v>
      </c>
      <c r="Y70" s="54">
        <v>0</v>
      </c>
      <c r="Z70" s="52">
        <v>0</v>
      </c>
      <c r="AA70" s="54">
        <v>0</v>
      </c>
      <c r="AB70" s="54">
        <v>0</v>
      </c>
      <c r="AC70" s="52">
        <v>0</v>
      </c>
      <c r="AD70" s="52">
        <v>0</v>
      </c>
      <c r="AE70" s="54">
        <v>0</v>
      </c>
      <c r="AF70" s="52">
        <v>0</v>
      </c>
      <c r="AG70" s="52">
        <v>0</v>
      </c>
      <c r="AH70" s="54">
        <v>0</v>
      </c>
      <c r="AI70" s="52">
        <v>0</v>
      </c>
      <c r="AJ70" s="52">
        <v>0</v>
      </c>
      <c r="AK70" s="54">
        <v>0</v>
      </c>
      <c r="AL70" s="52">
        <v>0</v>
      </c>
      <c r="AM70" s="52">
        <v>-188.63</v>
      </c>
      <c r="AN70" s="52">
        <v>0</v>
      </c>
      <c r="AO70" s="52">
        <v>-188.63</v>
      </c>
      <c r="AP70" s="52">
        <v>0</v>
      </c>
      <c r="AQ70" s="54">
        <v>0</v>
      </c>
      <c r="AR70" s="52">
        <v>0</v>
      </c>
      <c r="AS70" s="52">
        <v>0</v>
      </c>
      <c r="AT70" s="54">
        <v>0</v>
      </c>
      <c r="AU70" s="52">
        <v>0</v>
      </c>
      <c r="AV70" s="52">
        <v>0</v>
      </c>
      <c r="AW70" s="54">
        <v>0</v>
      </c>
      <c r="AX70" s="52">
        <v>0</v>
      </c>
      <c r="AY70" s="52">
        <v>0</v>
      </c>
      <c r="AZ70" s="54">
        <v>0</v>
      </c>
      <c r="BA70" s="52">
        <v>0</v>
      </c>
      <c r="BB70" s="52">
        <v>0</v>
      </c>
      <c r="BC70" s="54">
        <v>0</v>
      </c>
      <c r="BD70" s="52">
        <v>0</v>
      </c>
      <c r="BE70" s="52">
        <v>0</v>
      </c>
      <c r="BF70" s="54">
        <v>0</v>
      </c>
      <c r="BG70" s="471">
        <v>0</v>
      </c>
      <c r="BH70" s="471">
        <v>0</v>
      </c>
      <c r="BI70" s="54">
        <v>0</v>
      </c>
      <c r="BJ70" s="471">
        <v>0</v>
      </c>
    </row>
    <row r="71" spans="1:62" x14ac:dyDescent="0.2">
      <c r="A71" s="52" t="s">
        <v>222</v>
      </c>
      <c r="B71" s="52">
        <v>13054</v>
      </c>
      <c r="C71" s="52">
        <v>-255.69</v>
      </c>
      <c r="D71" s="54">
        <v>294.58</v>
      </c>
      <c r="E71" s="52">
        <v>38.889999999999986</v>
      </c>
      <c r="F71" s="52">
        <v>-831.84</v>
      </c>
      <c r="G71" s="54">
        <v>450.07</v>
      </c>
      <c r="H71" s="52">
        <v>-381.77000000000004</v>
      </c>
      <c r="I71" s="52">
        <v>8359.65</v>
      </c>
      <c r="J71" s="54">
        <v>499.97</v>
      </c>
      <c r="K71" s="52">
        <v>8859.619999999999</v>
      </c>
      <c r="L71" s="52">
        <v>3299.9</v>
      </c>
      <c r="M71" s="54">
        <v>320.02999999999997</v>
      </c>
      <c r="N71" s="52">
        <v>3619.9300000000003</v>
      </c>
      <c r="O71" s="52">
        <v>12657.36</v>
      </c>
      <c r="P71" s="54">
        <v>542.46</v>
      </c>
      <c r="Q71" s="52">
        <v>13199.82</v>
      </c>
      <c r="R71" s="52">
        <v>7043.34</v>
      </c>
      <c r="S71" s="54">
        <v>366.65999999999997</v>
      </c>
      <c r="T71" s="52">
        <v>7410</v>
      </c>
      <c r="U71" s="86">
        <v>7364.79</v>
      </c>
      <c r="V71" s="470">
        <v>296.02</v>
      </c>
      <c r="W71" s="52">
        <v>7660.8099999999995</v>
      </c>
      <c r="X71" s="52">
        <v>8635.4500000000007</v>
      </c>
      <c r="Y71" s="54">
        <v>773.65</v>
      </c>
      <c r="Z71" s="52">
        <v>9409.1</v>
      </c>
      <c r="AA71" s="54">
        <v>9329.84</v>
      </c>
      <c r="AB71" s="54">
        <v>433.92</v>
      </c>
      <c r="AC71" s="52">
        <v>9763.76</v>
      </c>
      <c r="AD71" s="52">
        <v>3905.1</v>
      </c>
      <c r="AE71" s="54">
        <v>0</v>
      </c>
      <c r="AF71" s="52">
        <v>3905.1</v>
      </c>
      <c r="AG71" s="52">
        <v>-221.91</v>
      </c>
      <c r="AH71" s="54">
        <v>0</v>
      </c>
      <c r="AI71" s="52">
        <v>-221.91</v>
      </c>
      <c r="AJ71" s="52">
        <v>-497.77</v>
      </c>
      <c r="AK71" s="54">
        <v>0</v>
      </c>
      <c r="AL71" s="52">
        <v>-497.77</v>
      </c>
      <c r="AM71" s="52">
        <v>58788.22</v>
      </c>
      <c r="AN71" s="52">
        <v>3977.3599999999997</v>
      </c>
      <c r="AO71" s="52">
        <v>62765.579999999994</v>
      </c>
      <c r="AP71" s="52">
        <v>16845.07</v>
      </c>
      <c r="AQ71" s="54">
        <v>0</v>
      </c>
      <c r="AR71" s="52">
        <v>16845.07</v>
      </c>
      <c r="AS71" s="52">
        <v>11681.14</v>
      </c>
      <c r="AT71" s="54">
        <v>792.82</v>
      </c>
      <c r="AU71" s="52">
        <v>12473.96</v>
      </c>
      <c r="AV71" s="52">
        <v>21647.03</v>
      </c>
      <c r="AW71" s="54">
        <v>1181.8900000000001</v>
      </c>
      <c r="AX71" s="52">
        <v>22828.92</v>
      </c>
      <c r="AY71" s="52">
        <v>11059.04</v>
      </c>
      <c r="AZ71" s="54">
        <v>0</v>
      </c>
      <c r="BA71" s="52">
        <v>11059.04</v>
      </c>
      <c r="BB71" s="52">
        <v>1280.8699999999999</v>
      </c>
      <c r="BC71" s="54">
        <v>0</v>
      </c>
      <c r="BD71" s="52">
        <v>1280.8699999999999</v>
      </c>
      <c r="BE71" s="52">
        <v>-531.38</v>
      </c>
      <c r="BF71" s="54">
        <v>0</v>
      </c>
      <c r="BG71" s="471">
        <v>-531.38</v>
      </c>
      <c r="BH71" s="471">
        <v>-36.200000000000003</v>
      </c>
      <c r="BI71" s="54">
        <v>0</v>
      </c>
      <c r="BJ71" s="471">
        <v>-36.200000000000003</v>
      </c>
    </row>
    <row r="72" spans="1:62" x14ac:dyDescent="0.2">
      <c r="A72" s="52" t="s">
        <v>223</v>
      </c>
      <c r="B72" s="52">
        <v>13146</v>
      </c>
      <c r="C72" s="52">
        <v>0</v>
      </c>
      <c r="D72" s="54">
        <v>0</v>
      </c>
      <c r="E72" s="52">
        <v>0</v>
      </c>
      <c r="F72" s="52">
        <v>0</v>
      </c>
      <c r="G72" s="54">
        <v>0</v>
      </c>
      <c r="H72" s="52">
        <v>0</v>
      </c>
      <c r="I72" s="52">
        <v>0</v>
      </c>
      <c r="J72" s="54">
        <v>0</v>
      </c>
      <c r="K72" s="52">
        <v>0</v>
      </c>
      <c r="L72" s="52">
        <v>0</v>
      </c>
      <c r="M72" s="54">
        <v>0</v>
      </c>
      <c r="N72" s="52">
        <v>0</v>
      </c>
      <c r="O72" s="52">
        <v>0</v>
      </c>
      <c r="P72" s="54">
        <v>0</v>
      </c>
      <c r="Q72" s="52">
        <v>0</v>
      </c>
      <c r="R72" s="52">
        <v>29164</v>
      </c>
      <c r="S72" s="54">
        <v>0</v>
      </c>
      <c r="T72" s="52">
        <v>29164</v>
      </c>
      <c r="U72" s="86">
        <v>24061.82</v>
      </c>
      <c r="V72" s="470">
        <v>914.33</v>
      </c>
      <c r="W72" s="52">
        <v>24976.15</v>
      </c>
      <c r="X72" s="52">
        <v>11153.88</v>
      </c>
      <c r="Y72" s="54">
        <v>1665.91</v>
      </c>
      <c r="Z72" s="52">
        <v>12819.789999999999</v>
      </c>
      <c r="AA72" s="54">
        <v>-159.54</v>
      </c>
      <c r="AB72" s="54">
        <v>0</v>
      </c>
      <c r="AC72" s="52">
        <v>-159.54</v>
      </c>
      <c r="AD72" s="52">
        <v>9396.18</v>
      </c>
      <c r="AE72" s="54">
        <v>1077.78</v>
      </c>
      <c r="AF72" s="52">
        <v>10473.960000000001</v>
      </c>
      <c r="AG72" s="52">
        <v>5113.32</v>
      </c>
      <c r="AH72" s="54">
        <v>1078.55</v>
      </c>
      <c r="AI72" s="52">
        <v>6191.87</v>
      </c>
      <c r="AJ72" s="52">
        <v>13844.51</v>
      </c>
      <c r="AK72" s="54">
        <v>1685.92</v>
      </c>
      <c r="AL72" s="52">
        <v>15530.43</v>
      </c>
      <c r="AM72" s="52">
        <v>92574.17</v>
      </c>
      <c r="AN72" s="52">
        <v>6422.4900000000007</v>
      </c>
      <c r="AO72" s="52">
        <v>98996.66</v>
      </c>
      <c r="AP72" s="52">
        <v>18644.009999999998</v>
      </c>
      <c r="AQ72" s="54">
        <v>1271.5999999999999</v>
      </c>
      <c r="AR72" s="52">
        <v>19915.609999999997</v>
      </c>
      <c r="AS72" s="52">
        <v>-2882.18</v>
      </c>
      <c r="AT72" s="54">
        <v>1591.2</v>
      </c>
      <c r="AU72" s="52">
        <v>-1290.9799999999998</v>
      </c>
      <c r="AV72" s="52">
        <v>40111.67</v>
      </c>
      <c r="AW72" s="54">
        <v>1375.23</v>
      </c>
      <c r="AX72" s="52">
        <v>41486.9</v>
      </c>
      <c r="AY72" s="52">
        <v>-3036.34</v>
      </c>
      <c r="AZ72" s="54">
        <v>1441.6</v>
      </c>
      <c r="BA72" s="52">
        <v>-1594.7400000000002</v>
      </c>
      <c r="BB72" s="52">
        <v>-5.07</v>
      </c>
      <c r="BC72" s="54">
        <v>74.8</v>
      </c>
      <c r="BD72" s="52">
        <v>69.72999999999999</v>
      </c>
      <c r="BE72" s="52">
        <v>46802.99</v>
      </c>
      <c r="BF72" s="54">
        <v>-50.149999999999601</v>
      </c>
      <c r="BG72" s="471">
        <v>46752.84</v>
      </c>
      <c r="BH72" s="471">
        <v>-1510.46</v>
      </c>
      <c r="BI72" s="54">
        <v>3434.77</v>
      </c>
      <c r="BJ72" s="471">
        <v>1924.31</v>
      </c>
    </row>
    <row r="73" spans="1:62" x14ac:dyDescent="0.2">
      <c r="A73" s="52" t="s">
        <v>224</v>
      </c>
      <c r="B73" s="52">
        <v>13067</v>
      </c>
      <c r="C73" s="52">
        <v>-950.27</v>
      </c>
      <c r="D73" s="54">
        <v>1182.21</v>
      </c>
      <c r="E73" s="52">
        <v>231.94000000000005</v>
      </c>
      <c r="F73" s="52">
        <v>15938.13</v>
      </c>
      <c r="G73" s="54">
        <v>1746.82</v>
      </c>
      <c r="H73" s="52">
        <v>17684.95</v>
      </c>
      <c r="I73" s="52">
        <v>25095.23</v>
      </c>
      <c r="J73" s="54">
        <v>1885.87</v>
      </c>
      <c r="K73" s="52">
        <v>26981.1</v>
      </c>
      <c r="L73" s="52">
        <v>13603.86</v>
      </c>
      <c r="M73" s="54">
        <v>1359.19</v>
      </c>
      <c r="N73" s="52">
        <v>14963.050000000001</v>
      </c>
      <c r="O73" s="52">
        <v>20312.73</v>
      </c>
      <c r="P73" s="54">
        <v>1788.28</v>
      </c>
      <c r="Q73" s="52">
        <v>22101.01</v>
      </c>
      <c r="R73" s="52">
        <v>15766.5</v>
      </c>
      <c r="S73" s="54">
        <v>1956.18</v>
      </c>
      <c r="T73" s="52">
        <v>17722.68</v>
      </c>
      <c r="U73" s="86">
        <v>21611.72</v>
      </c>
      <c r="V73" s="470">
        <v>1390.81</v>
      </c>
      <c r="W73" s="52">
        <v>23002.530000000002</v>
      </c>
      <c r="X73" s="52">
        <v>26797.22</v>
      </c>
      <c r="Y73" s="54">
        <v>2595.8200000000002</v>
      </c>
      <c r="Z73" s="52">
        <v>29393.040000000001</v>
      </c>
      <c r="AA73" s="54">
        <v>28065.51</v>
      </c>
      <c r="AB73" s="54">
        <v>1915.85</v>
      </c>
      <c r="AC73" s="52">
        <v>29981.359999999997</v>
      </c>
      <c r="AD73" s="52">
        <v>26263</v>
      </c>
      <c r="AE73" s="54">
        <v>2006.76</v>
      </c>
      <c r="AF73" s="52">
        <v>28269.759999999998</v>
      </c>
      <c r="AG73" s="52">
        <v>21590.91</v>
      </c>
      <c r="AH73" s="54">
        <v>1287.8</v>
      </c>
      <c r="AI73" s="52">
        <v>22878.71</v>
      </c>
      <c r="AJ73" s="52">
        <v>22848.38</v>
      </c>
      <c r="AK73" s="54">
        <v>2552.2800000000002</v>
      </c>
      <c r="AL73" s="52">
        <v>25400.66</v>
      </c>
      <c r="AM73" s="52">
        <v>236942.92</v>
      </c>
      <c r="AN73" s="52">
        <v>21667.869999999995</v>
      </c>
      <c r="AO73" s="52">
        <v>258610.79</v>
      </c>
      <c r="AP73" s="52">
        <v>11235.06</v>
      </c>
      <c r="AQ73" s="54">
        <v>1058.96</v>
      </c>
      <c r="AR73" s="52">
        <v>12294.02</v>
      </c>
      <c r="AS73" s="52">
        <v>22636.12</v>
      </c>
      <c r="AT73" s="54">
        <v>1857.39</v>
      </c>
      <c r="AU73" s="52">
        <v>24493.51</v>
      </c>
      <c r="AV73" s="52">
        <v>22487.47</v>
      </c>
      <c r="AW73" s="54">
        <v>1466.85</v>
      </c>
      <c r="AX73" s="52">
        <v>23954.32</v>
      </c>
      <c r="AY73" s="52">
        <v>24614.9</v>
      </c>
      <c r="AZ73" s="54">
        <v>1538.84</v>
      </c>
      <c r="BA73" s="52">
        <v>26153.74</v>
      </c>
      <c r="BB73" s="52">
        <v>31299.26</v>
      </c>
      <c r="BC73" s="54">
        <v>1793.98</v>
      </c>
      <c r="BD73" s="52">
        <v>33093.24</v>
      </c>
      <c r="BE73" s="52">
        <v>16794.599999999999</v>
      </c>
      <c r="BF73" s="54">
        <v>1469.27</v>
      </c>
      <c r="BG73" s="471">
        <v>18263.87</v>
      </c>
      <c r="BH73" s="471">
        <v>21166.560000000001</v>
      </c>
      <c r="BI73" s="54">
        <v>2343.63</v>
      </c>
      <c r="BJ73" s="471">
        <v>23510.190000000002</v>
      </c>
    </row>
    <row r="74" spans="1:62" x14ac:dyDescent="0.2">
      <c r="A74" s="52" t="s">
        <v>225</v>
      </c>
      <c r="B74" s="52">
        <v>13068</v>
      </c>
      <c r="C74" s="52">
        <v>849.14</v>
      </c>
      <c r="D74" s="54">
        <v>696.99</v>
      </c>
      <c r="E74" s="52">
        <v>1546.13</v>
      </c>
      <c r="F74" s="52">
        <v>19385.27</v>
      </c>
      <c r="G74" s="54">
        <v>1228.19</v>
      </c>
      <c r="H74" s="52">
        <v>20613.46</v>
      </c>
      <c r="I74" s="52">
        <v>11665.97</v>
      </c>
      <c r="J74" s="54">
        <v>848.68</v>
      </c>
      <c r="K74" s="52">
        <v>12514.65</v>
      </c>
      <c r="L74" s="52">
        <v>14754.07</v>
      </c>
      <c r="M74" s="54">
        <v>1964.1499999999999</v>
      </c>
      <c r="N74" s="52">
        <v>16718.22</v>
      </c>
      <c r="O74" s="52">
        <v>6113.24</v>
      </c>
      <c r="P74" s="54">
        <v>703.38</v>
      </c>
      <c r="Q74" s="52">
        <v>6816.62</v>
      </c>
      <c r="R74" s="52">
        <v>7940.24</v>
      </c>
      <c r="S74" s="54">
        <v>1448.16</v>
      </c>
      <c r="T74" s="52">
        <v>9388.4</v>
      </c>
      <c r="U74" s="86">
        <v>12729.28</v>
      </c>
      <c r="V74" s="470">
        <v>1027.58</v>
      </c>
      <c r="W74" s="52">
        <v>13756.86</v>
      </c>
      <c r="X74" s="52">
        <v>14666.39</v>
      </c>
      <c r="Y74" s="54">
        <v>1860.98</v>
      </c>
      <c r="Z74" s="52">
        <v>16527.37</v>
      </c>
      <c r="AA74" s="54">
        <v>16359.17</v>
      </c>
      <c r="AB74" s="54">
        <v>2008.89</v>
      </c>
      <c r="AC74" s="52">
        <v>18368.060000000001</v>
      </c>
      <c r="AD74" s="52">
        <v>10108.629999999999</v>
      </c>
      <c r="AE74" s="54">
        <v>2213.5100000000002</v>
      </c>
      <c r="AF74" s="52">
        <v>12322.14</v>
      </c>
      <c r="AG74" s="52">
        <v>6922.43</v>
      </c>
      <c r="AH74" s="54">
        <v>762.94</v>
      </c>
      <c r="AI74" s="52">
        <v>7685.3700000000008</v>
      </c>
      <c r="AJ74" s="52">
        <v>10658.02</v>
      </c>
      <c r="AK74" s="54">
        <v>1859.97</v>
      </c>
      <c r="AL74" s="52">
        <v>12517.99</v>
      </c>
      <c r="AM74" s="52">
        <v>132151.84999999998</v>
      </c>
      <c r="AN74" s="52">
        <v>16623.420000000002</v>
      </c>
      <c r="AO74" s="52">
        <v>148775.26999999999</v>
      </c>
      <c r="AP74" s="52">
        <v>6672.57</v>
      </c>
      <c r="AQ74" s="54">
        <v>726.36</v>
      </c>
      <c r="AR74" s="52">
        <v>7398.9299999999994</v>
      </c>
      <c r="AS74" s="52">
        <v>8811.09</v>
      </c>
      <c r="AT74" s="54">
        <v>1077.3</v>
      </c>
      <c r="AU74" s="52">
        <v>9888.39</v>
      </c>
      <c r="AV74" s="52">
        <v>8610.4599999999991</v>
      </c>
      <c r="AW74" s="54">
        <v>988.22</v>
      </c>
      <c r="AX74" s="52">
        <v>9598.6799999999985</v>
      </c>
      <c r="AY74" s="52">
        <v>13288.24</v>
      </c>
      <c r="AZ74" s="54">
        <v>1322.77</v>
      </c>
      <c r="BA74" s="52">
        <v>14611.01</v>
      </c>
      <c r="BB74" s="52">
        <v>17279.419999999998</v>
      </c>
      <c r="BC74" s="54">
        <v>784.19</v>
      </c>
      <c r="BD74" s="52">
        <v>18063.609999999997</v>
      </c>
      <c r="BE74" s="52">
        <v>5741.15</v>
      </c>
      <c r="BF74" s="54">
        <v>1095.75</v>
      </c>
      <c r="BG74" s="471">
        <v>6836.9</v>
      </c>
      <c r="BH74" s="471">
        <v>12396.59</v>
      </c>
      <c r="BI74" s="54">
        <v>972.43999999999994</v>
      </c>
      <c r="BJ74" s="471">
        <v>13369.03</v>
      </c>
    </row>
    <row r="75" spans="1:62" x14ac:dyDescent="0.2">
      <c r="A75" s="52" t="s">
        <v>226</v>
      </c>
      <c r="B75" s="52">
        <v>13038</v>
      </c>
      <c r="C75" s="52">
        <v>-9429.2099999999991</v>
      </c>
      <c r="D75" s="54">
        <v>0</v>
      </c>
      <c r="E75" s="52">
        <v>-9429.2099999999991</v>
      </c>
      <c r="F75" s="52">
        <v>-9732.11</v>
      </c>
      <c r="G75" s="54">
        <v>2272.9</v>
      </c>
      <c r="H75" s="52">
        <v>-7459.2100000000009</v>
      </c>
      <c r="I75" s="52">
        <v>-1667.43</v>
      </c>
      <c r="J75" s="54">
        <v>401.1</v>
      </c>
      <c r="K75" s="52">
        <v>-1266.33</v>
      </c>
      <c r="L75" s="52">
        <v>203698.2</v>
      </c>
      <c r="M75" s="54">
        <v>5475.06</v>
      </c>
      <c r="N75" s="52">
        <v>209173.26</v>
      </c>
      <c r="O75" s="52">
        <v>100055.49</v>
      </c>
      <c r="P75" s="54">
        <v>5439.29</v>
      </c>
      <c r="Q75" s="52">
        <v>105494.78</v>
      </c>
      <c r="R75" s="52">
        <v>32731.200000000001</v>
      </c>
      <c r="S75" s="54">
        <v>4982.5600000000004</v>
      </c>
      <c r="T75" s="52">
        <v>37713.760000000002</v>
      </c>
      <c r="U75" s="86">
        <v>86969.279999999999</v>
      </c>
      <c r="V75" s="470">
        <v>3684.43</v>
      </c>
      <c r="W75" s="52">
        <v>90653.709999999992</v>
      </c>
      <c r="X75" s="52">
        <v>10672.91</v>
      </c>
      <c r="Y75" s="54">
        <v>4983.78</v>
      </c>
      <c r="Z75" s="52">
        <v>15656.689999999999</v>
      </c>
      <c r="AA75" s="54">
        <v>62234.35</v>
      </c>
      <c r="AB75" s="54">
        <v>4029.04</v>
      </c>
      <c r="AC75" s="52">
        <v>66263.39</v>
      </c>
      <c r="AD75" s="52">
        <v>62824.959999999999</v>
      </c>
      <c r="AE75" s="54">
        <v>4659.1799999999994</v>
      </c>
      <c r="AF75" s="52">
        <v>67484.14</v>
      </c>
      <c r="AG75" s="52">
        <v>62997.7</v>
      </c>
      <c r="AH75" s="54">
        <v>3551.66</v>
      </c>
      <c r="AI75" s="52">
        <v>66549.36</v>
      </c>
      <c r="AJ75" s="52">
        <v>36726.21</v>
      </c>
      <c r="AK75" s="54">
        <v>5825.5</v>
      </c>
      <c r="AL75" s="52">
        <v>42551.71</v>
      </c>
      <c r="AM75" s="52">
        <v>638081.54999999993</v>
      </c>
      <c r="AN75" s="52">
        <v>45304.5</v>
      </c>
      <c r="AO75" s="52">
        <v>683386.04999999993</v>
      </c>
      <c r="AP75" s="52">
        <v>25903.59</v>
      </c>
      <c r="AQ75" s="54">
        <v>1470.65</v>
      </c>
      <c r="AR75" s="52">
        <v>27374.240000000002</v>
      </c>
      <c r="AS75" s="52">
        <v>40382.379999999997</v>
      </c>
      <c r="AT75" s="54">
        <v>5233.3999999999996</v>
      </c>
      <c r="AU75" s="52">
        <v>45615.78</v>
      </c>
      <c r="AV75" s="52">
        <v>47540.31</v>
      </c>
      <c r="AW75" s="54">
        <v>8748.4</v>
      </c>
      <c r="AX75" s="52">
        <v>56288.71</v>
      </c>
      <c r="AY75" s="52">
        <v>74668.710000000006</v>
      </c>
      <c r="AZ75" s="54">
        <v>2758.58</v>
      </c>
      <c r="BA75" s="52">
        <v>77427.290000000008</v>
      </c>
      <c r="BB75" s="52">
        <v>61805.72</v>
      </c>
      <c r="BC75" s="54">
        <v>2372.02</v>
      </c>
      <c r="BD75" s="52">
        <v>64177.74</v>
      </c>
      <c r="BE75" s="52">
        <v>15019.67</v>
      </c>
      <c r="BF75" s="54">
        <v>1895.91</v>
      </c>
      <c r="BG75" s="471">
        <v>16915.580000000002</v>
      </c>
      <c r="BH75" s="471">
        <v>39771.25</v>
      </c>
      <c r="BI75" s="54">
        <v>2128.52</v>
      </c>
      <c r="BJ75" s="471">
        <v>41899.769999999997</v>
      </c>
    </row>
    <row r="76" spans="1:62" x14ac:dyDescent="0.2">
      <c r="A76" s="52" t="s">
        <v>227</v>
      </c>
      <c r="B76" s="52">
        <v>13121</v>
      </c>
      <c r="C76" s="52">
        <v>22150.32</v>
      </c>
      <c r="D76" s="54">
        <v>5420.64</v>
      </c>
      <c r="E76" s="52">
        <v>27570.959999999999</v>
      </c>
      <c r="F76" s="52">
        <v>87856.13</v>
      </c>
      <c r="G76" s="54">
        <v>4172.3100000000004</v>
      </c>
      <c r="H76" s="52">
        <v>92028.44</v>
      </c>
      <c r="I76" s="52">
        <v>84679.23</v>
      </c>
      <c r="J76" s="54">
        <v>4905.6499999999996</v>
      </c>
      <c r="K76" s="52">
        <v>89584.87999999999</v>
      </c>
      <c r="L76" s="52">
        <v>35829.25</v>
      </c>
      <c r="M76" s="54">
        <v>6051.26</v>
      </c>
      <c r="N76" s="52">
        <v>41880.51</v>
      </c>
      <c r="O76" s="52">
        <v>105392.43</v>
      </c>
      <c r="P76" s="54">
        <v>7936.1</v>
      </c>
      <c r="Q76" s="52">
        <v>113328.53</v>
      </c>
      <c r="R76" s="52">
        <v>72904.460000000006</v>
      </c>
      <c r="S76" s="54">
        <v>12387.79</v>
      </c>
      <c r="T76" s="52">
        <v>85292.25</v>
      </c>
      <c r="U76" s="86">
        <v>58498.53</v>
      </c>
      <c r="V76" s="470">
        <v>6390.19</v>
      </c>
      <c r="W76" s="52">
        <v>64888.72</v>
      </c>
      <c r="X76" s="52">
        <v>93990.67</v>
      </c>
      <c r="Y76" s="54">
        <v>9482.18</v>
      </c>
      <c r="Z76" s="52">
        <v>103472.85</v>
      </c>
      <c r="AA76" s="54">
        <v>99341.54</v>
      </c>
      <c r="AB76" s="54">
        <v>8692.68</v>
      </c>
      <c r="AC76" s="52">
        <v>108034.22</v>
      </c>
      <c r="AD76" s="52">
        <v>53754.83</v>
      </c>
      <c r="AE76" s="54">
        <v>11168.83</v>
      </c>
      <c r="AF76" s="52">
        <v>64923.66</v>
      </c>
      <c r="AG76" s="52">
        <v>83645.919999999998</v>
      </c>
      <c r="AH76" s="54">
        <v>3805.03</v>
      </c>
      <c r="AI76" s="52">
        <v>87450.95</v>
      </c>
      <c r="AJ76" s="52">
        <v>81715.94</v>
      </c>
      <c r="AK76" s="54">
        <v>11172.34</v>
      </c>
      <c r="AL76" s="52">
        <v>92888.28</v>
      </c>
      <c r="AM76" s="52">
        <v>879759.25</v>
      </c>
      <c r="AN76" s="52">
        <v>91585</v>
      </c>
      <c r="AO76" s="52">
        <v>971344.24999999988</v>
      </c>
      <c r="AP76" s="52">
        <v>66215.98</v>
      </c>
      <c r="AQ76" s="54">
        <v>5724.65</v>
      </c>
      <c r="AR76" s="52">
        <v>71940.62999999999</v>
      </c>
      <c r="AS76" s="52">
        <v>144005.5</v>
      </c>
      <c r="AT76" s="54">
        <v>9190.2000000000007</v>
      </c>
      <c r="AU76" s="52">
        <v>153195.70000000001</v>
      </c>
      <c r="AV76" s="52">
        <v>74225.490000000005</v>
      </c>
      <c r="AW76" s="54">
        <v>5389.61</v>
      </c>
      <c r="AX76" s="52">
        <v>79615.100000000006</v>
      </c>
      <c r="AY76" s="52">
        <v>174044.36</v>
      </c>
      <c r="AZ76" s="54">
        <v>7978</v>
      </c>
      <c r="BA76" s="52">
        <v>182022.36</v>
      </c>
      <c r="BB76" s="52">
        <v>98599.86</v>
      </c>
      <c r="BC76" s="54">
        <v>6438.52</v>
      </c>
      <c r="BD76" s="52">
        <v>105038.38</v>
      </c>
      <c r="BE76" s="52">
        <v>77509.81</v>
      </c>
      <c r="BF76" s="54">
        <v>8462.69</v>
      </c>
      <c r="BG76" s="471">
        <v>85972.5</v>
      </c>
      <c r="BH76" s="471">
        <v>74678.12</v>
      </c>
      <c r="BI76" s="54">
        <v>5396.08</v>
      </c>
      <c r="BJ76" s="471">
        <v>80074.2</v>
      </c>
    </row>
    <row r="77" spans="1:62" x14ac:dyDescent="0.2">
      <c r="A77" s="52" t="s">
        <v>228</v>
      </c>
      <c r="B77" s="52">
        <v>13079</v>
      </c>
      <c r="C77" s="52">
        <v>-813.92</v>
      </c>
      <c r="D77" s="54">
        <v>406.67</v>
      </c>
      <c r="E77" s="52">
        <v>-407.24999999999994</v>
      </c>
      <c r="F77" s="52">
        <v>2617.37</v>
      </c>
      <c r="G77" s="54">
        <v>1048.5500000000002</v>
      </c>
      <c r="H77" s="52">
        <v>3665.92</v>
      </c>
      <c r="I77" s="52">
        <v>-295.61</v>
      </c>
      <c r="J77" s="54">
        <v>7738.85</v>
      </c>
      <c r="K77" s="52">
        <v>7443.2400000000007</v>
      </c>
      <c r="L77" s="52">
        <v>1213.28</v>
      </c>
      <c r="M77" s="54">
        <v>3775.74</v>
      </c>
      <c r="N77" s="52">
        <v>4989.0199999999995</v>
      </c>
      <c r="O77" s="52">
        <v>439.39</v>
      </c>
      <c r="P77" s="54">
        <v>325.33999999999997</v>
      </c>
      <c r="Q77" s="52">
        <v>764.73</v>
      </c>
      <c r="R77" s="52">
        <v>-132.41</v>
      </c>
      <c r="S77" s="54">
        <v>371.81</v>
      </c>
      <c r="T77" s="52">
        <v>239.4</v>
      </c>
      <c r="U77" s="86">
        <v>-110.32</v>
      </c>
      <c r="V77" s="470">
        <v>917.91</v>
      </c>
      <c r="W77" s="52">
        <v>807.58999999999992</v>
      </c>
      <c r="X77" s="52">
        <v>-4.1399999999999997</v>
      </c>
      <c r="Y77" s="54">
        <v>999.25</v>
      </c>
      <c r="Z77" s="52">
        <v>995.11</v>
      </c>
      <c r="AA77" s="54">
        <v>-21.52</v>
      </c>
      <c r="AB77" s="54">
        <v>720.39</v>
      </c>
      <c r="AC77" s="52">
        <v>698.87</v>
      </c>
      <c r="AD77" s="52">
        <v>-13.79</v>
      </c>
      <c r="AE77" s="54">
        <v>0</v>
      </c>
      <c r="AF77" s="52">
        <v>-13.79</v>
      </c>
      <c r="AG77" s="52">
        <v>0</v>
      </c>
      <c r="AH77" s="54">
        <v>0</v>
      </c>
      <c r="AI77" s="52">
        <v>0</v>
      </c>
      <c r="AJ77" s="52">
        <v>-436.88</v>
      </c>
      <c r="AK77" s="54">
        <v>0</v>
      </c>
      <c r="AL77" s="52">
        <v>-436.88</v>
      </c>
      <c r="AM77" s="52">
        <v>2441.4499999999998</v>
      </c>
      <c r="AN77" s="52">
        <v>16304.509999999998</v>
      </c>
      <c r="AO77" s="52">
        <v>18745.96</v>
      </c>
      <c r="AP77" s="52">
        <v>-29.61</v>
      </c>
      <c r="AQ77" s="54">
        <v>0</v>
      </c>
      <c r="AR77" s="52">
        <v>-29.61</v>
      </c>
      <c r="AS77" s="52">
        <v>-41.37</v>
      </c>
      <c r="AT77" s="54">
        <v>0</v>
      </c>
      <c r="AU77" s="52">
        <v>-41.37</v>
      </c>
      <c r="AV77" s="52">
        <v>-18892.3</v>
      </c>
      <c r="AW77" s="54">
        <v>0</v>
      </c>
      <c r="AX77" s="52">
        <v>-18892.3</v>
      </c>
      <c r="AY77" s="52">
        <v>-12217.94</v>
      </c>
      <c r="AZ77" s="54">
        <v>0</v>
      </c>
      <c r="BA77" s="52">
        <v>-12217.94</v>
      </c>
      <c r="BB77" s="52">
        <v>-9032.4500000000007</v>
      </c>
      <c r="BC77" s="54">
        <v>0</v>
      </c>
      <c r="BD77" s="52">
        <v>-9032.4500000000007</v>
      </c>
      <c r="BE77" s="52">
        <v>-882.56</v>
      </c>
      <c r="BF77" s="54">
        <v>0</v>
      </c>
      <c r="BG77" s="471">
        <v>-882.56</v>
      </c>
      <c r="BH77" s="471">
        <v>-124.11</v>
      </c>
      <c r="BI77" s="54">
        <v>0</v>
      </c>
      <c r="BJ77" s="471">
        <v>-124.11</v>
      </c>
    </row>
    <row r="78" spans="1:62" x14ac:dyDescent="0.2">
      <c r="A78" s="52" t="s">
        <v>229</v>
      </c>
      <c r="B78" s="52">
        <v>13049</v>
      </c>
      <c r="D78" s="54">
        <v>0</v>
      </c>
      <c r="E78" s="52">
        <v>0</v>
      </c>
      <c r="G78" s="54">
        <v>0</v>
      </c>
      <c r="H78" s="52">
        <v>0</v>
      </c>
      <c r="J78" s="54">
        <v>0</v>
      </c>
      <c r="K78" s="52">
        <v>0</v>
      </c>
      <c r="L78" s="52">
        <v>0</v>
      </c>
      <c r="M78" s="54">
        <v>0</v>
      </c>
      <c r="N78" s="52">
        <v>0</v>
      </c>
      <c r="P78" s="54">
        <v>0</v>
      </c>
      <c r="Q78" s="52">
        <v>0</v>
      </c>
      <c r="S78" s="54">
        <v>0</v>
      </c>
      <c r="T78" s="52">
        <v>0</v>
      </c>
      <c r="U78" s="86"/>
      <c r="V78" s="470">
        <v>0</v>
      </c>
      <c r="W78" s="52">
        <v>0</v>
      </c>
      <c r="Y78" s="54">
        <v>0</v>
      </c>
      <c r="Z78" s="52">
        <v>0</v>
      </c>
      <c r="AA78" s="54"/>
      <c r="AB78" s="54">
        <v>0</v>
      </c>
      <c r="AC78" s="52">
        <v>0</v>
      </c>
      <c r="AE78" s="54">
        <v>0</v>
      </c>
      <c r="AF78" s="52">
        <v>0</v>
      </c>
      <c r="AH78" s="54">
        <v>0</v>
      </c>
      <c r="AI78" s="52">
        <v>0</v>
      </c>
      <c r="AK78" s="54">
        <v>0</v>
      </c>
      <c r="AL78" s="52">
        <v>0</v>
      </c>
      <c r="AM78" s="52">
        <v>0</v>
      </c>
      <c r="AN78" s="52">
        <v>0</v>
      </c>
      <c r="AO78" s="52">
        <v>0</v>
      </c>
      <c r="AQ78" s="54">
        <v>0</v>
      </c>
      <c r="AR78" s="52">
        <v>0</v>
      </c>
      <c r="AT78" s="54">
        <v>0</v>
      </c>
      <c r="AU78" s="52">
        <v>0</v>
      </c>
      <c r="AW78" s="54">
        <v>0</v>
      </c>
      <c r="AX78" s="52">
        <v>0</v>
      </c>
      <c r="AY78" s="52">
        <v>-113.17</v>
      </c>
      <c r="AZ78" s="54">
        <v>0</v>
      </c>
      <c r="BA78" s="52">
        <v>-113.17</v>
      </c>
      <c r="BC78" s="54">
        <v>0</v>
      </c>
      <c r="BD78" s="52">
        <v>0</v>
      </c>
      <c r="BF78" s="54">
        <v>0</v>
      </c>
      <c r="BG78" s="471">
        <v>0</v>
      </c>
      <c r="BH78" s="471"/>
      <c r="BI78" s="54">
        <v>0</v>
      </c>
      <c r="BJ78" s="471">
        <v>0</v>
      </c>
    </row>
    <row r="79" spans="1:62" x14ac:dyDescent="0.2">
      <c r="A79" s="52" t="s">
        <v>259</v>
      </c>
      <c r="B79" s="52">
        <v>13143</v>
      </c>
      <c r="C79" s="52">
        <v>0</v>
      </c>
      <c r="D79" s="54">
        <v>0</v>
      </c>
      <c r="F79" s="52">
        <v>0</v>
      </c>
      <c r="G79" s="54">
        <v>0</v>
      </c>
      <c r="I79" s="52">
        <v>0</v>
      </c>
      <c r="J79" s="54">
        <v>0</v>
      </c>
      <c r="L79" s="52">
        <v>0</v>
      </c>
      <c r="M79" s="54">
        <v>0</v>
      </c>
      <c r="O79" s="52">
        <v>0</v>
      </c>
      <c r="P79" s="54">
        <v>0</v>
      </c>
      <c r="R79" s="52">
        <v>0</v>
      </c>
      <c r="S79" s="54">
        <v>0</v>
      </c>
      <c r="U79" s="86">
        <v>0</v>
      </c>
      <c r="V79" s="470">
        <v>0</v>
      </c>
      <c r="X79" s="52">
        <v>0</v>
      </c>
      <c r="Y79" s="54">
        <v>0</v>
      </c>
      <c r="AA79" s="54">
        <v>176656</v>
      </c>
      <c r="AB79" s="54">
        <v>13526.5</v>
      </c>
      <c r="AC79" s="52">
        <v>190182.5</v>
      </c>
      <c r="AD79" s="52">
        <v>0</v>
      </c>
      <c r="AE79" s="54">
        <v>15421.2</v>
      </c>
      <c r="AF79" s="52">
        <v>15421.2</v>
      </c>
      <c r="AG79" s="52">
        <v>195200</v>
      </c>
      <c r="AH79" s="54">
        <v>10360.09</v>
      </c>
      <c r="AI79" s="52">
        <v>205560.09</v>
      </c>
      <c r="AJ79" s="52">
        <v>167104.60999999999</v>
      </c>
      <c r="AK79" s="54">
        <v>9227.16</v>
      </c>
      <c r="AL79" s="52">
        <v>176331.77</v>
      </c>
      <c r="AM79" s="52">
        <v>538960.61</v>
      </c>
      <c r="AN79" s="52">
        <v>48534.95</v>
      </c>
      <c r="AO79" s="52">
        <v>587495.56000000006</v>
      </c>
      <c r="AP79" s="52">
        <v>150171.79</v>
      </c>
      <c r="AQ79" s="54">
        <v>6932.33</v>
      </c>
      <c r="AR79" s="52">
        <v>157104.12</v>
      </c>
      <c r="AS79" s="52">
        <v>-11350.48</v>
      </c>
      <c r="AT79" s="54">
        <v>6874.11</v>
      </c>
      <c r="AU79" s="52">
        <v>-4476.37</v>
      </c>
      <c r="AV79" s="52">
        <v>103295.41</v>
      </c>
      <c r="AW79" s="54">
        <v>12226.51</v>
      </c>
      <c r="AX79" s="52">
        <v>115521.92</v>
      </c>
      <c r="AY79" s="52">
        <v>109238.59</v>
      </c>
      <c r="AZ79" s="54">
        <v>14591.33</v>
      </c>
      <c r="BA79" s="52">
        <v>123829.92</v>
      </c>
      <c r="BB79" s="52">
        <v>145796.89000000001</v>
      </c>
      <c r="BC79" s="54">
        <v>20794.5</v>
      </c>
      <c r="BD79" s="52">
        <v>166591.39000000001</v>
      </c>
      <c r="BE79" s="52">
        <v>79173.94</v>
      </c>
      <c r="BF79" s="54">
        <v>11689.86</v>
      </c>
      <c r="BG79" s="471">
        <v>90863.8</v>
      </c>
      <c r="BH79" s="471">
        <v>79826.48</v>
      </c>
      <c r="BI79" s="54">
        <v>10972.109999999999</v>
      </c>
      <c r="BJ79" s="471">
        <v>90798.59</v>
      </c>
    </row>
    <row r="80" spans="1:62" x14ac:dyDescent="0.2">
      <c r="A80" s="52" t="s">
        <v>260</v>
      </c>
      <c r="B80" s="52">
        <v>13144</v>
      </c>
      <c r="C80" s="52">
        <v>0</v>
      </c>
      <c r="D80" s="54">
        <v>0</v>
      </c>
      <c r="F80" s="52">
        <v>0</v>
      </c>
      <c r="G80" s="54">
        <v>0</v>
      </c>
      <c r="I80" s="52">
        <v>0</v>
      </c>
      <c r="J80" s="54">
        <v>0</v>
      </c>
      <c r="L80" s="52">
        <v>0</v>
      </c>
      <c r="M80" s="54">
        <v>0</v>
      </c>
      <c r="O80" s="52">
        <v>0</v>
      </c>
      <c r="P80" s="54">
        <v>0</v>
      </c>
      <c r="R80" s="52">
        <v>0</v>
      </c>
      <c r="S80" s="54">
        <v>0</v>
      </c>
      <c r="U80" s="86">
        <v>0</v>
      </c>
      <c r="V80" s="470">
        <v>0</v>
      </c>
      <c r="X80" s="52">
        <v>0</v>
      </c>
      <c r="Y80" s="54">
        <v>0</v>
      </c>
      <c r="AA80" s="54">
        <v>0</v>
      </c>
      <c r="AB80" s="54">
        <v>0</v>
      </c>
      <c r="AC80" s="52">
        <v>0</v>
      </c>
      <c r="AD80" s="52">
        <v>0</v>
      </c>
      <c r="AE80" s="54">
        <v>4578</v>
      </c>
      <c r="AF80" s="52">
        <v>4578</v>
      </c>
      <c r="AG80" s="52">
        <v>104650</v>
      </c>
      <c r="AH80" s="54">
        <v>14417.04</v>
      </c>
      <c r="AI80" s="52">
        <v>119067.04000000001</v>
      </c>
      <c r="AJ80" s="52">
        <v>33758.07</v>
      </c>
      <c r="AK80" s="54">
        <v>5892.4</v>
      </c>
      <c r="AL80" s="52">
        <v>39650.47</v>
      </c>
      <c r="AM80" s="52">
        <v>138408.07</v>
      </c>
      <c r="AN80" s="52">
        <v>24887.440000000002</v>
      </c>
      <c r="AO80" s="52">
        <v>163295.51</v>
      </c>
      <c r="AP80" s="52">
        <v>121018.41</v>
      </c>
      <c r="AQ80" s="54">
        <v>1107.8900000000001</v>
      </c>
      <c r="AR80" s="52">
        <v>122126.3</v>
      </c>
      <c r="AS80" s="52">
        <v>66744.44</v>
      </c>
      <c r="AT80" s="54">
        <v>3265.36</v>
      </c>
      <c r="AU80" s="52">
        <v>70009.8</v>
      </c>
      <c r="AV80" s="52">
        <v>27198.75</v>
      </c>
      <c r="AW80" s="54">
        <v>5451.77</v>
      </c>
      <c r="AX80" s="52">
        <v>32650.52</v>
      </c>
      <c r="AY80" s="52">
        <v>-6983.69</v>
      </c>
      <c r="AZ80" s="54">
        <v>6518.2</v>
      </c>
      <c r="BA80" s="52">
        <v>-465.48999999999978</v>
      </c>
      <c r="BB80" s="52">
        <v>-2751.02</v>
      </c>
      <c r="BC80" s="54">
        <v>2594.1999999999998</v>
      </c>
      <c r="BD80" s="52">
        <v>-156.82000000000016</v>
      </c>
      <c r="BE80" s="52">
        <v>-6629.55</v>
      </c>
      <c r="BF80" s="54">
        <v>3934.9</v>
      </c>
      <c r="BG80" s="471">
        <v>-2694.65</v>
      </c>
      <c r="BH80" s="471">
        <v>107320.29</v>
      </c>
      <c r="BI80" s="54">
        <v>3359.7999999999997</v>
      </c>
      <c r="BJ80" s="471">
        <v>110680.09</v>
      </c>
    </row>
    <row r="81" spans="1:62" x14ac:dyDescent="0.2">
      <c r="A81" s="52" t="s">
        <v>230</v>
      </c>
      <c r="B81" s="52">
        <v>13020</v>
      </c>
      <c r="C81" s="52">
        <v>83847.009999999995</v>
      </c>
      <c r="D81" s="54">
        <v>855.63999999999896</v>
      </c>
      <c r="E81" s="52">
        <v>84702.65</v>
      </c>
      <c r="F81" s="52">
        <v>16838.759999999998</v>
      </c>
      <c r="G81" s="54">
        <v>2333.17</v>
      </c>
      <c r="H81" s="52">
        <v>19171.93</v>
      </c>
      <c r="I81" s="52">
        <v>48050.19</v>
      </c>
      <c r="J81" s="54">
        <v>2281.69</v>
      </c>
      <c r="K81" s="52">
        <v>50331.880000000005</v>
      </c>
      <c r="L81" s="52">
        <v>23180.25</v>
      </c>
      <c r="M81" s="54">
        <v>3789.13</v>
      </c>
      <c r="N81" s="52">
        <v>26969.38</v>
      </c>
      <c r="O81" s="52">
        <v>49734.18</v>
      </c>
      <c r="P81" s="54">
        <v>3422.7</v>
      </c>
      <c r="Q81" s="52">
        <v>53156.88</v>
      </c>
      <c r="R81" s="52">
        <v>14662.12</v>
      </c>
      <c r="S81" s="54">
        <v>4333.6400000000003</v>
      </c>
      <c r="T81" s="52">
        <v>18995.760000000002</v>
      </c>
      <c r="U81" s="86">
        <v>25760.62</v>
      </c>
      <c r="V81" s="470">
        <v>2451.48</v>
      </c>
      <c r="W81" s="52">
        <v>28212.1</v>
      </c>
      <c r="X81" s="52">
        <v>33137.919999999998</v>
      </c>
      <c r="Y81" s="54">
        <v>4653.45</v>
      </c>
      <c r="Z81" s="52">
        <v>37791.369999999995</v>
      </c>
      <c r="AA81" s="54">
        <v>63794.52</v>
      </c>
      <c r="AB81" s="54">
        <v>4578.41</v>
      </c>
      <c r="AC81" s="52">
        <v>68372.929999999993</v>
      </c>
      <c r="AD81" s="52">
        <v>51467.76</v>
      </c>
      <c r="AE81" s="54">
        <v>0</v>
      </c>
      <c r="AF81" s="52">
        <v>51467.76</v>
      </c>
      <c r="AG81" s="52">
        <v>-12147.84</v>
      </c>
      <c r="AH81" s="54">
        <v>0</v>
      </c>
      <c r="AI81" s="52">
        <v>-12147.84</v>
      </c>
      <c r="AJ81" s="52">
        <v>-66923.649999999994</v>
      </c>
      <c r="AK81" s="54">
        <v>0</v>
      </c>
      <c r="AL81" s="52">
        <v>-66923.649999999994</v>
      </c>
      <c r="AM81" s="52">
        <v>331401.83999999997</v>
      </c>
      <c r="AN81" s="52">
        <v>28699.309999999998</v>
      </c>
      <c r="AO81" s="52">
        <v>360101.15</v>
      </c>
      <c r="AP81" s="52">
        <v>-398.85</v>
      </c>
      <c r="AQ81" s="54">
        <v>0</v>
      </c>
      <c r="AR81" s="52">
        <v>-398.85</v>
      </c>
      <c r="AS81" s="52">
        <v>-61.48</v>
      </c>
      <c r="AT81" s="54">
        <v>0</v>
      </c>
      <c r="AU81" s="52">
        <v>-61.48</v>
      </c>
      <c r="AV81" s="52">
        <v>-2917.17</v>
      </c>
      <c r="AW81" s="54">
        <v>0</v>
      </c>
      <c r="AX81" s="52">
        <v>-2917.17</v>
      </c>
      <c r="AY81" s="52">
        <v>0</v>
      </c>
      <c r="AZ81" s="54">
        <v>0</v>
      </c>
      <c r="BA81" s="52">
        <v>0</v>
      </c>
      <c r="BB81" s="52">
        <v>0</v>
      </c>
      <c r="BC81" s="54">
        <v>0</v>
      </c>
      <c r="BD81" s="52">
        <v>0</v>
      </c>
      <c r="BE81" s="52">
        <v>-137.88</v>
      </c>
      <c r="BF81" s="54">
        <v>0</v>
      </c>
      <c r="BG81" s="471">
        <v>-137.88</v>
      </c>
      <c r="BH81" s="471">
        <v>0</v>
      </c>
      <c r="BI81" s="54">
        <v>0</v>
      </c>
      <c r="BJ81" s="471">
        <v>0</v>
      </c>
    </row>
    <row r="82" spans="1:62" x14ac:dyDescent="0.2">
      <c r="A82" s="52" t="s">
        <v>231</v>
      </c>
      <c r="B82" s="52">
        <v>13019</v>
      </c>
      <c r="C82" s="52">
        <v>-6330.1</v>
      </c>
      <c r="D82" s="54">
        <v>7845.24</v>
      </c>
      <c r="E82" s="52">
        <v>1515.1399999999994</v>
      </c>
      <c r="F82" s="52">
        <v>-18251.830000000002</v>
      </c>
      <c r="G82" s="54">
        <v>13779.7</v>
      </c>
      <c r="H82" s="52">
        <v>-4472.130000000001</v>
      </c>
      <c r="I82" s="52">
        <v>269133.42</v>
      </c>
      <c r="J82" s="54">
        <v>15466.9</v>
      </c>
      <c r="K82" s="52">
        <v>284600.32000000001</v>
      </c>
      <c r="L82" s="52">
        <v>56043.72</v>
      </c>
      <c r="M82" s="54">
        <v>11130.43</v>
      </c>
      <c r="N82" s="52">
        <v>67174.149999999994</v>
      </c>
      <c r="O82" s="52">
        <v>74608.92</v>
      </c>
      <c r="P82" s="54">
        <v>21971.24</v>
      </c>
      <c r="Q82" s="52">
        <v>96580.160000000003</v>
      </c>
      <c r="R82" s="52">
        <v>71211.61</v>
      </c>
      <c r="S82" s="54">
        <v>14051.439999999999</v>
      </c>
      <c r="T82" s="52">
        <v>85263.05</v>
      </c>
      <c r="U82" s="86">
        <v>181249.7</v>
      </c>
      <c r="V82" s="470">
        <v>9819.08</v>
      </c>
      <c r="W82" s="52">
        <v>191068.78</v>
      </c>
      <c r="X82" s="52">
        <v>83006.009999999995</v>
      </c>
      <c r="Y82" s="54">
        <v>12790.59</v>
      </c>
      <c r="Z82" s="52">
        <v>95796.599999999991</v>
      </c>
      <c r="AA82" s="54">
        <v>-8198.4</v>
      </c>
      <c r="AB82" s="54">
        <v>0</v>
      </c>
      <c r="AC82" s="52">
        <v>-8198.4</v>
      </c>
      <c r="AD82" s="52">
        <v>-16963.310000000001</v>
      </c>
      <c r="AE82" s="54">
        <v>0</v>
      </c>
      <c r="AF82" s="52">
        <v>-16963.310000000001</v>
      </c>
      <c r="AG82" s="52">
        <v>-12399.23</v>
      </c>
      <c r="AH82" s="54">
        <v>0</v>
      </c>
      <c r="AI82" s="52">
        <v>-12399.23</v>
      </c>
      <c r="AJ82" s="52">
        <v>-11478.12</v>
      </c>
      <c r="AK82" s="54">
        <v>0</v>
      </c>
      <c r="AL82" s="52">
        <v>-11478.12</v>
      </c>
      <c r="AM82" s="52">
        <v>661632.3899999999</v>
      </c>
      <c r="AN82" s="52">
        <v>106854.62000000001</v>
      </c>
      <c r="AO82" s="52">
        <v>768487.01</v>
      </c>
      <c r="AP82" s="52">
        <v>-416.63</v>
      </c>
      <c r="AQ82" s="54">
        <v>0</v>
      </c>
      <c r="AR82" s="52">
        <v>-416.63</v>
      </c>
      <c r="AS82" s="52">
        <v>-376.35</v>
      </c>
      <c r="AT82" s="54">
        <v>0</v>
      </c>
      <c r="AU82" s="52">
        <v>-376.35</v>
      </c>
      <c r="AV82" s="52">
        <v>-2155.6799999999998</v>
      </c>
      <c r="AW82" s="54">
        <v>0</v>
      </c>
      <c r="AX82" s="52">
        <v>-2155.6799999999998</v>
      </c>
      <c r="AY82" s="52">
        <v>-707.34</v>
      </c>
      <c r="AZ82" s="54">
        <v>0</v>
      </c>
      <c r="BA82" s="52">
        <v>-707.34</v>
      </c>
      <c r="BB82" s="52">
        <v>-213.27</v>
      </c>
      <c r="BC82" s="54">
        <v>0</v>
      </c>
      <c r="BD82" s="52">
        <v>-213.27</v>
      </c>
      <c r="BE82" s="52">
        <v>-257.52</v>
      </c>
      <c r="BF82" s="54">
        <v>0</v>
      </c>
      <c r="BG82" s="471">
        <v>-257.52</v>
      </c>
      <c r="BH82" s="471">
        <v>-390.72</v>
      </c>
      <c r="BI82" s="54">
        <v>0</v>
      </c>
      <c r="BJ82" s="471">
        <v>-390.72</v>
      </c>
    </row>
    <row r="83" spans="1:62" x14ac:dyDescent="0.2">
      <c r="A83" s="52" t="s">
        <v>232</v>
      </c>
      <c r="B83" s="52">
        <v>13047</v>
      </c>
      <c r="C83" s="52">
        <v>-2034.54</v>
      </c>
      <c r="D83" s="54">
        <v>1897.05</v>
      </c>
      <c r="E83" s="52">
        <v>-137.49</v>
      </c>
      <c r="F83" s="52">
        <v>-4154.1000000000004</v>
      </c>
      <c r="G83" s="54">
        <v>2698.8599999999997</v>
      </c>
      <c r="H83" s="52">
        <v>-1455.2400000000007</v>
      </c>
      <c r="I83" s="52">
        <v>13361.3</v>
      </c>
      <c r="J83" s="54">
        <v>2320.39</v>
      </c>
      <c r="K83" s="52">
        <v>15681.689999999999</v>
      </c>
      <c r="L83" s="52">
        <v>5057.8599999999997</v>
      </c>
      <c r="M83" s="54">
        <v>2807.18</v>
      </c>
      <c r="N83" s="52">
        <v>7865.0399999999991</v>
      </c>
      <c r="O83" s="52">
        <v>34311.17</v>
      </c>
      <c r="P83" s="54">
        <v>2324.2199999999998</v>
      </c>
      <c r="Q83" s="52">
        <v>36635.39</v>
      </c>
      <c r="R83" s="52">
        <v>19313.82</v>
      </c>
      <c r="S83" s="54">
        <v>3797.85</v>
      </c>
      <c r="T83" s="52">
        <v>23111.67</v>
      </c>
      <c r="U83" s="86">
        <v>65489.25</v>
      </c>
      <c r="V83" s="470">
        <v>2792.32</v>
      </c>
      <c r="W83" s="52">
        <v>68281.570000000007</v>
      </c>
      <c r="X83" s="52">
        <v>5859.38</v>
      </c>
      <c r="Y83" s="54">
        <v>3395.32</v>
      </c>
      <c r="Z83" s="52">
        <v>9254.7000000000007</v>
      </c>
      <c r="AA83" s="54">
        <v>42001.42</v>
      </c>
      <c r="AB83" s="54">
        <v>2982.45</v>
      </c>
      <c r="AC83" s="52">
        <v>44983.869999999995</v>
      </c>
      <c r="AD83" s="52">
        <v>137.37</v>
      </c>
      <c r="AE83" s="54">
        <v>0</v>
      </c>
      <c r="AF83" s="52">
        <v>137.37</v>
      </c>
      <c r="AG83" s="52">
        <v>-3020.34</v>
      </c>
      <c r="AH83" s="54">
        <v>0</v>
      </c>
      <c r="AI83" s="52">
        <v>-3020.34</v>
      </c>
      <c r="AJ83" s="52">
        <v>-2786.19</v>
      </c>
      <c r="AK83" s="54">
        <v>0</v>
      </c>
      <c r="AL83" s="52">
        <v>-2786.19</v>
      </c>
      <c r="AM83" s="52">
        <v>173536.4</v>
      </c>
      <c r="AN83" s="52">
        <v>25015.64</v>
      </c>
      <c r="AO83" s="52">
        <v>198552.04</v>
      </c>
      <c r="AP83" s="52">
        <v>-31.08</v>
      </c>
      <c r="AQ83" s="54">
        <v>0</v>
      </c>
      <c r="AR83" s="52">
        <v>-31.08</v>
      </c>
      <c r="AS83" s="52">
        <v>-19.78</v>
      </c>
      <c r="AT83" s="54">
        <v>0</v>
      </c>
      <c r="AU83" s="52">
        <v>-19.78</v>
      </c>
      <c r="AV83" s="52">
        <v>-20.72</v>
      </c>
      <c r="AW83" s="54">
        <v>0</v>
      </c>
      <c r="AX83" s="52">
        <v>-20.72</v>
      </c>
      <c r="AY83" s="52">
        <v>-766.44</v>
      </c>
      <c r="AZ83" s="54">
        <v>0</v>
      </c>
      <c r="BA83" s="52">
        <v>-766.44</v>
      </c>
      <c r="BB83" s="52">
        <v>0</v>
      </c>
      <c r="BC83" s="54">
        <v>0</v>
      </c>
      <c r="BD83" s="52">
        <v>0</v>
      </c>
      <c r="BE83" s="52">
        <v>0</v>
      </c>
      <c r="BF83" s="54">
        <v>0</v>
      </c>
      <c r="BG83" s="471">
        <v>0</v>
      </c>
      <c r="BH83" s="471">
        <v>0</v>
      </c>
      <c r="BI83" s="54">
        <v>0</v>
      </c>
      <c r="BJ83" s="471">
        <v>0</v>
      </c>
    </row>
    <row r="84" spans="1:62" x14ac:dyDescent="0.2">
      <c r="A84" s="52" t="s">
        <v>381</v>
      </c>
      <c r="B84" s="52">
        <v>13159</v>
      </c>
      <c r="D84" s="54">
        <v>0</v>
      </c>
      <c r="G84" s="54">
        <v>0</v>
      </c>
      <c r="I84" s="52">
        <v>0</v>
      </c>
      <c r="J84" s="54">
        <v>0</v>
      </c>
      <c r="L84" s="52">
        <v>0</v>
      </c>
      <c r="M84" s="54">
        <v>0</v>
      </c>
      <c r="O84" s="52">
        <v>0</v>
      </c>
      <c r="P84" s="54">
        <v>0</v>
      </c>
      <c r="R84" s="52">
        <v>0</v>
      </c>
      <c r="S84" s="54">
        <v>0</v>
      </c>
      <c r="U84" s="86">
        <v>0</v>
      </c>
      <c r="V84" s="470">
        <v>0</v>
      </c>
      <c r="Y84" s="54">
        <v>0</v>
      </c>
      <c r="AA84" s="54"/>
      <c r="AB84" s="54">
        <v>0</v>
      </c>
      <c r="AE84" s="54">
        <v>0</v>
      </c>
      <c r="AH84" s="54">
        <v>0</v>
      </c>
      <c r="AK84" s="54">
        <v>0</v>
      </c>
      <c r="AQ84" s="54">
        <v>0</v>
      </c>
      <c r="AT84" s="54">
        <v>0</v>
      </c>
      <c r="AV84" s="52">
        <v>46620</v>
      </c>
      <c r="AW84" s="54">
        <v>0</v>
      </c>
      <c r="AX84" s="52">
        <v>46620</v>
      </c>
      <c r="AY84" s="52">
        <v>113839.75</v>
      </c>
      <c r="AZ84" s="54">
        <v>4068.2299999999996</v>
      </c>
      <c r="BB84" s="52">
        <v>75263.960000000006</v>
      </c>
      <c r="BC84" s="54">
        <v>4817.67</v>
      </c>
      <c r="BD84" s="52">
        <v>80081.63</v>
      </c>
      <c r="BE84" s="52">
        <v>27100.52</v>
      </c>
      <c r="BF84" s="54">
        <v>2145.11</v>
      </c>
      <c r="BG84" s="471">
        <v>29245.63</v>
      </c>
      <c r="BH84" s="471">
        <v>43261.89</v>
      </c>
      <c r="BI84" s="54">
        <v>2407.8000000000002</v>
      </c>
      <c r="BJ84" s="471">
        <v>45669.69</v>
      </c>
    </row>
    <row r="85" spans="1:62" x14ac:dyDescent="0.2">
      <c r="A85" s="52" t="s">
        <v>233</v>
      </c>
      <c r="B85" s="52">
        <v>13018</v>
      </c>
      <c r="C85" s="52">
        <v>0</v>
      </c>
      <c r="D85" s="54">
        <v>248.09</v>
      </c>
      <c r="E85" s="52">
        <v>248.09</v>
      </c>
      <c r="F85" s="52">
        <v>-95.75</v>
      </c>
      <c r="G85" s="54">
        <v>661.64</v>
      </c>
      <c r="H85" s="52">
        <v>565.89</v>
      </c>
      <c r="I85" s="52">
        <v>-16653.759999999998</v>
      </c>
      <c r="J85" s="54">
        <v>0</v>
      </c>
      <c r="K85" s="52">
        <v>-16653.759999999998</v>
      </c>
      <c r="L85" s="52">
        <v>-43.41</v>
      </c>
      <c r="M85" s="54">
        <v>0</v>
      </c>
      <c r="N85" s="52">
        <v>-43.41</v>
      </c>
      <c r="O85" s="52">
        <v>-26.88</v>
      </c>
      <c r="P85" s="54">
        <v>0</v>
      </c>
      <c r="Q85" s="52">
        <v>-26.88</v>
      </c>
      <c r="R85" s="52">
        <v>-214.72</v>
      </c>
      <c r="S85" s="54">
        <v>0</v>
      </c>
      <c r="T85" s="52">
        <v>-214.72</v>
      </c>
      <c r="U85" s="86">
        <v>-491.11</v>
      </c>
      <c r="V85" s="470">
        <v>0</v>
      </c>
      <c r="W85" s="52">
        <v>-491.11</v>
      </c>
      <c r="X85" s="52">
        <v>-4808.4799999999996</v>
      </c>
      <c r="Y85" s="54">
        <v>0</v>
      </c>
      <c r="Z85" s="52">
        <v>-4808.4799999999996</v>
      </c>
      <c r="AA85" s="54">
        <v>-2045.07</v>
      </c>
      <c r="AB85" s="54">
        <v>0</v>
      </c>
      <c r="AC85" s="52">
        <v>-2045.07</v>
      </c>
      <c r="AD85" s="52">
        <v>-1466</v>
      </c>
      <c r="AE85" s="54">
        <v>0</v>
      </c>
      <c r="AF85" s="52">
        <v>-1466</v>
      </c>
      <c r="AG85" s="52">
        <v>-7.33</v>
      </c>
      <c r="AH85" s="54">
        <v>0</v>
      </c>
      <c r="AI85" s="52">
        <v>-7.33</v>
      </c>
      <c r="AJ85" s="52">
        <v>0</v>
      </c>
      <c r="AK85" s="54">
        <v>0</v>
      </c>
      <c r="AL85" s="52">
        <v>0</v>
      </c>
      <c r="AM85" s="52">
        <v>-25852.510000000002</v>
      </c>
      <c r="AN85" s="52">
        <v>909.73</v>
      </c>
      <c r="AO85" s="52">
        <v>-24942.78</v>
      </c>
      <c r="AP85" s="52">
        <v>0</v>
      </c>
      <c r="AQ85" s="54">
        <v>0</v>
      </c>
      <c r="AR85" s="52">
        <v>0</v>
      </c>
      <c r="AS85" s="52">
        <v>0</v>
      </c>
      <c r="AT85" s="54">
        <v>0</v>
      </c>
      <c r="AU85" s="52">
        <v>0</v>
      </c>
      <c r="AV85" s="52">
        <v>0</v>
      </c>
      <c r="AW85" s="54">
        <v>0</v>
      </c>
      <c r="AX85" s="52">
        <v>0</v>
      </c>
      <c r="AY85" s="52">
        <v>0</v>
      </c>
      <c r="AZ85" s="54">
        <v>0</v>
      </c>
      <c r="BA85" s="52">
        <v>0</v>
      </c>
      <c r="BB85" s="52">
        <v>0</v>
      </c>
      <c r="BC85" s="54">
        <v>0</v>
      </c>
      <c r="BD85" s="52">
        <v>0</v>
      </c>
      <c r="BE85" s="52">
        <v>0</v>
      </c>
      <c r="BF85" s="54">
        <v>0</v>
      </c>
      <c r="BG85" s="471">
        <v>0</v>
      </c>
      <c r="BH85" s="471">
        <v>0</v>
      </c>
      <c r="BI85" s="54">
        <v>0</v>
      </c>
      <c r="BJ85" s="471">
        <v>0</v>
      </c>
    </row>
    <row r="86" spans="1:62" x14ac:dyDescent="0.2">
      <c r="A86" s="52" t="s">
        <v>234</v>
      </c>
      <c r="B86" s="52">
        <v>13001</v>
      </c>
      <c r="C86" s="52">
        <v>0</v>
      </c>
      <c r="D86" s="54">
        <v>0</v>
      </c>
      <c r="E86" s="52">
        <v>0</v>
      </c>
      <c r="F86" s="52">
        <v>0</v>
      </c>
      <c r="G86" s="54">
        <v>0</v>
      </c>
      <c r="H86" s="52">
        <v>0</v>
      </c>
      <c r="I86" s="52">
        <v>0</v>
      </c>
      <c r="J86" s="54">
        <v>0</v>
      </c>
      <c r="K86" s="52">
        <v>0</v>
      </c>
      <c r="L86" s="52">
        <v>0</v>
      </c>
      <c r="M86" s="54">
        <v>0</v>
      </c>
      <c r="N86" s="52">
        <v>0</v>
      </c>
      <c r="P86" s="54">
        <v>0</v>
      </c>
      <c r="Q86" s="52">
        <v>0</v>
      </c>
      <c r="S86" s="54">
        <v>0</v>
      </c>
      <c r="T86" s="52">
        <v>0</v>
      </c>
      <c r="U86" s="86"/>
      <c r="V86" s="470">
        <v>0</v>
      </c>
      <c r="W86" s="52">
        <v>0</v>
      </c>
      <c r="Y86" s="54">
        <v>0</v>
      </c>
      <c r="Z86" s="52">
        <v>0</v>
      </c>
      <c r="AA86" s="54"/>
      <c r="AB86" s="54">
        <v>0</v>
      </c>
      <c r="AC86" s="52">
        <v>0</v>
      </c>
      <c r="AE86" s="54">
        <v>0</v>
      </c>
      <c r="AF86" s="52">
        <v>0</v>
      </c>
      <c r="AH86" s="54">
        <v>0</v>
      </c>
      <c r="AI86" s="52">
        <v>0</v>
      </c>
      <c r="AK86" s="54">
        <v>0</v>
      </c>
      <c r="AL86" s="52">
        <v>0</v>
      </c>
      <c r="AM86" s="52">
        <v>0</v>
      </c>
      <c r="AN86" s="52">
        <v>0</v>
      </c>
      <c r="AO86" s="52">
        <v>0</v>
      </c>
      <c r="AP86" s="52">
        <v>-60.55</v>
      </c>
      <c r="AQ86" s="54">
        <v>0</v>
      </c>
      <c r="AR86" s="52">
        <v>-60.55</v>
      </c>
      <c r="AS86" s="52">
        <v>-45.31</v>
      </c>
      <c r="AT86" s="54">
        <v>0</v>
      </c>
      <c r="AU86" s="52">
        <v>-45.31</v>
      </c>
      <c r="AV86" s="52">
        <v>-24.22</v>
      </c>
      <c r="AW86" s="54">
        <v>0</v>
      </c>
      <c r="AX86" s="52">
        <v>-24.22</v>
      </c>
      <c r="AY86" s="52">
        <v>-45.8</v>
      </c>
      <c r="AZ86" s="54">
        <v>0</v>
      </c>
      <c r="BA86" s="52">
        <v>-45.8</v>
      </c>
      <c r="BC86" s="54">
        <v>0</v>
      </c>
      <c r="BD86" s="52">
        <v>0</v>
      </c>
      <c r="BF86" s="54">
        <v>0</v>
      </c>
      <c r="BG86" s="471">
        <v>0</v>
      </c>
      <c r="BH86" s="471"/>
      <c r="BI86" s="54">
        <v>0</v>
      </c>
      <c r="BJ86" s="471">
        <v>0</v>
      </c>
    </row>
    <row r="87" spans="1:62" x14ac:dyDescent="0.2">
      <c r="A87" s="52" t="s">
        <v>235</v>
      </c>
      <c r="B87" s="52">
        <v>13000</v>
      </c>
      <c r="C87" s="52">
        <v>0</v>
      </c>
      <c r="D87" s="54">
        <v>0</v>
      </c>
      <c r="E87" s="52">
        <v>0</v>
      </c>
      <c r="F87" s="52">
        <v>0</v>
      </c>
      <c r="G87" s="54">
        <v>0</v>
      </c>
      <c r="H87" s="52">
        <v>0</v>
      </c>
      <c r="I87" s="52">
        <v>0</v>
      </c>
      <c r="J87" s="54">
        <v>0</v>
      </c>
      <c r="K87" s="52">
        <v>0</v>
      </c>
      <c r="L87" s="52">
        <v>0</v>
      </c>
      <c r="M87" s="54">
        <v>0</v>
      </c>
      <c r="N87" s="52">
        <v>0</v>
      </c>
      <c r="P87" s="54">
        <v>0</v>
      </c>
      <c r="Q87" s="52">
        <v>0</v>
      </c>
      <c r="S87" s="54">
        <v>0</v>
      </c>
      <c r="T87" s="52">
        <v>0</v>
      </c>
      <c r="U87" s="86"/>
      <c r="V87" s="470">
        <v>0</v>
      </c>
      <c r="W87" s="52">
        <v>0</v>
      </c>
      <c r="Y87" s="54">
        <v>0</v>
      </c>
      <c r="Z87" s="52">
        <v>0</v>
      </c>
      <c r="AA87" s="54"/>
      <c r="AB87" s="54">
        <v>0</v>
      </c>
      <c r="AC87" s="52">
        <v>0</v>
      </c>
      <c r="AE87" s="54">
        <v>0</v>
      </c>
      <c r="AF87" s="52">
        <v>0</v>
      </c>
      <c r="AH87" s="54">
        <v>0</v>
      </c>
      <c r="AI87" s="52">
        <v>0</v>
      </c>
      <c r="AK87" s="54">
        <v>0</v>
      </c>
      <c r="AL87" s="52">
        <v>0</v>
      </c>
      <c r="AM87" s="52">
        <v>0</v>
      </c>
      <c r="AN87" s="52">
        <v>0</v>
      </c>
      <c r="AO87" s="52">
        <v>0</v>
      </c>
      <c r="AP87" s="52">
        <v>-11.8</v>
      </c>
      <c r="AQ87" s="54">
        <v>0</v>
      </c>
      <c r="AR87" s="52">
        <v>-11.8</v>
      </c>
      <c r="AS87" s="52">
        <v>-56.78</v>
      </c>
      <c r="AT87" s="54">
        <v>0</v>
      </c>
      <c r="AU87" s="52">
        <v>-56.78</v>
      </c>
      <c r="AV87" s="52">
        <v>-24.5</v>
      </c>
      <c r="AW87" s="54">
        <v>0</v>
      </c>
      <c r="AX87" s="52">
        <v>-24.5</v>
      </c>
      <c r="AY87" s="52">
        <v>-178.04</v>
      </c>
      <c r="AZ87" s="54">
        <v>0</v>
      </c>
      <c r="BA87" s="52">
        <v>-178.04</v>
      </c>
      <c r="BC87" s="54">
        <v>0</v>
      </c>
      <c r="BD87" s="52">
        <v>0</v>
      </c>
      <c r="BF87" s="54">
        <v>0</v>
      </c>
      <c r="BG87" s="471">
        <v>0</v>
      </c>
      <c r="BH87" s="471"/>
      <c r="BI87" s="54">
        <v>0</v>
      </c>
      <c r="BJ87" s="471">
        <v>0</v>
      </c>
    </row>
    <row r="88" spans="1:62" x14ac:dyDescent="0.2">
      <c r="A88" s="52" t="s">
        <v>236</v>
      </c>
      <c r="B88" s="52">
        <v>13081</v>
      </c>
      <c r="C88" s="52">
        <v>6382.83</v>
      </c>
      <c r="D88" s="54">
        <v>1048.07</v>
      </c>
      <c r="E88" s="52">
        <v>7430.9</v>
      </c>
      <c r="F88" s="52">
        <v>5361.23</v>
      </c>
      <c r="G88" s="54">
        <v>1619.06</v>
      </c>
      <c r="H88" s="52">
        <v>6980.2899999999991</v>
      </c>
      <c r="I88" s="52">
        <v>2263.96</v>
      </c>
      <c r="J88" s="54">
        <v>2517.42</v>
      </c>
      <c r="K88" s="52">
        <v>4781.38</v>
      </c>
      <c r="L88" s="52">
        <v>-16276.3</v>
      </c>
      <c r="M88" s="54">
        <v>1847.89</v>
      </c>
      <c r="N88" s="52">
        <v>-14428.41</v>
      </c>
      <c r="O88" s="52">
        <v>11950.62</v>
      </c>
      <c r="P88" s="54">
        <v>428.5</v>
      </c>
      <c r="Q88" s="52">
        <v>12379.12</v>
      </c>
      <c r="R88" s="52">
        <v>2256.0300000000002</v>
      </c>
      <c r="S88" s="54">
        <v>1192.93</v>
      </c>
      <c r="T88" s="52">
        <v>3448.96</v>
      </c>
      <c r="U88" s="86">
        <v>-906.61</v>
      </c>
      <c r="V88" s="470">
        <v>298.23</v>
      </c>
      <c r="W88" s="52">
        <v>-608.38</v>
      </c>
      <c r="X88" s="52">
        <v>0</v>
      </c>
      <c r="Y88" s="54">
        <v>410.11</v>
      </c>
      <c r="Z88" s="52">
        <v>410.11</v>
      </c>
      <c r="AA88" s="54">
        <v>17906.04</v>
      </c>
      <c r="AB88" s="54">
        <v>1285.67</v>
      </c>
      <c r="AC88" s="52">
        <v>19191.71</v>
      </c>
      <c r="AD88" s="52">
        <v>-6300.96</v>
      </c>
      <c r="AE88" s="54">
        <v>540.96</v>
      </c>
      <c r="AF88" s="52">
        <v>-5760</v>
      </c>
      <c r="AG88" s="52">
        <v>10091.65</v>
      </c>
      <c r="AH88" s="54">
        <v>1345.76</v>
      </c>
      <c r="AI88" s="52">
        <v>11437.41</v>
      </c>
      <c r="AJ88" s="52">
        <v>5243.07</v>
      </c>
      <c r="AK88" s="54">
        <v>-341.14</v>
      </c>
      <c r="AL88" s="52">
        <v>4901.9299999999994</v>
      </c>
      <c r="AM88" s="52">
        <v>37971.560000000005</v>
      </c>
      <c r="AN88" s="52">
        <v>12193.460000000001</v>
      </c>
      <c r="AO88" s="52">
        <v>50165.02</v>
      </c>
      <c r="AP88" s="52">
        <v>4116.8100000000004</v>
      </c>
      <c r="AQ88" s="54">
        <v>226.94</v>
      </c>
      <c r="AR88" s="52">
        <v>4343.75</v>
      </c>
      <c r="AS88" s="52">
        <v>6008.94</v>
      </c>
      <c r="AT88" s="54">
        <v>495.88</v>
      </c>
      <c r="AU88" s="52">
        <v>6504.82</v>
      </c>
      <c r="AV88" s="52">
        <v>6122.45</v>
      </c>
      <c r="AW88" s="54">
        <v>363.9</v>
      </c>
      <c r="AX88" s="52">
        <v>6486.3499999999995</v>
      </c>
      <c r="AY88" s="52">
        <v>2337.17</v>
      </c>
      <c r="AZ88" s="54">
        <v>271.88</v>
      </c>
      <c r="BA88" s="52">
        <v>2609.0500000000002</v>
      </c>
      <c r="BB88" s="52">
        <v>3527.7</v>
      </c>
      <c r="BC88" s="54">
        <v>324.27</v>
      </c>
      <c r="BD88" s="52">
        <v>3851.97</v>
      </c>
      <c r="BE88" s="52">
        <v>11584.61</v>
      </c>
      <c r="BF88" s="54">
        <v>922.52</v>
      </c>
      <c r="BG88" s="471">
        <v>12507.130000000001</v>
      </c>
      <c r="BH88" s="471">
        <v>6143.19</v>
      </c>
      <c r="BI88" s="54">
        <v>173.22</v>
      </c>
      <c r="BJ88" s="471">
        <v>6316.41</v>
      </c>
    </row>
    <row r="89" spans="1:62" x14ac:dyDescent="0.2">
      <c r="A89" s="52" t="s">
        <v>237</v>
      </c>
      <c r="B89" s="52">
        <v>13117</v>
      </c>
      <c r="C89" s="52">
        <v>-148.32</v>
      </c>
      <c r="D89" s="54">
        <v>126.33</v>
      </c>
      <c r="E89" s="52">
        <v>-21.989999999999995</v>
      </c>
      <c r="F89" s="52">
        <v>1601.58</v>
      </c>
      <c r="G89" s="54">
        <v>467.16</v>
      </c>
      <c r="H89" s="52">
        <v>2068.7399999999998</v>
      </c>
      <c r="I89" s="52">
        <v>5074.8</v>
      </c>
      <c r="J89" s="54">
        <v>280.06</v>
      </c>
      <c r="K89" s="52">
        <v>5354.8600000000006</v>
      </c>
      <c r="L89" s="52">
        <v>-709.23</v>
      </c>
      <c r="M89" s="54">
        <v>0</v>
      </c>
      <c r="N89" s="52">
        <v>-709.23</v>
      </c>
      <c r="O89" s="52">
        <v>-467.53</v>
      </c>
      <c r="P89" s="54">
        <v>0</v>
      </c>
      <c r="Q89" s="52">
        <v>-467.53</v>
      </c>
      <c r="R89" s="52">
        <v>-697.91</v>
      </c>
      <c r="S89" s="54">
        <v>271.32</v>
      </c>
      <c r="T89" s="52">
        <v>-426.59</v>
      </c>
      <c r="U89" s="86">
        <v>-395.61</v>
      </c>
      <c r="V89" s="470">
        <v>0</v>
      </c>
      <c r="W89" s="52">
        <v>-395.61</v>
      </c>
      <c r="X89" s="52">
        <v>-247.15</v>
      </c>
      <c r="Y89" s="54">
        <v>0</v>
      </c>
      <c r="Z89" s="52">
        <v>-247.15</v>
      </c>
      <c r="AA89" s="54">
        <v>-142.09</v>
      </c>
      <c r="AB89" s="54">
        <v>0</v>
      </c>
      <c r="AC89" s="52">
        <v>-142.09</v>
      </c>
      <c r="AD89" s="52">
        <v>-306.14999999999998</v>
      </c>
      <c r="AE89" s="54">
        <v>0</v>
      </c>
      <c r="AF89" s="52">
        <v>-306.14999999999998</v>
      </c>
      <c r="AG89" s="52">
        <v>-462.66</v>
      </c>
      <c r="AH89" s="54">
        <v>0</v>
      </c>
      <c r="AI89" s="52">
        <v>-462.66</v>
      </c>
      <c r="AJ89" s="52">
        <v>-64.02</v>
      </c>
      <c r="AK89" s="54">
        <v>0</v>
      </c>
      <c r="AL89" s="52">
        <v>-64.02</v>
      </c>
      <c r="AM89" s="52">
        <v>3035.7100000000005</v>
      </c>
      <c r="AN89" s="52">
        <v>1144.8699999999999</v>
      </c>
      <c r="AO89" s="52">
        <v>4180.5800000000017</v>
      </c>
      <c r="AP89" s="52">
        <v>-607.94000000000005</v>
      </c>
      <c r="AQ89" s="54">
        <v>0</v>
      </c>
      <c r="AR89" s="52">
        <v>-607.94000000000005</v>
      </c>
      <c r="AS89" s="52">
        <v>-355.08</v>
      </c>
      <c r="AT89" s="54">
        <v>0</v>
      </c>
      <c r="AU89" s="52">
        <v>-355.08</v>
      </c>
      <c r="AV89" s="52">
        <v>-199.03</v>
      </c>
      <c r="AW89" s="54">
        <v>0</v>
      </c>
      <c r="AX89" s="52">
        <v>-199.03</v>
      </c>
      <c r="AY89" s="52">
        <v>-43.04</v>
      </c>
      <c r="AZ89" s="54">
        <v>0</v>
      </c>
      <c r="BA89" s="52">
        <v>-43.04</v>
      </c>
      <c r="BB89" s="52">
        <v>-171.84</v>
      </c>
      <c r="BC89" s="54">
        <v>0</v>
      </c>
      <c r="BD89" s="52">
        <v>-171.84</v>
      </c>
      <c r="BE89" s="52">
        <v>-1363.98</v>
      </c>
      <c r="BF89" s="54">
        <v>0</v>
      </c>
      <c r="BG89" s="471">
        <v>-1363.98</v>
      </c>
      <c r="BH89" s="471">
        <v>-214.8</v>
      </c>
      <c r="BI89" s="54">
        <v>0</v>
      </c>
      <c r="BJ89" s="471">
        <v>-214.8</v>
      </c>
    </row>
    <row r="90" spans="1:62" x14ac:dyDescent="0.2">
      <c r="A90" s="52" t="s">
        <v>238</v>
      </c>
      <c r="B90" s="52">
        <v>13115</v>
      </c>
      <c r="C90" s="52">
        <v>-860.08</v>
      </c>
      <c r="D90" s="54">
        <v>0</v>
      </c>
      <c r="E90" s="52">
        <v>-860.08</v>
      </c>
      <c r="F90" s="52">
        <v>-1017.43</v>
      </c>
      <c r="G90" s="54">
        <v>0</v>
      </c>
      <c r="H90" s="52">
        <v>-1017.43</v>
      </c>
      <c r="I90" s="52">
        <v>-2110.83</v>
      </c>
      <c r="J90" s="54">
        <v>0</v>
      </c>
      <c r="K90" s="52">
        <v>-2110.83</v>
      </c>
      <c r="L90" s="52">
        <v>-469.54</v>
      </c>
      <c r="M90" s="54">
        <v>0</v>
      </c>
      <c r="N90" s="52">
        <v>-469.54</v>
      </c>
      <c r="O90" s="52">
        <v>-153.5</v>
      </c>
      <c r="P90" s="54">
        <v>0</v>
      </c>
      <c r="Q90" s="52">
        <v>-153.5</v>
      </c>
      <c r="R90" s="52">
        <v>-24.41</v>
      </c>
      <c r="S90" s="54">
        <v>0</v>
      </c>
      <c r="T90" s="52">
        <v>-24.41</v>
      </c>
      <c r="U90" s="86">
        <v>-90.3</v>
      </c>
      <c r="V90" s="470">
        <v>0</v>
      </c>
      <c r="W90" s="52">
        <v>-90.3</v>
      </c>
      <c r="X90" s="52">
        <v>-300.68</v>
      </c>
      <c r="Y90" s="54">
        <v>0</v>
      </c>
      <c r="Z90" s="52">
        <v>-300.68</v>
      </c>
      <c r="AA90" s="54">
        <v>-179.83</v>
      </c>
      <c r="AB90" s="54">
        <v>0</v>
      </c>
      <c r="AC90" s="52">
        <v>-179.83</v>
      </c>
      <c r="AD90" s="52">
        <v>-142.52000000000001</v>
      </c>
      <c r="AE90" s="54">
        <v>0</v>
      </c>
      <c r="AF90" s="52">
        <v>-142.52000000000001</v>
      </c>
      <c r="AG90" s="52">
        <v>-374.81</v>
      </c>
      <c r="AH90" s="54">
        <v>0</v>
      </c>
      <c r="AI90" s="52">
        <v>-374.81</v>
      </c>
      <c r="AJ90" s="52">
        <v>-78.28</v>
      </c>
      <c r="AK90" s="54">
        <v>0</v>
      </c>
      <c r="AL90" s="52">
        <v>-78.28</v>
      </c>
      <c r="AM90" s="52">
        <v>-5802.2100000000009</v>
      </c>
      <c r="AN90" s="52">
        <v>0</v>
      </c>
      <c r="AO90" s="52">
        <v>-5802.2100000000009</v>
      </c>
      <c r="AP90" s="52">
        <v>-310.94</v>
      </c>
      <c r="AQ90" s="54">
        <v>0</v>
      </c>
      <c r="AR90" s="52">
        <v>-310.94</v>
      </c>
      <c r="AS90" s="52">
        <v>-1210.9100000000001</v>
      </c>
      <c r="AT90" s="54">
        <v>0</v>
      </c>
      <c r="AU90" s="52">
        <v>-1210.9100000000001</v>
      </c>
      <c r="AV90" s="52">
        <v>-229.55</v>
      </c>
      <c r="AW90" s="54">
        <v>0</v>
      </c>
      <c r="AX90" s="52">
        <v>-229.55</v>
      </c>
      <c r="AY90" s="52">
        <v>-71.17</v>
      </c>
      <c r="AZ90" s="54">
        <v>0</v>
      </c>
      <c r="BA90" s="52">
        <v>-71.17</v>
      </c>
      <c r="BB90" s="52">
        <v>0</v>
      </c>
      <c r="BC90" s="54">
        <v>0</v>
      </c>
      <c r="BD90" s="52">
        <v>0</v>
      </c>
      <c r="BE90" s="52">
        <v>0</v>
      </c>
      <c r="BF90" s="54">
        <v>0</v>
      </c>
      <c r="BG90" s="471">
        <v>0</v>
      </c>
      <c r="BH90" s="471">
        <v>-6.47</v>
      </c>
      <c r="BI90" s="54">
        <v>0</v>
      </c>
      <c r="BJ90" s="471">
        <v>-6.47</v>
      </c>
    </row>
    <row r="91" spans="1:62" x14ac:dyDescent="0.2">
      <c r="A91" s="52" t="s">
        <v>239</v>
      </c>
      <c r="B91" s="52">
        <v>13141</v>
      </c>
      <c r="C91" s="52">
        <v>43660</v>
      </c>
      <c r="D91" s="54">
        <v>0</v>
      </c>
      <c r="E91" s="52">
        <v>43660</v>
      </c>
      <c r="F91" s="52">
        <v>61092.5</v>
      </c>
      <c r="G91" s="54">
        <v>930.96</v>
      </c>
      <c r="H91" s="52">
        <v>62023.46</v>
      </c>
      <c r="I91" s="52">
        <v>-1282.6500000000001</v>
      </c>
      <c r="J91" s="54">
        <v>508.01</v>
      </c>
      <c r="K91" s="52">
        <v>-774.6400000000001</v>
      </c>
      <c r="L91" s="52">
        <v>3054.8</v>
      </c>
      <c r="M91" s="54">
        <v>348.63</v>
      </c>
      <c r="N91" s="52">
        <v>3403.4300000000003</v>
      </c>
      <c r="O91" s="52">
        <v>-1178.9000000000001</v>
      </c>
      <c r="P91" s="54">
        <v>598.91</v>
      </c>
      <c r="Q91" s="52">
        <v>-579.99000000000012</v>
      </c>
      <c r="R91" s="52">
        <v>609.80999999999995</v>
      </c>
      <c r="S91" s="54">
        <v>990.08</v>
      </c>
      <c r="T91" s="52">
        <v>1599.8899999999999</v>
      </c>
      <c r="U91" s="86">
        <v>12873.37</v>
      </c>
      <c r="V91" s="470">
        <v>391.17</v>
      </c>
      <c r="W91" s="52">
        <v>13264.54</v>
      </c>
      <c r="X91" s="52">
        <v>12889.02</v>
      </c>
      <c r="Y91" s="54">
        <v>627.64</v>
      </c>
      <c r="Z91" s="52">
        <v>13516.66</v>
      </c>
      <c r="AA91" s="54">
        <v>31044.37</v>
      </c>
      <c r="AB91" s="54">
        <v>702.84</v>
      </c>
      <c r="AC91" s="52">
        <v>31747.21</v>
      </c>
      <c r="AD91" s="52">
        <v>12374.17</v>
      </c>
      <c r="AE91" s="54">
        <v>663.06</v>
      </c>
      <c r="AF91" s="52">
        <v>13037.23</v>
      </c>
      <c r="AG91" s="52">
        <v>15553.59</v>
      </c>
      <c r="AH91" s="54">
        <v>495.09</v>
      </c>
      <c r="AI91" s="52">
        <v>16048.68</v>
      </c>
      <c r="AJ91" s="52">
        <v>4909.13</v>
      </c>
      <c r="AK91" s="54">
        <v>758.09</v>
      </c>
      <c r="AL91" s="52">
        <v>5667.22</v>
      </c>
      <c r="AM91" s="52">
        <v>195599.21000000002</v>
      </c>
      <c r="AN91" s="52">
        <v>7014.48</v>
      </c>
      <c r="AO91" s="52">
        <v>202613.69</v>
      </c>
      <c r="AP91" s="52">
        <v>1417.54</v>
      </c>
      <c r="AQ91" s="54">
        <v>402.25</v>
      </c>
      <c r="AR91" s="52">
        <v>1819.79</v>
      </c>
      <c r="AS91" s="52">
        <v>17824.3</v>
      </c>
      <c r="AT91" s="54">
        <v>478.97</v>
      </c>
      <c r="AU91" s="52">
        <v>18303.27</v>
      </c>
      <c r="AV91" s="52">
        <v>12490.08</v>
      </c>
      <c r="AW91" s="54">
        <v>447.1</v>
      </c>
      <c r="AX91" s="52">
        <v>12937.18</v>
      </c>
      <c r="AY91" s="52">
        <v>19250.05</v>
      </c>
      <c r="AZ91" s="54">
        <v>521.61</v>
      </c>
      <c r="BA91" s="52">
        <v>19771.66</v>
      </c>
      <c r="BB91" s="52">
        <v>13939.6</v>
      </c>
      <c r="BC91" s="54">
        <v>435.41</v>
      </c>
      <c r="BD91" s="52">
        <v>14375.01</v>
      </c>
      <c r="BE91" s="52">
        <v>25773.040000000001</v>
      </c>
      <c r="BF91" s="54">
        <v>537.07000000000005</v>
      </c>
      <c r="BG91" s="471">
        <v>26310.11</v>
      </c>
      <c r="BH91" s="471">
        <v>18423.34</v>
      </c>
      <c r="BI91" s="54">
        <v>400.04</v>
      </c>
      <c r="BJ91" s="471">
        <v>18823.38</v>
      </c>
    </row>
    <row r="92" spans="1:62" x14ac:dyDescent="0.2">
      <c r="A92" s="52" t="s">
        <v>240</v>
      </c>
      <c r="B92" s="52">
        <v>13142</v>
      </c>
      <c r="C92" s="52">
        <v>0</v>
      </c>
      <c r="D92" s="54">
        <v>0</v>
      </c>
      <c r="E92" s="52">
        <v>0</v>
      </c>
      <c r="F92" s="52">
        <v>0</v>
      </c>
      <c r="G92" s="54">
        <v>0</v>
      </c>
      <c r="H92" s="52">
        <v>0</v>
      </c>
      <c r="I92" s="52">
        <v>0</v>
      </c>
      <c r="J92" s="54">
        <v>0</v>
      </c>
      <c r="K92" s="52">
        <v>0</v>
      </c>
      <c r="L92" s="52">
        <v>2360</v>
      </c>
      <c r="M92" s="54">
        <v>324.2</v>
      </c>
      <c r="N92" s="52">
        <v>2684.2</v>
      </c>
      <c r="O92" s="52">
        <v>35321.01</v>
      </c>
      <c r="P92" s="54">
        <v>374.48</v>
      </c>
      <c r="Q92" s="52">
        <v>35695.490000000005</v>
      </c>
      <c r="R92" s="52">
        <v>20112.02</v>
      </c>
      <c r="S92" s="54">
        <v>370.55</v>
      </c>
      <c r="T92" s="52">
        <v>20482.57</v>
      </c>
      <c r="U92" s="86">
        <v>26799.759999999998</v>
      </c>
      <c r="V92" s="470">
        <v>524.42999999999995</v>
      </c>
      <c r="W92" s="52">
        <v>27324.19</v>
      </c>
      <c r="X92" s="52">
        <v>-206.53</v>
      </c>
      <c r="Y92" s="54">
        <v>325</v>
      </c>
      <c r="Z92" s="52">
        <v>118.47</v>
      </c>
      <c r="AA92" s="54">
        <v>-447.99</v>
      </c>
      <c r="AB92" s="54">
        <v>275.52999999999997</v>
      </c>
      <c r="AC92" s="52">
        <v>-172.46000000000004</v>
      </c>
      <c r="AD92" s="52">
        <v>-184.32</v>
      </c>
      <c r="AE92" s="54">
        <v>270.24</v>
      </c>
      <c r="AF92" s="52">
        <v>85.920000000000016</v>
      </c>
      <c r="AG92" s="52">
        <v>-796.59</v>
      </c>
      <c r="AH92" s="54">
        <v>538.08000000000004</v>
      </c>
      <c r="AI92" s="52">
        <v>-258.51</v>
      </c>
      <c r="AJ92" s="52">
        <v>2326.69</v>
      </c>
      <c r="AK92" s="54">
        <v>535.67999999999995</v>
      </c>
      <c r="AL92" s="52">
        <v>2862.37</v>
      </c>
      <c r="AM92" s="52">
        <v>85284.049999999988</v>
      </c>
      <c r="AN92" s="52">
        <v>3538.1899999999991</v>
      </c>
      <c r="AO92" s="52">
        <v>88822.239999999991</v>
      </c>
      <c r="AP92" s="52">
        <v>7357.63</v>
      </c>
      <c r="AQ92" s="54">
        <v>301.32</v>
      </c>
      <c r="AR92" s="52">
        <v>7658.95</v>
      </c>
      <c r="AS92" s="52">
        <v>16363.07</v>
      </c>
      <c r="AT92" s="54">
        <v>592.9</v>
      </c>
      <c r="AU92" s="52">
        <v>16955.97</v>
      </c>
      <c r="AV92" s="52">
        <v>-1213.46</v>
      </c>
      <c r="AW92" s="54">
        <v>369.95</v>
      </c>
      <c r="AX92" s="52">
        <v>-843.51</v>
      </c>
      <c r="AY92" s="52">
        <v>11696.69</v>
      </c>
      <c r="AZ92" s="54">
        <v>590.45000000000005</v>
      </c>
      <c r="BA92" s="52">
        <v>12287.140000000001</v>
      </c>
      <c r="BB92" s="52">
        <v>18664.23</v>
      </c>
      <c r="BC92" s="54">
        <v>376.79000000000008</v>
      </c>
      <c r="BD92" s="52">
        <v>19041.02</v>
      </c>
      <c r="BE92" s="52">
        <v>11299.49</v>
      </c>
      <c r="BF92" s="54">
        <v>469.96999999999997</v>
      </c>
      <c r="BG92" s="471">
        <v>11769.46</v>
      </c>
      <c r="BH92" s="471">
        <v>16030.14</v>
      </c>
      <c r="BI92" s="54">
        <v>394.69</v>
      </c>
      <c r="BJ92" s="471">
        <v>16424.829999999998</v>
      </c>
    </row>
    <row r="93" spans="1:62" x14ac:dyDescent="0.2">
      <c r="A93" s="52" t="s">
        <v>241</v>
      </c>
      <c r="B93" s="52">
        <v>13022</v>
      </c>
      <c r="C93" s="52">
        <v>160074.67000000001</v>
      </c>
      <c r="D93" s="54">
        <v>27528.31</v>
      </c>
      <c r="E93" s="52">
        <v>187602.98</v>
      </c>
      <c r="F93" s="52">
        <v>155429.04</v>
      </c>
      <c r="G93" s="54">
        <v>71120.55</v>
      </c>
      <c r="H93" s="52">
        <v>226549.59000000003</v>
      </c>
      <c r="I93" s="52">
        <v>112304.78</v>
      </c>
      <c r="J93" s="54">
        <v>38707.11</v>
      </c>
      <c r="K93" s="52">
        <v>151011.89000000001</v>
      </c>
      <c r="L93" s="52">
        <v>310779.64</v>
      </c>
      <c r="M93" s="54">
        <v>70571.05</v>
      </c>
      <c r="N93" s="52">
        <v>381350.69</v>
      </c>
      <c r="O93" s="52">
        <v>16272.38</v>
      </c>
      <c r="P93" s="54">
        <v>68735.23</v>
      </c>
      <c r="Q93" s="52">
        <v>85007.61</v>
      </c>
      <c r="R93" s="52">
        <v>329355.15000000002</v>
      </c>
      <c r="S93" s="54">
        <v>53628.68</v>
      </c>
      <c r="T93" s="52">
        <v>382983.83</v>
      </c>
      <c r="U93" s="86">
        <v>21018.76</v>
      </c>
      <c r="V93" s="470">
        <v>14534.16</v>
      </c>
      <c r="W93" s="52">
        <v>35552.92</v>
      </c>
      <c r="X93" s="52">
        <v>260904.93</v>
      </c>
      <c r="Y93" s="54">
        <v>33011.800000000003</v>
      </c>
      <c r="Z93" s="52">
        <v>293916.73</v>
      </c>
      <c r="AA93" s="54">
        <v>44210.39</v>
      </c>
      <c r="AB93" s="54">
        <v>48540.41</v>
      </c>
      <c r="AC93" s="52">
        <v>92750.8</v>
      </c>
      <c r="AD93" s="52">
        <v>411924.07</v>
      </c>
      <c r="AE93" s="54">
        <v>54153.79</v>
      </c>
      <c r="AF93" s="52">
        <v>466077.86</v>
      </c>
      <c r="AG93" s="52">
        <v>222344.59</v>
      </c>
      <c r="AH93" s="54">
        <v>57165.25</v>
      </c>
      <c r="AI93" s="52">
        <v>279509.83999999997</v>
      </c>
      <c r="AJ93" s="52">
        <v>202465.15</v>
      </c>
      <c r="AK93" s="54">
        <v>84606.06</v>
      </c>
      <c r="AL93" s="52">
        <v>287071.20999999996</v>
      </c>
      <c r="AM93" s="52">
        <v>2247083.5500000003</v>
      </c>
      <c r="AN93" s="52">
        <v>622302.39999999991</v>
      </c>
      <c r="AO93" s="52">
        <v>2869385.9499999997</v>
      </c>
      <c r="AP93" s="52">
        <v>300302.78000000003</v>
      </c>
      <c r="AQ93" s="54">
        <v>37016.239999999998</v>
      </c>
      <c r="AR93" s="52">
        <v>337319.02</v>
      </c>
      <c r="AS93" s="52">
        <v>193919.09</v>
      </c>
      <c r="AT93" s="54">
        <v>45245.55</v>
      </c>
      <c r="AU93" s="52">
        <v>239164.64</v>
      </c>
      <c r="AV93" s="52">
        <v>165786.28</v>
      </c>
      <c r="AW93" s="54">
        <v>58608.53</v>
      </c>
      <c r="AX93" s="52">
        <v>224394.81</v>
      </c>
      <c r="AY93" s="52">
        <v>251024.84</v>
      </c>
      <c r="AZ93" s="54">
        <v>62502.740000000005</v>
      </c>
      <c r="BA93" s="52">
        <v>313527.58</v>
      </c>
      <c r="BB93" s="52">
        <v>236409.74</v>
      </c>
      <c r="BC93" s="54">
        <v>64093.49</v>
      </c>
      <c r="BD93" s="52">
        <v>300503.23</v>
      </c>
      <c r="BE93" s="52">
        <v>258835.58</v>
      </c>
      <c r="BF93" s="54">
        <v>72352.28</v>
      </c>
      <c r="BG93" s="471">
        <v>331187.86</v>
      </c>
      <c r="BH93" s="471">
        <v>239302.06</v>
      </c>
      <c r="BI93" s="54">
        <v>42342.22</v>
      </c>
      <c r="BJ93" s="471">
        <v>281644.28000000003</v>
      </c>
    </row>
    <row r="94" spans="1:62" x14ac:dyDescent="0.2">
      <c r="A94" s="52" t="s">
        <v>242</v>
      </c>
      <c r="B94" s="52">
        <v>13078</v>
      </c>
      <c r="C94" s="52">
        <v>5358.14</v>
      </c>
      <c r="D94" s="54">
        <v>1047.18</v>
      </c>
      <c r="E94" s="52">
        <v>6405.3200000000006</v>
      </c>
      <c r="F94" s="52">
        <v>26322.11</v>
      </c>
      <c r="G94" s="54">
        <v>3452.5400000000004</v>
      </c>
      <c r="H94" s="52">
        <v>29774.65</v>
      </c>
      <c r="I94" s="52">
        <v>15209.26</v>
      </c>
      <c r="J94" s="54">
        <v>2270.7399999999998</v>
      </c>
      <c r="K94" s="52">
        <v>17480</v>
      </c>
      <c r="L94" s="52">
        <v>17128.93</v>
      </c>
      <c r="M94" s="54">
        <v>1938.82</v>
      </c>
      <c r="N94" s="52">
        <v>19067.75</v>
      </c>
      <c r="O94" s="52">
        <v>23537.759999999998</v>
      </c>
      <c r="P94" s="54">
        <v>3137.65</v>
      </c>
      <c r="Q94" s="52">
        <v>26675.41</v>
      </c>
      <c r="R94" s="52">
        <v>37246.559999999998</v>
      </c>
      <c r="S94" s="54">
        <v>3617.5</v>
      </c>
      <c r="T94" s="52">
        <v>40864.06</v>
      </c>
      <c r="U94" s="86">
        <v>17838.75</v>
      </c>
      <c r="V94" s="470">
        <v>1816</v>
      </c>
      <c r="W94" s="52">
        <v>19654.75</v>
      </c>
      <c r="X94" s="52">
        <v>8538.9699999999993</v>
      </c>
      <c r="Y94" s="54">
        <v>2522.7199999999998</v>
      </c>
      <c r="Z94" s="52">
        <v>11061.689999999999</v>
      </c>
      <c r="AA94" s="54">
        <v>41619.51</v>
      </c>
      <c r="AB94" s="54">
        <v>2144.9699999999998</v>
      </c>
      <c r="AC94" s="52">
        <v>43764.480000000003</v>
      </c>
      <c r="AD94" s="52">
        <v>10900.99</v>
      </c>
      <c r="AE94" s="54">
        <v>1214.3400000000001</v>
      </c>
      <c r="AF94" s="52">
        <v>12115.33</v>
      </c>
      <c r="AG94" s="52">
        <v>27477.759999999998</v>
      </c>
      <c r="AH94" s="54">
        <v>1497.92</v>
      </c>
      <c r="AI94" s="52">
        <v>28975.68</v>
      </c>
      <c r="AJ94" s="52">
        <v>25753.97</v>
      </c>
      <c r="AK94" s="54">
        <v>2930.0499999999997</v>
      </c>
      <c r="AL94" s="52">
        <v>28684.02</v>
      </c>
      <c r="AM94" s="52">
        <v>256932.71000000002</v>
      </c>
      <c r="AN94" s="52">
        <v>27590.430000000004</v>
      </c>
      <c r="AO94" s="52">
        <v>284523.14</v>
      </c>
      <c r="AP94" s="52">
        <v>16630.41</v>
      </c>
      <c r="AQ94" s="54">
        <v>999.67</v>
      </c>
      <c r="AR94" s="52">
        <v>17630.079999999998</v>
      </c>
      <c r="AS94" s="52">
        <v>29266.46</v>
      </c>
      <c r="AT94" s="54">
        <v>1369.86</v>
      </c>
      <c r="AU94" s="52">
        <v>30636.32</v>
      </c>
      <c r="AV94" s="52">
        <v>15735.4</v>
      </c>
      <c r="AW94" s="54">
        <v>1371.37</v>
      </c>
      <c r="AX94" s="52">
        <v>17106.77</v>
      </c>
      <c r="AY94" s="52">
        <v>-1413.91</v>
      </c>
      <c r="AZ94" s="54">
        <v>1665.32</v>
      </c>
      <c r="BA94" s="52">
        <v>251.40999999999985</v>
      </c>
      <c r="BB94" s="52">
        <v>-2972.5</v>
      </c>
      <c r="BC94" s="54">
        <v>2027.93</v>
      </c>
      <c r="BD94" s="52">
        <v>-944.56999999999994</v>
      </c>
      <c r="BE94" s="52">
        <v>-1216.6099999999999</v>
      </c>
      <c r="BF94" s="54">
        <v>-120.87</v>
      </c>
      <c r="BG94" s="471">
        <v>-1337.48</v>
      </c>
      <c r="BH94" s="471">
        <v>56223.97</v>
      </c>
      <c r="BI94" s="54">
        <v>54.920000000000009</v>
      </c>
      <c r="BJ94" s="471">
        <v>56278.89</v>
      </c>
    </row>
    <row r="95" spans="1:62" x14ac:dyDescent="0.2">
      <c r="A95" s="52" t="s">
        <v>243</v>
      </c>
      <c r="B95" s="52">
        <v>13120</v>
      </c>
      <c r="C95" s="52">
        <v>-3141.37</v>
      </c>
      <c r="D95" s="54">
        <v>371.68</v>
      </c>
      <c r="E95" s="52">
        <v>-2769.69</v>
      </c>
      <c r="F95" s="52">
        <v>-2357.0300000000002</v>
      </c>
      <c r="G95" s="54">
        <v>0</v>
      </c>
      <c r="H95" s="52">
        <v>-2357.0300000000002</v>
      </c>
      <c r="I95" s="52">
        <v>-343.31</v>
      </c>
      <c r="J95" s="54">
        <v>0</v>
      </c>
      <c r="K95" s="52">
        <v>-343.31</v>
      </c>
      <c r="L95" s="52">
        <v>319.87</v>
      </c>
      <c r="M95" s="54">
        <v>0</v>
      </c>
      <c r="N95" s="52">
        <v>319.87</v>
      </c>
      <c r="O95" s="52">
        <v>-171.54</v>
      </c>
      <c r="P95" s="54">
        <v>0</v>
      </c>
      <c r="Q95" s="52">
        <v>-171.54</v>
      </c>
      <c r="R95" s="52">
        <v>-120.88</v>
      </c>
      <c r="S95" s="54">
        <v>0</v>
      </c>
      <c r="T95" s="52">
        <v>-120.88</v>
      </c>
      <c r="U95" s="86">
        <v>-101.92</v>
      </c>
      <c r="V95" s="470">
        <v>0</v>
      </c>
      <c r="W95" s="52">
        <v>-101.92</v>
      </c>
      <c r="X95" s="52">
        <v>21139.9</v>
      </c>
      <c r="Y95" s="54">
        <v>0</v>
      </c>
      <c r="Z95" s="52">
        <v>21139.9</v>
      </c>
      <c r="AA95" s="54">
        <v>8138.28</v>
      </c>
      <c r="AB95" s="54">
        <v>1788.19</v>
      </c>
      <c r="AC95" s="52">
        <v>9926.4699999999993</v>
      </c>
      <c r="AD95" s="52">
        <v>8645.49</v>
      </c>
      <c r="AE95" s="54">
        <v>-118.8900000000002</v>
      </c>
      <c r="AF95" s="52">
        <v>8526.6</v>
      </c>
      <c r="AG95" s="52">
        <v>-635.85</v>
      </c>
      <c r="AH95" s="54">
        <v>728.84</v>
      </c>
      <c r="AI95" s="52">
        <v>92.990000000000009</v>
      </c>
      <c r="AJ95" s="52">
        <v>-939.67</v>
      </c>
      <c r="AK95" s="54">
        <v>589.72</v>
      </c>
      <c r="AL95" s="52">
        <v>-349.94999999999993</v>
      </c>
      <c r="AM95" s="52">
        <v>30431.97</v>
      </c>
      <c r="AN95" s="52">
        <v>3359.54</v>
      </c>
      <c r="AO95" s="52">
        <v>33791.51</v>
      </c>
      <c r="AP95" s="52">
        <v>-993.09</v>
      </c>
      <c r="AQ95" s="54">
        <v>228.28</v>
      </c>
      <c r="AR95" s="52">
        <v>-764.81000000000006</v>
      </c>
      <c r="AS95" s="52">
        <v>7805.83</v>
      </c>
      <c r="AT95" s="54">
        <v>391.2</v>
      </c>
      <c r="AU95" s="52">
        <v>8197.0300000000007</v>
      </c>
      <c r="AV95" s="52">
        <v>9033.2000000000007</v>
      </c>
      <c r="AW95" s="54">
        <v>331.68</v>
      </c>
      <c r="AX95" s="52">
        <v>9364.880000000001</v>
      </c>
      <c r="AY95" s="52">
        <v>18228.349999999999</v>
      </c>
      <c r="AZ95" s="54">
        <v>894.1</v>
      </c>
      <c r="BA95" s="52">
        <v>19122.449999999997</v>
      </c>
      <c r="BB95" s="52">
        <v>-11840.53</v>
      </c>
      <c r="BC95" s="54">
        <v>304.37</v>
      </c>
      <c r="BD95" s="52">
        <v>-11536.16</v>
      </c>
      <c r="BE95" s="52">
        <v>-300.26</v>
      </c>
      <c r="BF95" s="54">
        <v>389.59</v>
      </c>
      <c r="BG95" s="471">
        <v>89.329999999999984</v>
      </c>
      <c r="BH95" s="471">
        <v>13846.66</v>
      </c>
      <c r="BI95" s="54">
        <v>252.61</v>
      </c>
      <c r="BJ95" s="471">
        <v>14099.27</v>
      </c>
    </row>
    <row r="96" spans="1:62" x14ac:dyDescent="0.2">
      <c r="A96" s="52" t="s">
        <v>244</v>
      </c>
      <c r="B96" s="52">
        <v>13053</v>
      </c>
      <c r="C96" s="52">
        <v>-1465.13</v>
      </c>
      <c r="D96" s="54">
        <v>1440.46</v>
      </c>
      <c r="E96" s="52">
        <v>-24.670000000000073</v>
      </c>
      <c r="F96" s="52">
        <v>11073.91</v>
      </c>
      <c r="G96" s="54">
        <v>3179.2400000000002</v>
      </c>
      <c r="H96" s="52">
        <v>14253.15</v>
      </c>
      <c r="I96" s="52">
        <v>29309.81</v>
      </c>
      <c r="J96" s="54">
        <v>3162.17</v>
      </c>
      <c r="K96" s="52">
        <v>32471.980000000003</v>
      </c>
      <c r="L96" s="52">
        <v>35753.11</v>
      </c>
      <c r="M96" s="54">
        <v>4644.2</v>
      </c>
      <c r="N96" s="52">
        <v>40397.31</v>
      </c>
      <c r="O96" s="52">
        <v>63768.49</v>
      </c>
      <c r="P96" s="54">
        <v>5379.03</v>
      </c>
      <c r="Q96" s="52">
        <v>69147.520000000004</v>
      </c>
      <c r="R96" s="52">
        <v>55366.33</v>
      </c>
      <c r="S96" s="54">
        <v>6458.36</v>
      </c>
      <c r="T96" s="52">
        <v>61824.69</v>
      </c>
      <c r="U96" s="86">
        <v>36873.769999999997</v>
      </c>
      <c r="V96" s="470">
        <v>2464.61</v>
      </c>
      <c r="W96" s="52">
        <v>39338.379999999997</v>
      </c>
      <c r="X96" s="52">
        <v>42443.95</v>
      </c>
      <c r="Y96" s="54">
        <v>5584.06</v>
      </c>
      <c r="Z96" s="52">
        <v>48028.009999999995</v>
      </c>
      <c r="AA96" s="54">
        <v>51250.38</v>
      </c>
      <c r="AB96" s="54">
        <v>3681.04</v>
      </c>
      <c r="AC96" s="52">
        <v>54931.42</v>
      </c>
      <c r="AD96" s="52">
        <v>59804.29</v>
      </c>
      <c r="AE96" s="54">
        <v>3717.62</v>
      </c>
      <c r="AF96" s="52">
        <v>63521.91</v>
      </c>
      <c r="AG96" s="52">
        <v>51702.19</v>
      </c>
      <c r="AH96" s="54">
        <v>2496.85</v>
      </c>
      <c r="AI96" s="52">
        <v>54199.040000000001</v>
      </c>
      <c r="AJ96" s="52">
        <v>56510.14</v>
      </c>
      <c r="AK96" s="54">
        <v>6416.19</v>
      </c>
      <c r="AL96" s="52">
        <v>62926.33</v>
      </c>
      <c r="AM96" s="52">
        <v>492391.24</v>
      </c>
      <c r="AN96" s="52">
        <v>48623.83</v>
      </c>
      <c r="AO96" s="52">
        <v>541015.06999999995</v>
      </c>
      <c r="AP96" s="52">
        <v>27256.74</v>
      </c>
      <c r="AQ96" s="54">
        <v>2475.6200000000003</v>
      </c>
      <c r="AR96" s="52">
        <v>29732.36</v>
      </c>
      <c r="AS96" s="52">
        <v>62994.82</v>
      </c>
      <c r="AT96" s="54">
        <v>2710.5</v>
      </c>
      <c r="AU96" s="52">
        <v>65705.320000000007</v>
      </c>
      <c r="AV96" s="52">
        <v>38385.14</v>
      </c>
      <c r="AW96" s="54">
        <v>2914.26</v>
      </c>
      <c r="AX96" s="52">
        <v>41299.4</v>
      </c>
      <c r="AY96" s="52">
        <v>16801.97</v>
      </c>
      <c r="AZ96" s="54">
        <v>3415.23</v>
      </c>
      <c r="BA96" s="52">
        <v>20217.2</v>
      </c>
      <c r="BB96" s="52">
        <v>-1750.34</v>
      </c>
      <c r="BC96" s="54">
        <v>4101.8900000000003</v>
      </c>
      <c r="BD96" s="52">
        <v>2351.5500000000002</v>
      </c>
      <c r="BE96" s="52">
        <v>134922.89000000001</v>
      </c>
      <c r="BF96" s="54">
        <v>3144.16</v>
      </c>
      <c r="BG96" s="471">
        <v>138067.05000000002</v>
      </c>
      <c r="BH96" s="471">
        <v>57647.79</v>
      </c>
      <c r="BI96" s="54">
        <v>1932.23</v>
      </c>
      <c r="BJ96" s="471">
        <v>59580.020000000004</v>
      </c>
    </row>
    <row r="97" spans="1:62" x14ac:dyDescent="0.2">
      <c r="A97" s="52" t="s">
        <v>245</v>
      </c>
      <c r="B97" s="52">
        <v>13017</v>
      </c>
      <c r="C97" s="52">
        <v>1530.88</v>
      </c>
      <c r="D97" s="54">
        <v>109.05</v>
      </c>
      <c r="E97" s="52">
        <v>1639.93</v>
      </c>
      <c r="F97" s="52">
        <v>2528.9699999999998</v>
      </c>
      <c r="G97" s="54">
        <v>1187.9000000000001</v>
      </c>
      <c r="H97" s="52">
        <v>3716.87</v>
      </c>
      <c r="I97" s="52">
        <v>291</v>
      </c>
      <c r="J97" s="54">
        <v>479.41</v>
      </c>
      <c r="K97" s="52">
        <v>770.41000000000008</v>
      </c>
      <c r="L97" s="52">
        <v>-7881.32</v>
      </c>
      <c r="M97" s="54">
        <v>214.39</v>
      </c>
      <c r="N97" s="52">
        <v>-7666.9299999999994</v>
      </c>
      <c r="O97" s="52">
        <v>1797.05</v>
      </c>
      <c r="P97" s="54">
        <v>11027.24</v>
      </c>
      <c r="Q97" s="52">
        <v>12824.289999999999</v>
      </c>
      <c r="R97" s="52">
        <v>-483.68</v>
      </c>
      <c r="S97" s="54">
        <v>600.28</v>
      </c>
      <c r="T97" s="52">
        <v>116.59999999999997</v>
      </c>
      <c r="U97" s="86">
        <v>7356.25</v>
      </c>
      <c r="V97" s="470">
        <v>1208.9100000000001</v>
      </c>
      <c r="W97" s="52">
        <v>8565.16</v>
      </c>
      <c r="X97" s="52">
        <v>-158.6</v>
      </c>
      <c r="Y97" s="54">
        <v>1702.9</v>
      </c>
      <c r="Z97" s="52">
        <v>1544.3000000000002</v>
      </c>
      <c r="AA97" s="54">
        <v>-32.96</v>
      </c>
      <c r="AB97" s="54">
        <v>3374.17</v>
      </c>
      <c r="AC97" s="52">
        <v>3341.21</v>
      </c>
      <c r="AD97" s="52">
        <v>-193.9</v>
      </c>
      <c r="AE97" s="54">
        <v>0</v>
      </c>
      <c r="AF97" s="52">
        <v>-193.9</v>
      </c>
      <c r="AG97" s="52">
        <v>-1228.73</v>
      </c>
      <c r="AH97" s="54">
        <v>0</v>
      </c>
      <c r="AI97" s="52">
        <v>-1228.73</v>
      </c>
      <c r="AJ97" s="52">
        <v>-60.37</v>
      </c>
      <c r="AK97" s="54">
        <v>0</v>
      </c>
      <c r="AL97" s="52">
        <v>-60.37</v>
      </c>
      <c r="AM97" s="52">
        <v>3464.5900000000006</v>
      </c>
      <c r="AN97" s="52">
        <v>19904.25</v>
      </c>
      <c r="AO97" s="52">
        <v>23368.84</v>
      </c>
      <c r="AP97" s="52">
        <v>0</v>
      </c>
      <c r="AQ97" s="54">
        <v>0</v>
      </c>
      <c r="AR97" s="52">
        <v>0</v>
      </c>
      <c r="AS97" s="52">
        <v>-25.18</v>
      </c>
      <c r="AT97" s="54">
        <v>0</v>
      </c>
      <c r="AU97" s="52">
        <v>-25.18</v>
      </c>
      <c r="AV97" s="52">
        <v>-4310.12</v>
      </c>
      <c r="AW97" s="54">
        <v>0</v>
      </c>
      <c r="AX97" s="52">
        <v>-4310.12</v>
      </c>
      <c r="AY97" s="52">
        <v>-1462.15</v>
      </c>
      <c r="AZ97" s="54">
        <v>0</v>
      </c>
      <c r="BA97" s="52">
        <v>-1462.15</v>
      </c>
      <c r="BB97" s="52">
        <v>-1778.34</v>
      </c>
      <c r="BC97" s="54">
        <v>0</v>
      </c>
      <c r="BD97" s="52">
        <v>-1778.34</v>
      </c>
      <c r="BE97" s="52">
        <v>-318.55</v>
      </c>
      <c r="BF97" s="54">
        <v>0</v>
      </c>
      <c r="BG97" s="471">
        <v>-318.55</v>
      </c>
      <c r="BH97" s="471">
        <v>-678.65</v>
      </c>
      <c r="BI97" s="54">
        <v>0</v>
      </c>
      <c r="BJ97" s="471">
        <v>-678.65</v>
      </c>
    </row>
    <row r="98" spans="1:62" x14ac:dyDescent="0.2">
      <c r="A98" s="52" t="s">
        <v>246</v>
      </c>
      <c r="B98" s="52">
        <v>13016</v>
      </c>
      <c r="C98" s="52">
        <v>1415.26</v>
      </c>
      <c r="D98" s="54">
        <v>1006.5</v>
      </c>
      <c r="E98" s="52">
        <v>2421.7600000000002</v>
      </c>
      <c r="F98" s="52">
        <v>606.52</v>
      </c>
      <c r="G98" s="54">
        <v>2531.86</v>
      </c>
      <c r="H98" s="52">
        <v>3138.38</v>
      </c>
      <c r="I98" s="52">
        <v>-3118.89</v>
      </c>
      <c r="J98" s="54">
        <v>1310.19</v>
      </c>
      <c r="K98" s="52">
        <v>-1808.6999999999998</v>
      </c>
      <c r="L98" s="52">
        <v>-25382.05</v>
      </c>
      <c r="M98" s="54">
        <v>852.92</v>
      </c>
      <c r="N98" s="52">
        <v>-24529.13</v>
      </c>
      <c r="O98" s="52">
        <v>175.26</v>
      </c>
      <c r="P98" s="54">
        <v>20314.740000000002</v>
      </c>
      <c r="Q98" s="52">
        <v>20490</v>
      </c>
      <c r="R98" s="52">
        <v>-934.14</v>
      </c>
      <c r="S98" s="54">
        <v>1101.03</v>
      </c>
      <c r="T98" s="52">
        <v>166.89</v>
      </c>
      <c r="U98" s="86">
        <v>611.25</v>
      </c>
      <c r="V98" s="470">
        <v>0</v>
      </c>
      <c r="W98" s="52">
        <v>611.25</v>
      </c>
      <c r="X98" s="52">
        <v>-1680.15</v>
      </c>
      <c r="Y98" s="54">
        <v>0</v>
      </c>
      <c r="Z98" s="52">
        <v>-1680.15</v>
      </c>
      <c r="AA98" s="54">
        <v>-5590.1</v>
      </c>
      <c r="AB98" s="54">
        <v>0</v>
      </c>
      <c r="AC98" s="52">
        <v>-5590.1</v>
      </c>
      <c r="AD98" s="52">
        <v>-679.49</v>
      </c>
      <c r="AE98" s="54">
        <v>0</v>
      </c>
      <c r="AF98" s="52">
        <v>-679.49</v>
      </c>
      <c r="AG98" s="52">
        <v>-687.56</v>
      </c>
      <c r="AH98" s="54">
        <v>0</v>
      </c>
      <c r="AI98" s="52">
        <v>-687.56</v>
      </c>
      <c r="AJ98" s="52">
        <v>-10.16</v>
      </c>
      <c r="AK98" s="54">
        <v>0</v>
      </c>
      <c r="AL98" s="52">
        <v>-10.16</v>
      </c>
      <c r="AM98" s="52">
        <v>-35274.25</v>
      </c>
      <c r="AN98" s="52">
        <v>27117.24</v>
      </c>
      <c r="AO98" s="52">
        <v>-8157.010000000002</v>
      </c>
      <c r="AP98" s="52">
        <v>-44.33</v>
      </c>
      <c r="AQ98" s="54">
        <v>0</v>
      </c>
      <c r="AR98" s="52">
        <v>-44.33</v>
      </c>
      <c r="AS98" s="52">
        <v>-281.04000000000002</v>
      </c>
      <c r="AT98" s="54">
        <v>0</v>
      </c>
      <c r="AU98" s="52">
        <v>-281.04000000000002</v>
      </c>
      <c r="AV98" s="52">
        <v>-16.66</v>
      </c>
      <c r="AW98" s="54">
        <v>0</v>
      </c>
      <c r="AX98" s="52">
        <v>-16.66</v>
      </c>
      <c r="AY98" s="52">
        <v>-2979.85</v>
      </c>
      <c r="AZ98" s="54">
        <v>0</v>
      </c>
      <c r="BA98" s="52">
        <v>-2979.85</v>
      </c>
      <c r="BB98" s="52">
        <v>-3233.81</v>
      </c>
      <c r="BC98" s="54">
        <v>0</v>
      </c>
      <c r="BD98" s="52">
        <v>-3233.81</v>
      </c>
      <c r="BE98" s="52">
        <v>-893</v>
      </c>
      <c r="BF98" s="54">
        <v>0</v>
      </c>
      <c r="BG98" s="471">
        <v>-893</v>
      </c>
      <c r="BH98" s="471">
        <v>1624.68</v>
      </c>
      <c r="BI98" s="54">
        <v>4.25</v>
      </c>
      <c r="BJ98" s="471">
        <v>1628.93</v>
      </c>
    </row>
    <row r="99" spans="1:62" x14ac:dyDescent="0.2">
      <c r="A99" s="52" t="s">
        <v>247</v>
      </c>
      <c r="B99" s="52">
        <v>13077</v>
      </c>
      <c r="C99" s="52">
        <v>-0.53</v>
      </c>
      <c r="D99" s="54">
        <v>0</v>
      </c>
      <c r="E99" s="52">
        <v>-0.53</v>
      </c>
      <c r="F99" s="52">
        <v>-71.12</v>
      </c>
      <c r="G99" s="54">
        <v>0</v>
      </c>
      <c r="H99" s="52">
        <v>-71.12</v>
      </c>
      <c r="I99" s="52">
        <v>0</v>
      </c>
      <c r="J99" s="54">
        <v>0</v>
      </c>
      <c r="K99" s="52">
        <v>0</v>
      </c>
      <c r="L99" s="52">
        <v>-40.85</v>
      </c>
      <c r="M99" s="54">
        <v>0</v>
      </c>
      <c r="N99" s="52">
        <v>-40.85</v>
      </c>
      <c r="O99" s="52">
        <v>-135.97999999999999</v>
      </c>
      <c r="P99" s="54">
        <v>0</v>
      </c>
      <c r="Q99" s="52">
        <v>-135.97999999999999</v>
      </c>
      <c r="R99" s="52">
        <v>-16.8</v>
      </c>
      <c r="S99" s="54">
        <v>0</v>
      </c>
      <c r="T99" s="52">
        <v>-16.8</v>
      </c>
      <c r="U99" s="86">
        <v>0</v>
      </c>
      <c r="V99" s="470">
        <v>0</v>
      </c>
      <c r="W99" s="52">
        <v>0</v>
      </c>
      <c r="X99" s="52">
        <v>0</v>
      </c>
      <c r="Y99" s="54">
        <v>0</v>
      </c>
      <c r="Z99" s="52">
        <v>0</v>
      </c>
      <c r="AA99" s="54">
        <v>0</v>
      </c>
      <c r="AB99" s="54">
        <v>0</v>
      </c>
      <c r="AC99" s="52">
        <v>0</v>
      </c>
      <c r="AD99" s="52">
        <v>0</v>
      </c>
      <c r="AE99" s="54">
        <v>0</v>
      </c>
      <c r="AF99" s="52">
        <v>0</v>
      </c>
      <c r="AG99" s="52">
        <v>-45.18</v>
      </c>
      <c r="AH99" s="54">
        <v>0</v>
      </c>
      <c r="AI99" s="52">
        <v>-45.18</v>
      </c>
      <c r="AJ99" s="52">
        <v>0</v>
      </c>
      <c r="AK99" s="54">
        <v>0</v>
      </c>
      <c r="AL99" s="52">
        <v>0</v>
      </c>
      <c r="AM99" s="52">
        <v>-310.45999999999998</v>
      </c>
      <c r="AN99" s="52">
        <v>0</v>
      </c>
      <c r="AO99" s="52">
        <v>-310.45999999999998</v>
      </c>
      <c r="AP99" s="52">
        <v>0</v>
      </c>
      <c r="AQ99" s="54">
        <v>0</v>
      </c>
      <c r="AR99" s="52">
        <v>0</v>
      </c>
      <c r="AS99" s="52">
        <v>0</v>
      </c>
      <c r="AT99" s="54">
        <v>0</v>
      </c>
      <c r="AU99" s="52">
        <v>0</v>
      </c>
      <c r="AV99" s="52">
        <v>0</v>
      </c>
      <c r="AW99" s="54">
        <v>0</v>
      </c>
      <c r="AX99" s="52">
        <v>0</v>
      </c>
      <c r="AY99" s="52">
        <v>-192.35</v>
      </c>
      <c r="AZ99" s="54">
        <v>0</v>
      </c>
      <c r="BA99" s="52">
        <v>-192.35</v>
      </c>
      <c r="BB99" s="52">
        <v>-271.08</v>
      </c>
      <c r="BC99" s="54">
        <v>0</v>
      </c>
      <c r="BD99" s="52">
        <v>-271.08</v>
      </c>
      <c r="BE99" s="52">
        <v>0</v>
      </c>
      <c r="BF99" s="54">
        <v>0</v>
      </c>
      <c r="BG99" s="471">
        <v>0</v>
      </c>
      <c r="BH99" s="471">
        <v>0</v>
      </c>
      <c r="BI99" s="54">
        <v>0</v>
      </c>
      <c r="BJ99" s="471">
        <v>0</v>
      </c>
    </row>
    <row r="100" spans="1:62" x14ac:dyDescent="0.2">
      <c r="A100" s="52" t="s">
        <v>248</v>
      </c>
      <c r="B100" s="52">
        <v>13035</v>
      </c>
      <c r="C100" s="52">
        <v>0</v>
      </c>
      <c r="D100" s="54">
        <v>0</v>
      </c>
      <c r="E100" s="52">
        <v>0</v>
      </c>
      <c r="F100" s="52">
        <v>-27.71</v>
      </c>
      <c r="G100" s="54">
        <v>0</v>
      </c>
      <c r="H100" s="52">
        <v>-27.71</v>
      </c>
      <c r="I100" s="52">
        <v>0</v>
      </c>
      <c r="J100" s="54">
        <v>0</v>
      </c>
      <c r="K100" s="52">
        <v>0</v>
      </c>
      <c r="L100" s="52">
        <v>-4.08</v>
      </c>
      <c r="M100" s="54">
        <v>0</v>
      </c>
      <c r="N100" s="52">
        <v>-4.08</v>
      </c>
      <c r="O100" s="52">
        <v>-5.09</v>
      </c>
      <c r="P100" s="54">
        <v>0</v>
      </c>
      <c r="Q100" s="52">
        <v>-5.09</v>
      </c>
      <c r="R100" s="52">
        <v>-1.59</v>
      </c>
      <c r="S100" s="54">
        <v>0</v>
      </c>
      <c r="T100" s="52">
        <v>-1.59</v>
      </c>
      <c r="U100" s="86">
        <v>0</v>
      </c>
      <c r="V100" s="470">
        <v>0</v>
      </c>
      <c r="W100" s="52">
        <v>0</v>
      </c>
      <c r="X100" s="52">
        <v>0</v>
      </c>
      <c r="Y100" s="54">
        <v>0</v>
      </c>
      <c r="Z100" s="52">
        <v>0</v>
      </c>
      <c r="AA100" s="54">
        <v>0</v>
      </c>
      <c r="AB100" s="54">
        <v>0</v>
      </c>
      <c r="AC100" s="52">
        <v>0</v>
      </c>
      <c r="AD100" s="52">
        <v>0</v>
      </c>
      <c r="AE100" s="54">
        <v>0</v>
      </c>
      <c r="AF100" s="52">
        <v>0</v>
      </c>
      <c r="AG100" s="52">
        <v>-39.479999999999997</v>
      </c>
      <c r="AH100" s="54">
        <v>0</v>
      </c>
      <c r="AI100" s="52">
        <v>-39.479999999999997</v>
      </c>
      <c r="AJ100" s="52">
        <v>0</v>
      </c>
      <c r="AK100" s="54">
        <v>0</v>
      </c>
      <c r="AL100" s="52">
        <v>0</v>
      </c>
      <c r="AM100" s="52">
        <v>-77.949999999999989</v>
      </c>
      <c r="AN100" s="52">
        <v>0</v>
      </c>
      <c r="AO100" s="52">
        <v>-77.949999999999989</v>
      </c>
      <c r="AP100" s="52">
        <v>0</v>
      </c>
      <c r="AQ100" s="54">
        <v>0</v>
      </c>
      <c r="AR100" s="52">
        <v>0</v>
      </c>
      <c r="AS100" s="52">
        <v>0</v>
      </c>
      <c r="AT100" s="54">
        <v>0</v>
      </c>
      <c r="AU100" s="52">
        <v>0</v>
      </c>
      <c r="AV100" s="52">
        <v>0</v>
      </c>
      <c r="AW100" s="54">
        <v>0</v>
      </c>
      <c r="AX100" s="52">
        <v>0</v>
      </c>
      <c r="AY100" s="52">
        <v>-135.75</v>
      </c>
      <c r="AZ100" s="54">
        <v>0</v>
      </c>
      <c r="BA100" s="52">
        <v>-135.75</v>
      </c>
      <c r="BB100" s="52">
        <v>45616.32</v>
      </c>
      <c r="BC100" s="54">
        <v>0</v>
      </c>
      <c r="BD100" s="52">
        <v>45616.32</v>
      </c>
      <c r="BE100" s="52">
        <v>73761.820000000007</v>
      </c>
      <c r="BF100" s="54">
        <v>2354.2899999999995</v>
      </c>
      <c r="BG100" s="471">
        <v>76116.11</v>
      </c>
      <c r="BH100" s="471">
        <v>-581.42999999999995</v>
      </c>
      <c r="BI100" s="54">
        <v>293.87</v>
      </c>
      <c r="BJ100" s="471">
        <v>-287.55999999999995</v>
      </c>
    </row>
    <row r="101" spans="1:62" x14ac:dyDescent="0.2">
      <c r="A101" s="52" t="s">
        <v>249</v>
      </c>
      <c r="C101" s="472">
        <v>499296.85000000009</v>
      </c>
      <c r="D101" s="52">
        <v>92948.45</v>
      </c>
      <c r="E101" s="52">
        <v>592245.30000000005</v>
      </c>
      <c r="F101" s="52">
        <v>928954.44000000006</v>
      </c>
      <c r="G101" s="52">
        <v>213006.25999999995</v>
      </c>
      <c r="H101" s="52">
        <v>1141960.6999999997</v>
      </c>
      <c r="I101" s="52">
        <v>1238813.98</v>
      </c>
      <c r="J101" s="52">
        <v>136057.24000000002</v>
      </c>
      <c r="K101" s="52">
        <v>1374871.2199999997</v>
      </c>
      <c r="L101" s="52">
        <v>1125244.2799999998</v>
      </c>
      <c r="M101" s="52">
        <v>213160.13000000009</v>
      </c>
      <c r="N101" s="52">
        <v>1338404.4100000001</v>
      </c>
      <c r="O101" s="52">
        <v>1252829.94</v>
      </c>
      <c r="P101" s="52">
        <v>248317.89</v>
      </c>
      <c r="Q101" s="52">
        <v>1501147.8299999998</v>
      </c>
      <c r="R101" s="52">
        <v>1334460.4400000004</v>
      </c>
      <c r="S101" s="52">
        <v>196396.56</v>
      </c>
      <c r="T101" s="52">
        <v>1530857</v>
      </c>
      <c r="U101" s="52">
        <v>1203388.3600000001</v>
      </c>
      <c r="V101" s="52">
        <v>123450.49999999999</v>
      </c>
      <c r="W101" s="52">
        <v>1326838.8599999999</v>
      </c>
      <c r="X101" s="52">
        <v>1401013.7299999997</v>
      </c>
      <c r="Y101" s="52">
        <v>183696.49000000005</v>
      </c>
      <c r="Z101" s="52">
        <v>1584710.2200000004</v>
      </c>
      <c r="AA101" s="52">
        <v>1402007.3699999996</v>
      </c>
      <c r="AB101" s="52">
        <v>180353.79</v>
      </c>
      <c r="AC101" s="52">
        <v>1582361.1599999992</v>
      </c>
      <c r="AD101" s="52">
        <v>1401873.37</v>
      </c>
      <c r="AE101" s="52">
        <v>163223.62</v>
      </c>
      <c r="AF101" s="52">
        <v>1565096.9900000002</v>
      </c>
      <c r="AG101" s="52">
        <v>1715036.7299999995</v>
      </c>
      <c r="AH101" s="52">
        <v>146951.90000000002</v>
      </c>
      <c r="AI101" s="52">
        <v>1861988.6299999997</v>
      </c>
      <c r="AJ101" s="52">
        <v>1002156.8299999998</v>
      </c>
      <c r="AK101" s="52">
        <v>231489.28999999995</v>
      </c>
      <c r="AL101" s="52">
        <v>1233646.1200000001</v>
      </c>
      <c r="AM101" s="52">
        <v>14505076.320000004</v>
      </c>
      <c r="AN101" s="52">
        <v>2129052.12</v>
      </c>
      <c r="AO101" s="52">
        <v>16634128.439999999</v>
      </c>
      <c r="AP101" s="52">
        <v>1189968.5</v>
      </c>
      <c r="AQ101" s="52">
        <v>100193.18000000001</v>
      </c>
      <c r="AR101" s="52">
        <v>1290161.6800000002</v>
      </c>
      <c r="AS101" s="52">
        <v>1254142.3299999998</v>
      </c>
      <c r="AT101" s="52">
        <v>136341.97999999998</v>
      </c>
      <c r="AU101" s="52">
        <v>1390484.31</v>
      </c>
      <c r="AV101" s="52">
        <v>1375814.0699999998</v>
      </c>
      <c r="AW101" s="52">
        <v>199603.85</v>
      </c>
      <c r="AX101" s="52">
        <v>1575438.6400000001</v>
      </c>
      <c r="AY101" s="52">
        <v>1470061.76</v>
      </c>
      <c r="AZ101" s="52">
        <v>173141.59000000003</v>
      </c>
      <c r="BA101" s="52">
        <v>1525295.3699999996</v>
      </c>
      <c r="BB101" s="52">
        <v>1607682.4799999997</v>
      </c>
      <c r="BC101" s="52">
        <v>163462.71</v>
      </c>
      <c r="BD101" s="52">
        <v>1771145.1899999995</v>
      </c>
      <c r="BE101" s="52">
        <v>1586973.2999999998</v>
      </c>
      <c r="BF101" s="52">
        <v>193717.53</v>
      </c>
      <c r="BG101" s="471">
        <v>1780690.8300000003</v>
      </c>
      <c r="BH101" s="471">
        <v>1506578.6400000001</v>
      </c>
      <c r="BI101" s="52">
        <v>121705.87999999998</v>
      </c>
      <c r="BJ101" s="471">
        <v>1628284.52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XFC110"/>
  <sheetViews>
    <sheetView zoomScale="90" zoomScaleNormal="90" workbookViewId="0">
      <selection activeCell="I6" sqref="I6"/>
    </sheetView>
  </sheetViews>
  <sheetFormatPr baseColWidth="10" defaultColWidth="0" defaultRowHeight="15" zeroHeight="1" x14ac:dyDescent="0.25"/>
  <cols>
    <col min="1" max="1" width="4.7109375" style="61" customWidth="1"/>
    <col min="2" max="2" width="12.5703125" style="61" customWidth="1"/>
    <col min="3" max="3" width="13.7109375" style="61" customWidth="1"/>
    <col min="4" max="4" width="13" style="61" customWidth="1"/>
    <col min="5" max="5" width="14.85546875" style="61" customWidth="1"/>
    <col min="6" max="6" width="14.42578125" style="61" customWidth="1"/>
    <col min="7" max="7" width="11.85546875" style="61" customWidth="1"/>
    <col min="8" max="8" width="8.5703125" style="61" customWidth="1"/>
    <col min="9" max="9" width="7.85546875" style="61" customWidth="1"/>
    <col min="10" max="10" width="6" style="61" hidden="1" customWidth="1"/>
    <col min="11" max="11" width="3.85546875" style="61" hidden="1" customWidth="1"/>
    <col min="12" max="12" width="5.7109375" style="61" hidden="1" customWidth="1"/>
    <col min="13" max="13" width="7" style="61" hidden="1" customWidth="1"/>
    <col min="14" max="14" width="8.42578125" style="61" hidden="1" customWidth="1"/>
    <col min="15" max="15" width="7.42578125" style="61" hidden="1" customWidth="1"/>
    <col min="16" max="16" width="7.140625" style="96" customWidth="1"/>
    <col min="17" max="17" width="7.5703125" style="96" customWidth="1"/>
    <col min="18" max="16383" width="11.42578125" style="61" hidden="1"/>
    <col min="16384" max="16384" width="8.140625" style="61" hidden="1" customWidth="1"/>
  </cols>
  <sheetData>
    <row r="1" spans="1:19" s="271" customFormat="1" ht="38.25" customHeight="1" x14ac:dyDescent="0.25">
      <c r="A1" s="60"/>
      <c r="B1" s="60"/>
      <c r="C1" s="474" t="s">
        <v>550</v>
      </c>
      <c r="D1" s="474"/>
      <c r="E1" s="474"/>
      <c r="F1" s="474"/>
      <c r="G1" s="60"/>
      <c r="H1" s="60"/>
      <c r="I1" s="60"/>
      <c r="J1" s="60"/>
      <c r="K1" s="60"/>
      <c r="L1" s="60"/>
      <c r="M1" s="60"/>
      <c r="N1" s="60"/>
      <c r="O1" s="63"/>
      <c r="P1" s="63"/>
      <c r="Q1" s="63"/>
    </row>
    <row r="2" spans="1:19" s="271" customFormat="1" ht="21.75" customHeight="1" x14ac:dyDescent="0.25">
      <c r="A2" s="60"/>
      <c r="B2" s="62" t="s">
        <v>112</v>
      </c>
      <c r="C2" s="473" t="s">
        <v>701</v>
      </c>
      <c r="D2" s="473"/>
      <c r="E2" s="473"/>
      <c r="F2" s="473"/>
      <c r="G2" s="246"/>
      <c r="H2" s="323"/>
      <c r="I2" s="323"/>
      <c r="J2" s="323"/>
      <c r="K2" s="323"/>
      <c r="L2" s="323"/>
      <c r="M2" s="323"/>
      <c r="N2" s="246"/>
      <c r="O2" s="247" t="str">
        <f>IF(C2=0,"zero","blank")</f>
        <v>blank</v>
      </c>
      <c r="P2" s="101">
        <f>VALUE(LEFT(C2,5))</f>
        <v>13120</v>
      </c>
      <c r="Q2" s="100">
        <f>MATCH(P2,'Resumen de Unidades'!B:B,0)</f>
        <v>7</v>
      </c>
    </row>
    <row r="3" spans="1:19" s="271" customFormat="1" ht="15.75" thickBot="1" x14ac:dyDescent="0.3">
      <c r="A3" s="60"/>
      <c r="B3" s="60"/>
      <c r="C3" s="60"/>
      <c r="D3" s="60"/>
      <c r="E3" s="60"/>
      <c r="F3" s="60"/>
      <c r="G3" s="90"/>
      <c r="H3" s="90"/>
      <c r="I3" s="90"/>
      <c r="J3" s="90"/>
      <c r="K3" s="90"/>
      <c r="L3" s="90"/>
      <c r="M3" s="90"/>
      <c r="N3" s="90"/>
      <c r="O3" s="247"/>
      <c r="P3" s="100" t="s">
        <v>264</v>
      </c>
      <c r="Q3" s="100">
        <f>MATCH($P$2,BDDF!B:B,0)</f>
        <v>46</v>
      </c>
    </row>
    <row r="4" spans="1:19" s="271" customFormat="1" ht="36.75" thickBot="1" x14ac:dyDescent="0.3">
      <c r="A4" s="60"/>
      <c r="B4" s="128" t="s">
        <v>275</v>
      </c>
      <c r="C4" s="129" t="s">
        <v>252</v>
      </c>
      <c r="D4" s="129" t="s">
        <v>253</v>
      </c>
      <c r="E4" s="129" t="s">
        <v>152</v>
      </c>
      <c r="F4" s="131" t="s">
        <v>383</v>
      </c>
      <c r="G4" s="135" t="s">
        <v>382</v>
      </c>
      <c r="H4" s="322" t="s">
        <v>646</v>
      </c>
      <c r="I4" s="322" t="s">
        <v>648</v>
      </c>
      <c r="J4" s="112"/>
      <c r="K4" s="112"/>
      <c r="L4" s="112"/>
      <c r="M4" s="112"/>
      <c r="N4" s="112"/>
      <c r="O4" s="113"/>
      <c r="P4" s="100" t="s">
        <v>265</v>
      </c>
      <c r="Q4" s="100">
        <f>MATCH(P$2,BDFD!B:B,0)</f>
        <v>95</v>
      </c>
    </row>
    <row r="5" spans="1:19" s="271" customFormat="1" ht="25.5" customHeight="1" thickBot="1" x14ac:dyDescent="0.3">
      <c r="A5" s="60"/>
      <c r="B5" s="99" t="s">
        <v>379</v>
      </c>
      <c r="C5" s="95">
        <v>213.66666666666666</v>
      </c>
      <c r="D5" s="95">
        <v>195.5</v>
      </c>
      <c r="E5" s="103">
        <v>241</v>
      </c>
      <c r="F5" s="136">
        <v>258.72000000000003</v>
      </c>
      <c r="G5" s="138">
        <v>3105</v>
      </c>
      <c r="H5" s="324"/>
      <c r="I5" s="324"/>
      <c r="J5" s="64"/>
      <c r="K5" s="60"/>
      <c r="L5" s="60"/>
      <c r="M5" s="60"/>
      <c r="N5" s="60"/>
      <c r="O5" s="90"/>
      <c r="P5" s="100" t="s">
        <v>266</v>
      </c>
      <c r="Q5" s="100">
        <f>MATCH(P$2,BDIMS!B:B,0)</f>
        <v>59</v>
      </c>
    </row>
    <row r="6" spans="1:19" s="271" customFormat="1" ht="24.75" customHeight="1" thickBot="1" x14ac:dyDescent="0.3">
      <c r="A6" s="60"/>
      <c r="B6" s="99" t="s">
        <v>380</v>
      </c>
      <c r="C6" s="95">
        <v>191</v>
      </c>
      <c r="D6" s="103">
        <v>173.33333333333334</v>
      </c>
      <c r="E6" s="103">
        <v>216</v>
      </c>
      <c r="F6" s="138">
        <v>228.36</v>
      </c>
      <c r="G6" s="137">
        <v>2740</v>
      </c>
      <c r="H6" s="325">
        <v>1.1473354231974922</v>
      </c>
      <c r="I6" s="325">
        <v>-0.20900983988318964</v>
      </c>
      <c r="J6" s="66"/>
      <c r="K6" s="67"/>
      <c r="L6" s="68"/>
      <c r="M6" s="69"/>
      <c r="N6" s="68"/>
      <c r="O6" s="97"/>
      <c r="P6" s="100" t="s">
        <v>263</v>
      </c>
      <c r="Q6" s="102">
        <f ca="1">TODAY()</f>
        <v>42970</v>
      </c>
    </row>
    <row r="7" spans="1:19" s="271" customFormat="1" ht="25.5" hidden="1" customHeight="1" x14ac:dyDescent="0.25">
      <c r="A7" s="60"/>
      <c r="B7" s="70" t="s">
        <v>134</v>
      </c>
      <c r="C7" s="71"/>
      <c r="D7" s="71"/>
      <c r="E7" s="94"/>
      <c r="F7" s="71"/>
      <c r="G7" s="134"/>
      <c r="H7" s="72"/>
      <c r="I7" s="73"/>
      <c r="J7" s="74"/>
      <c r="K7" s="75">
        <f t="shared" ref="K7:K17" si="0">F7*H7</f>
        <v>0</v>
      </c>
      <c r="L7" s="76">
        <f t="shared" ref="L7:L16" si="1">F7*G7</f>
        <v>0</v>
      </c>
      <c r="M7" s="77">
        <f t="shared" ref="M7:M16" si="2">ROUND(F7*I7,0)</f>
        <v>0</v>
      </c>
      <c r="N7" s="76">
        <f t="shared" ref="N7:N17" si="3">M7*G7</f>
        <v>0</v>
      </c>
      <c r="O7" s="98">
        <f t="shared" ref="O7:O17" si="4">J7*G7</f>
        <v>0</v>
      </c>
      <c r="P7" s="100" t="s">
        <v>262</v>
      </c>
      <c r="Q7" s="105">
        <f ca="1">MONTH(Q6)-1</f>
        <v>7</v>
      </c>
      <c r="S7" s="271">
        <v>2</v>
      </c>
    </row>
    <row r="8" spans="1:19" s="271" customFormat="1" ht="30" hidden="1" customHeight="1" x14ac:dyDescent="0.25">
      <c r="A8" s="60"/>
      <c r="B8" s="70" t="s">
        <v>135</v>
      </c>
      <c r="C8" s="71"/>
      <c r="D8" s="71"/>
      <c r="E8" s="71"/>
      <c r="F8" s="71"/>
      <c r="G8" s="72"/>
      <c r="H8" s="72"/>
      <c r="I8" s="73"/>
      <c r="J8" s="74"/>
      <c r="K8" s="75">
        <f t="shared" si="0"/>
        <v>0</v>
      </c>
      <c r="L8" s="76">
        <f t="shared" si="1"/>
        <v>0</v>
      </c>
      <c r="M8" s="77">
        <f t="shared" si="2"/>
        <v>0</v>
      </c>
      <c r="N8" s="76">
        <f t="shared" si="3"/>
        <v>0</v>
      </c>
      <c r="O8" s="98">
        <f t="shared" si="4"/>
        <v>0</v>
      </c>
      <c r="P8" s="106" t="s">
        <v>261</v>
      </c>
      <c r="Q8" s="107">
        <f ca="1">YEAR(Q6)</f>
        <v>2017</v>
      </c>
    </row>
    <row r="9" spans="1:19" s="271" customFormat="1" ht="27" hidden="1" customHeight="1" x14ac:dyDescent="0.25">
      <c r="A9" s="60"/>
      <c r="B9" s="70" t="s">
        <v>136</v>
      </c>
      <c r="C9" s="71"/>
      <c r="D9" s="71"/>
      <c r="E9" s="71"/>
      <c r="F9" s="71"/>
      <c r="G9" s="72"/>
      <c r="H9" s="72"/>
      <c r="I9" s="73"/>
      <c r="J9" s="74"/>
      <c r="K9" s="75">
        <f t="shared" si="0"/>
        <v>0</v>
      </c>
      <c r="L9" s="76">
        <f t="shared" si="1"/>
        <v>0</v>
      </c>
      <c r="M9" s="77">
        <f t="shared" si="2"/>
        <v>0</v>
      </c>
      <c r="N9" s="76">
        <f t="shared" si="3"/>
        <v>0</v>
      </c>
      <c r="O9" s="98">
        <f t="shared" si="4"/>
        <v>0</v>
      </c>
      <c r="P9" s="106"/>
      <c r="Q9" s="63">
        <f ca="1">VALUE(Q7)*VALUE(Q8)</f>
        <v>14119</v>
      </c>
    </row>
    <row r="10" spans="1:19" s="271" customFormat="1" ht="22.5" hidden="1" customHeight="1" x14ac:dyDescent="0.25">
      <c r="A10" s="60"/>
      <c r="B10" s="70" t="s">
        <v>137</v>
      </c>
      <c r="C10" s="71"/>
      <c r="D10" s="71"/>
      <c r="E10" s="71"/>
      <c r="F10" s="71"/>
      <c r="G10" s="72"/>
      <c r="H10" s="72"/>
      <c r="I10" s="73"/>
      <c r="J10" s="74"/>
      <c r="K10" s="75">
        <f t="shared" si="0"/>
        <v>0</v>
      </c>
      <c r="L10" s="76">
        <f t="shared" si="1"/>
        <v>0</v>
      </c>
      <c r="M10" s="77">
        <f t="shared" si="2"/>
        <v>0</v>
      </c>
      <c r="N10" s="76">
        <f t="shared" si="3"/>
        <v>0</v>
      </c>
      <c r="O10" s="98">
        <f t="shared" si="4"/>
        <v>0</v>
      </c>
      <c r="P10" s="100" t="s">
        <v>267</v>
      </c>
      <c r="Q10" s="63">
        <f ca="1">MATCH(Q$9,BDDF!1:1,0)</f>
        <v>57</v>
      </c>
    </row>
    <row r="11" spans="1:19" s="271" customFormat="1" ht="21.75" hidden="1" customHeight="1" x14ac:dyDescent="0.25">
      <c r="A11" s="60"/>
      <c r="B11" s="70" t="s">
        <v>138</v>
      </c>
      <c r="C11" s="71"/>
      <c r="D11" s="71"/>
      <c r="E11" s="71"/>
      <c r="F11" s="71"/>
      <c r="G11" s="72"/>
      <c r="H11" s="72"/>
      <c r="I11" s="73"/>
      <c r="J11" s="74"/>
      <c r="K11" s="75">
        <f t="shared" si="0"/>
        <v>0</v>
      </c>
      <c r="L11" s="76">
        <f t="shared" si="1"/>
        <v>0</v>
      </c>
      <c r="M11" s="77">
        <f t="shared" si="2"/>
        <v>0</v>
      </c>
      <c r="N11" s="76">
        <f t="shared" si="3"/>
        <v>0</v>
      </c>
      <c r="O11" s="98">
        <f t="shared" si="4"/>
        <v>0</v>
      </c>
      <c r="P11" s="100" t="s">
        <v>268</v>
      </c>
      <c r="Q11" s="63">
        <f ca="1">MATCH(Q$9,BDFD!1:1,0)</f>
        <v>57</v>
      </c>
    </row>
    <row r="12" spans="1:19" s="271" customFormat="1" ht="23.25" hidden="1" customHeight="1" x14ac:dyDescent="0.25">
      <c r="A12" s="60"/>
      <c r="B12" s="70" t="s">
        <v>139</v>
      </c>
      <c r="C12" s="71"/>
      <c r="D12" s="71"/>
      <c r="E12" s="71"/>
      <c r="F12" s="71"/>
      <c r="G12" s="72"/>
      <c r="H12" s="72"/>
      <c r="I12" s="73"/>
      <c r="J12" s="74"/>
      <c r="K12" s="75">
        <f t="shared" si="0"/>
        <v>0</v>
      </c>
      <c r="L12" s="76">
        <f t="shared" si="1"/>
        <v>0</v>
      </c>
      <c r="M12" s="77">
        <f t="shared" si="2"/>
        <v>0</v>
      </c>
      <c r="N12" s="76">
        <f t="shared" si="3"/>
        <v>0</v>
      </c>
      <c r="O12" s="98">
        <f t="shared" si="4"/>
        <v>0</v>
      </c>
      <c r="P12" s="100" t="s">
        <v>269</v>
      </c>
      <c r="Q12" s="63">
        <f ca="1">MATCH(Q$9,BDIMS!2:2,0)</f>
        <v>21</v>
      </c>
    </row>
    <row r="13" spans="1:19" s="271" customFormat="1" ht="23.25" hidden="1" customHeight="1" x14ac:dyDescent="0.25">
      <c r="A13" s="60"/>
      <c r="B13" s="70" t="s">
        <v>140</v>
      </c>
      <c r="C13" s="71"/>
      <c r="D13" s="71"/>
      <c r="E13" s="71"/>
      <c r="F13" s="71"/>
      <c r="G13" s="72"/>
      <c r="H13" s="72"/>
      <c r="I13" s="73"/>
      <c r="J13" s="74"/>
      <c r="K13" s="75">
        <f t="shared" si="0"/>
        <v>0</v>
      </c>
      <c r="L13" s="76">
        <f t="shared" si="1"/>
        <v>0</v>
      </c>
      <c r="M13" s="77">
        <f t="shared" si="2"/>
        <v>0</v>
      </c>
      <c r="N13" s="76">
        <f t="shared" si="3"/>
        <v>0</v>
      </c>
      <c r="O13" s="98">
        <f t="shared" si="4"/>
        <v>0</v>
      </c>
      <c r="P13" s="100" t="s">
        <v>679</v>
      </c>
      <c r="Q13" s="63">
        <f>MATCH($P$2,BDPPTO!B:B,0)</f>
        <v>10</v>
      </c>
    </row>
    <row r="14" spans="1:19" s="271" customFormat="1" ht="22.5" hidden="1" customHeight="1" x14ac:dyDescent="0.25">
      <c r="A14" s="60"/>
      <c r="B14" s="70" t="s">
        <v>141</v>
      </c>
      <c r="C14" s="71"/>
      <c r="D14" s="71"/>
      <c r="E14" s="71"/>
      <c r="F14" s="71"/>
      <c r="G14" s="72"/>
      <c r="H14" s="72"/>
      <c r="I14" s="73"/>
      <c r="J14" s="74"/>
      <c r="K14" s="75">
        <f t="shared" si="0"/>
        <v>0</v>
      </c>
      <c r="L14" s="76">
        <f t="shared" si="1"/>
        <v>0</v>
      </c>
      <c r="M14" s="77">
        <f t="shared" si="2"/>
        <v>0</v>
      </c>
      <c r="N14" s="76">
        <f t="shared" si="3"/>
        <v>0</v>
      </c>
      <c r="O14" s="98">
        <f t="shared" si="4"/>
        <v>0</v>
      </c>
      <c r="P14" s="63"/>
      <c r="Q14" s="63"/>
    </row>
    <row r="15" spans="1:19" s="271" customFormat="1" ht="23.25" hidden="1" customHeight="1" x14ac:dyDescent="0.25">
      <c r="A15" s="60"/>
      <c r="B15" s="70" t="s">
        <v>142</v>
      </c>
      <c r="C15" s="71"/>
      <c r="D15" s="71"/>
      <c r="E15" s="71"/>
      <c r="F15" s="71"/>
      <c r="G15" s="72"/>
      <c r="H15" s="72"/>
      <c r="I15" s="73"/>
      <c r="J15" s="74"/>
      <c r="K15" s="75">
        <f t="shared" si="0"/>
        <v>0</v>
      </c>
      <c r="L15" s="76">
        <f t="shared" si="1"/>
        <v>0</v>
      </c>
      <c r="M15" s="77">
        <f t="shared" si="2"/>
        <v>0</v>
      </c>
      <c r="N15" s="76">
        <f t="shared" si="3"/>
        <v>0</v>
      </c>
      <c r="O15" s="98">
        <f t="shared" si="4"/>
        <v>0</v>
      </c>
      <c r="P15" s="63" t="s">
        <v>271</v>
      </c>
      <c r="Q15" s="63"/>
    </row>
    <row r="16" spans="1:19" s="271" customFormat="1" ht="24.75" hidden="1" customHeight="1" x14ac:dyDescent="0.25">
      <c r="A16" s="60"/>
      <c r="B16" s="70" t="s">
        <v>143</v>
      </c>
      <c r="C16" s="71"/>
      <c r="D16" s="71"/>
      <c r="E16" s="71"/>
      <c r="F16" s="71"/>
      <c r="G16" s="72"/>
      <c r="H16" s="72"/>
      <c r="I16" s="73"/>
      <c r="J16" s="74"/>
      <c r="K16" s="75">
        <f t="shared" si="0"/>
        <v>0</v>
      </c>
      <c r="L16" s="76">
        <f t="shared" si="1"/>
        <v>0</v>
      </c>
      <c r="M16" s="77">
        <f t="shared" si="2"/>
        <v>0</v>
      </c>
      <c r="N16" s="76">
        <f t="shared" si="3"/>
        <v>0</v>
      </c>
      <c r="O16" s="98">
        <f t="shared" si="4"/>
        <v>0</v>
      </c>
      <c r="P16" s="63" t="s">
        <v>272</v>
      </c>
      <c r="Q16" s="63"/>
    </row>
    <row r="17" spans="1:17" s="271" customFormat="1" ht="23.25" hidden="1" customHeight="1" thickBot="1" x14ac:dyDescent="0.3">
      <c r="A17" s="60"/>
      <c r="B17" s="114" t="s">
        <v>144</v>
      </c>
      <c r="C17" s="115"/>
      <c r="D17" s="115"/>
      <c r="E17" s="115"/>
      <c r="F17" s="115"/>
      <c r="G17" s="116"/>
      <c r="H17" s="116"/>
      <c r="I17" s="117"/>
      <c r="J17" s="118"/>
      <c r="K17" s="119">
        <f t="shared" si="0"/>
        <v>0</v>
      </c>
      <c r="L17" s="120">
        <f>C17*G17</f>
        <v>0</v>
      </c>
      <c r="M17" s="121">
        <f>ROUND(C17*I17,0)</f>
        <v>0</v>
      </c>
      <c r="N17" s="120">
        <f t="shared" si="3"/>
        <v>0</v>
      </c>
      <c r="O17" s="122">
        <f t="shared" si="4"/>
        <v>0</v>
      </c>
      <c r="P17" s="63" t="s">
        <v>273</v>
      </c>
      <c r="Q17" s="63"/>
    </row>
    <row r="18" spans="1:17" s="271" customFormat="1" ht="16.5" customHeight="1" x14ac:dyDescent="0.25">
      <c r="A18" s="60"/>
      <c r="B18" s="78"/>
      <c r="C18" s="79"/>
      <c r="D18" s="79"/>
      <c r="E18" s="79"/>
      <c r="F18" s="79"/>
      <c r="G18" s="80"/>
      <c r="H18" s="88"/>
      <c r="I18" s="81"/>
      <c r="J18" s="82"/>
      <c r="K18" s="83"/>
      <c r="L18" s="60"/>
      <c r="M18" s="60"/>
      <c r="N18" s="60"/>
      <c r="O18" s="90"/>
      <c r="P18" s="63"/>
      <c r="Q18" s="63"/>
    </row>
    <row r="19" spans="1:17" s="271" customFormat="1" ht="12.75" hidden="1" customHeight="1" thickBot="1" x14ac:dyDescent="0.3">
      <c r="A19" s="60"/>
      <c r="B19" s="123" t="s">
        <v>146</v>
      </c>
      <c r="C19" s="89">
        <f>SUM(C6:C17)</f>
        <v>191</v>
      </c>
      <c r="D19" s="89">
        <f>SUM(D6:D17)</f>
        <v>173.33333333333334</v>
      </c>
      <c r="E19" s="89">
        <f>SUM(E6:E18)</f>
        <v>216</v>
      </c>
      <c r="F19" s="85"/>
      <c r="G19" s="93"/>
      <c r="H19" s="60"/>
      <c r="I19" s="124"/>
      <c r="J19" s="84">
        <f t="shared" ref="J19:O19" si="5">SUM(J6:J17)</f>
        <v>0</v>
      </c>
      <c r="K19" s="59">
        <f t="shared" si="5"/>
        <v>0</v>
      </c>
      <c r="L19" s="59">
        <f t="shared" si="5"/>
        <v>0</v>
      </c>
      <c r="M19" s="125">
        <f t="shared" si="5"/>
        <v>0</v>
      </c>
      <c r="N19" s="59">
        <f t="shared" si="5"/>
        <v>0</v>
      </c>
      <c r="O19" s="289">
        <f t="shared" si="5"/>
        <v>0</v>
      </c>
      <c r="P19" s="90"/>
      <c r="Q19" s="90"/>
    </row>
    <row r="20" spans="1:17" s="271" customFormat="1" x14ac:dyDescent="0.25">
      <c r="A20" s="60"/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90"/>
      <c r="P20" s="90"/>
      <c r="Q20" s="90"/>
    </row>
    <row r="21" spans="1:17" s="271" customFormat="1" ht="24" customHeight="1" x14ac:dyDescent="0.25">
      <c r="A21" s="60"/>
      <c r="B21" s="60"/>
      <c r="C21" s="60"/>
      <c r="D21" s="60"/>
      <c r="E21" s="60"/>
      <c r="F21" s="60"/>
      <c r="G21" s="91"/>
      <c r="H21" s="92"/>
      <c r="I21" s="60"/>
      <c r="J21" s="60"/>
      <c r="K21" s="60"/>
      <c r="L21" s="60"/>
      <c r="M21" s="60"/>
      <c r="N21" s="60"/>
      <c r="O21" s="90"/>
      <c r="P21" s="90"/>
      <c r="Q21" s="90"/>
    </row>
    <row r="22" spans="1:17" ht="15.75" customHeight="1" x14ac:dyDescent="0.25">
      <c r="A22" s="60"/>
      <c r="B22" s="60"/>
      <c r="C22" s="60"/>
      <c r="D22" s="60"/>
      <c r="E22" s="60"/>
      <c r="F22" s="60"/>
      <c r="G22" s="91"/>
      <c r="H22" s="92"/>
      <c r="I22" s="60"/>
      <c r="J22" s="60"/>
      <c r="K22" s="60"/>
      <c r="L22" s="60"/>
      <c r="M22" s="60"/>
      <c r="N22" s="60"/>
      <c r="O22" s="90"/>
      <c r="P22" s="90"/>
      <c r="Q22" s="90"/>
    </row>
    <row r="23" spans="1:17" ht="24" customHeight="1" x14ac:dyDescent="0.25">
      <c r="A23" s="60"/>
      <c r="B23" s="64" t="s">
        <v>274</v>
      </c>
      <c r="C23" s="140" t="s">
        <v>699</v>
      </c>
      <c r="D23" s="60"/>
      <c r="E23" s="60"/>
      <c r="F23" s="60"/>
      <c r="G23" s="91"/>
      <c r="H23" s="92"/>
      <c r="I23" s="60"/>
      <c r="J23" s="60"/>
      <c r="K23" s="60"/>
      <c r="L23" s="60"/>
      <c r="M23" s="60"/>
      <c r="N23" s="60"/>
      <c r="O23" s="90"/>
      <c r="P23" s="90"/>
      <c r="Q23" s="90"/>
    </row>
    <row r="24" spans="1:17" s="60" customFormat="1" ht="24" customHeight="1" x14ac:dyDescent="0.25">
      <c r="C24" s="248" t="s">
        <v>385</v>
      </c>
      <c r="D24" s="248" t="s">
        <v>270</v>
      </c>
      <c r="G24" s="91"/>
      <c r="H24" s="92"/>
      <c r="P24" s="90"/>
      <c r="Q24" s="90"/>
    </row>
    <row r="25" spans="1:17" s="60" customFormat="1" ht="24" customHeight="1" x14ac:dyDescent="0.25">
      <c r="B25" s="130" t="s">
        <v>250</v>
      </c>
      <c r="C25" s="249">
        <v>0.32</v>
      </c>
      <c r="D25" s="127" t="s">
        <v>272</v>
      </c>
      <c r="G25" s="91"/>
      <c r="H25" s="92"/>
      <c r="P25" s="90"/>
      <c r="Q25" s="90"/>
    </row>
    <row r="26" spans="1:17" s="60" customFormat="1" ht="16.5" customHeight="1" x14ac:dyDescent="0.25">
      <c r="B26" s="91"/>
      <c r="G26" s="91"/>
      <c r="H26" s="92"/>
      <c r="P26" s="90"/>
      <c r="Q26" s="90"/>
    </row>
    <row r="27" spans="1:17" s="60" customFormat="1" x14ac:dyDescent="0.25">
      <c r="A27" s="108"/>
      <c r="B27" s="108"/>
      <c r="C27" s="108"/>
      <c r="D27" s="108"/>
      <c r="E27" s="108"/>
      <c r="F27" s="108"/>
      <c r="G27" s="111"/>
      <c r="H27" s="110"/>
      <c r="I27" s="108"/>
      <c r="J27" s="108"/>
      <c r="K27" s="108"/>
      <c r="L27" s="108"/>
      <c r="M27" s="108"/>
      <c r="N27" s="108"/>
      <c r="O27" s="108"/>
      <c r="P27" s="109"/>
      <c r="Q27" s="109"/>
    </row>
    <row r="28" spans="1:17" s="60" customFormat="1" hidden="1" x14ac:dyDescent="0.25">
      <c r="P28" s="90"/>
      <c r="Q28" s="90"/>
    </row>
    <row r="29" spans="1:17" s="60" customFormat="1" hidden="1" x14ac:dyDescent="0.25">
      <c r="A29" s="61"/>
      <c r="P29" s="90"/>
      <c r="Q29" s="90"/>
    </row>
    <row r="30" spans="1:17" s="60" customFormat="1" hidden="1" x14ac:dyDescent="0.25">
      <c r="A30" s="61"/>
      <c r="P30" s="90"/>
      <c r="Q30" s="90"/>
    </row>
    <row r="31" spans="1:17" s="60" customFormat="1" hidden="1" x14ac:dyDescent="0.25">
      <c r="A31" s="61"/>
      <c r="P31" s="90"/>
      <c r="Q31" s="90"/>
    </row>
    <row r="32" spans="1:17" s="60" customFormat="1" hidden="1" x14ac:dyDescent="0.25">
      <c r="A32" s="61"/>
      <c r="P32" s="90"/>
      <c r="Q32" s="90"/>
    </row>
    <row r="33" spans="1:17" s="60" customFormat="1" hidden="1" x14ac:dyDescent="0.25">
      <c r="A33" s="61"/>
      <c r="P33" s="90"/>
      <c r="Q33" s="90"/>
    </row>
    <row r="34" spans="1:17" s="60" customFormat="1" hidden="1" x14ac:dyDescent="0.25">
      <c r="A34" s="61"/>
      <c r="P34" s="90"/>
      <c r="Q34" s="90"/>
    </row>
    <row r="35" spans="1:17" s="60" customFormat="1" hidden="1" x14ac:dyDescent="0.25">
      <c r="A35" s="61"/>
      <c r="P35" s="90"/>
      <c r="Q35" s="90"/>
    </row>
    <row r="36" spans="1:17" s="60" customFormat="1" hidden="1" x14ac:dyDescent="0.25">
      <c r="A36" s="61"/>
      <c r="P36" s="90"/>
      <c r="Q36" s="90"/>
    </row>
    <row r="37" spans="1:17" s="60" customFormat="1" hidden="1" x14ac:dyDescent="0.25">
      <c r="A37" s="61"/>
      <c r="P37" s="90"/>
      <c r="Q37" s="90"/>
    </row>
    <row r="38" spans="1:17" s="60" customFormat="1" hidden="1" x14ac:dyDescent="0.25">
      <c r="A38" s="61"/>
      <c r="P38" s="90"/>
      <c r="Q38" s="90"/>
    </row>
    <row r="39" spans="1:17" s="60" customFormat="1" hidden="1" x14ac:dyDescent="0.25">
      <c r="A39" s="61"/>
      <c r="P39" s="90"/>
      <c r="Q39" s="90"/>
    </row>
    <row r="40" spans="1:17" s="60" customFormat="1" hidden="1" x14ac:dyDescent="0.25">
      <c r="A40" s="61"/>
      <c r="P40" s="90"/>
      <c r="Q40" s="90"/>
    </row>
    <row r="41" spans="1:17" s="60" customFormat="1" hidden="1" x14ac:dyDescent="0.25">
      <c r="A41" s="61"/>
      <c r="P41" s="90"/>
      <c r="Q41" s="90"/>
    </row>
    <row r="42" spans="1:17" s="60" customFormat="1" hidden="1" x14ac:dyDescent="0.25">
      <c r="A42" s="61"/>
      <c r="P42" s="90"/>
      <c r="Q42" s="90"/>
    </row>
    <row r="43" spans="1:17" s="60" customFormat="1" hidden="1" x14ac:dyDescent="0.25">
      <c r="A43" s="61"/>
      <c r="P43" s="90"/>
      <c r="Q43" s="90"/>
    </row>
    <row r="44" spans="1:17" s="60" customFormat="1" hidden="1" x14ac:dyDescent="0.25">
      <c r="A44" s="61"/>
      <c r="P44" s="90"/>
      <c r="Q44" s="90"/>
    </row>
    <row r="45" spans="1:17" s="60" customFormat="1" hidden="1" x14ac:dyDescent="0.25">
      <c r="A45" s="61"/>
      <c r="P45" s="90"/>
      <c r="Q45" s="90"/>
    </row>
    <row r="46" spans="1:17" s="60" customFormat="1" hidden="1" x14ac:dyDescent="0.25">
      <c r="A46" s="61"/>
      <c r="P46" s="90"/>
      <c r="Q46" s="90"/>
    </row>
    <row r="47" spans="1:17" s="60" customFormat="1" hidden="1" x14ac:dyDescent="0.25">
      <c r="A47" s="61"/>
      <c r="P47" s="90"/>
      <c r="Q47" s="90"/>
    </row>
    <row r="48" spans="1:17" s="60" customFormat="1" hidden="1" x14ac:dyDescent="0.25">
      <c r="A48" s="61"/>
      <c r="P48" s="90"/>
      <c r="Q48" s="90"/>
    </row>
    <row r="49" spans="1:17" s="60" customFormat="1" hidden="1" x14ac:dyDescent="0.25">
      <c r="A49" s="61"/>
      <c r="P49" s="90"/>
      <c r="Q49" s="90"/>
    </row>
    <row r="50" spans="1:17" s="60" customFormat="1" hidden="1" x14ac:dyDescent="0.25">
      <c r="A50" s="61"/>
      <c r="P50" s="90"/>
      <c r="Q50" s="90"/>
    </row>
    <row r="51" spans="1:17" s="60" customFormat="1" hidden="1" x14ac:dyDescent="0.25">
      <c r="A51" s="61"/>
      <c r="P51" s="90"/>
      <c r="Q51" s="90"/>
    </row>
    <row r="52" spans="1:17" s="60" customFormat="1" hidden="1" x14ac:dyDescent="0.25">
      <c r="A52" s="61"/>
      <c r="P52" s="90"/>
      <c r="Q52" s="90"/>
    </row>
    <row r="53" spans="1:17" s="60" customFormat="1" hidden="1" x14ac:dyDescent="0.25">
      <c r="A53" s="61"/>
      <c r="P53" s="90"/>
      <c r="Q53" s="90"/>
    </row>
    <row r="54" spans="1:17" s="60" customFormat="1" hidden="1" x14ac:dyDescent="0.25">
      <c r="A54" s="61"/>
      <c r="P54" s="90"/>
      <c r="Q54" s="90"/>
    </row>
    <row r="55" spans="1:17" s="60" customFormat="1" hidden="1" x14ac:dyDescent="0.25">
      <c r="A55" s="61"/>
      <c r="P55" s="90"/>
      <c r="Q55" s="90"/>
    </row>
    <row r="56" spans="1:17" s="60" customFormat="1" hidden="1" x14ac:dyDescent="0.25">
      <c r="A56" s="61"/>
      <c r="P56" s="90"/>
      <c r="Q56" s="90"/>
    </row>
    <row r="57" spans="1:17" s="60" customFormat="1" hidden="1" x14ac:dyDescent="0.25">
      <c r="A57" s="61"/>
      <c r="P57" s="90"/>
      <c r="Q57" s="90"/>
    </row>
    <row r="58" spans="1:17" s="60" customFormat="1" hidden="1" x14ac:dyDescent="0.25">
      <c r="A58" s="61"/>
      <c r="P58" s="90"/>
      <c r="Q58" s="90"/>
    </row>
    <row r="59" spans="1:17" s="60" customFormat="1" hidden="1" x14ac:dyDescent="0.25">
      <c r="A59" s="61"/>
      <c r="P59" s="90"/>
      <c r="Q59" s="90"/>
    </row>
    <row r="60" spans="1:17" s="60" customFormat="1" hidden="1" x14ac:dyDescent="0.25">
      <c r="A60" s="61"/>
      <c r="P60" s="90"/>
      <c r="Q60" s="90"/>
    </row>
    <row r="61" spans="1:17" s="60" customFormat="1" hidden="1" x14ac:dyDescent="0.25">
      <c r="A61" s="61"/>
      <c r="P61" s="90"/>
      <c r="Q61" s="90"/>
    </row>
    <row r="62" spans="1:17" s="60" customFormat="1" hidden="1" x14ac:dyDescent="0.25">
      <c r="A62" s="61"/>
      <c r="P62" s="90"/>
      <c r="Q62" s="90"/>
    </row>
    <row r="63" spans="1:17" s="60" customFormat="1" hidden="1" x14ac:dyDescent="0.25">
      <c r="A63" s="61"/>
      <c r="P63" s="90"/>
      <c r="Q63" s="90"/>
    </row>
    <row r="64" spans="1:17" s="60" customFormat="1" hidden="1" x14ac:dyDescent="0.25">
      <c r="A64" s="61"/>
      <c r="P64" s="90"/>
      <c r="Q64" s="90"/>
    </row>
    <row r="65" spans="1:17" s="60" customFormat="1" hidden="1" x14ac:dyDescent="0.25">
      <c r="A65" s="61"/>
      <c r="P65" s="90"/>
      <c r="Q65" s="90"/>
    </row>
    <row r="66" spans="1:17" s="60" customFormat="1" hidden="1" x14ac:dyDescent="0.25">
      <c r="A66" s="61"/>
      <c r="P66" s="90"/>
      <c r="Q66" s="90"/>
    </row>
    <row r="67" spans="1:17" s="60" customFormat="1" hidden="1" x14ac:dyDescent="0.25">
      <c r="A67" s="61"/>
      <c r="P67" s="90"/>
      <c r="Q67" s="90"/>
    </row>
    <row r="68" spans="1:17" s="60" customFormat="1" hidden="1" x14ac:dyDescent="0.25">
      <c r="A68" s="61"/>
      <c r="P68" s="90"/>
      <c r="Q68" s="90"/>
    </row>
    <row r="69" spans="1:17" s="60" customFormat="1" hidden="1" x14ac:dyDescent="0.25">
      <c r="A69" s="61"/>
      <c r="P69" s="90"/>
      <c r="Q69" s="90"/>
    </row>
    <row r="70" spans="1:17" s="60" customFormat="1" hidden="1" x14ac:dyDescent="0.25">
      <c r="A70" s="61"/>
      <c r="P70" s="90"/>
      <c r="Q70" s="90"/>
    </row>
    <row r="71" spans="1:17" s="60" customFormat="1" hidden="1" x14ac:dyDescent="0.25">
      <c r="A71" s="61"/>
      <c r="P71" s="90"/>
      <c r="Q71" s="90"/>
    </row>
    <row r="72" spans="1:17" s="60" customFormat="1" hidden="1" x14ac:dyDescent="0.25">
      <c r="A72" s="61"/>
      <c r="P72" s="90"/>
      <c r="Q72" s="90"/>
    </row>
    <row r="73" spans="1:17" s="60" customFormat="1" hidden="1" x14ac:dyDescent="0.25">
      <c r="A73" s="61"/>
      <c r="P73" s="90"/>
      <c r="Q73" s="90"/>
    </row>
    <row r="74" spans="1:17" s="60" customFormat="1" hidden="1" x14ac:dyDescent="0.25">
      <c r="A74" s="61"/>
      <c r="P74" s="90"/>
      <c r="Q74" s="90"/>
    </row>
    <row r="75" spans="1:17" s="60" customFormat="1" hidden="1" x14ac:dyDescent="0.25">
      <c r="A75" s="61"/>
      <c r="P75" s="90"/>
      <c r="Q75" s="90"/>
    </row>
    <row r="76" spans="1:17" s="60" customFormat="1" hidden="1" x14ac:dyDescent="0.25">
      <c r="A76" s="61"/>
      <c r="P76" s="90"/>
      <c r="Q76" s="90"/>
    </row>
    <row r="77" spans="1:17" s="60" customFormat="1" hidden="1" x14ac:dyDescent="0.25">
      <c r="A77" s="61"/>
      <c r="P77" s="90"/>
      <c r="Q77" s="90"/>
    </row>
    <row r="78" spans="1:17" s="60" customFormat="1" hidden="1" x14ac:dyDescent="0.25">
      <c r="A78" s="61"/>
      <c r="P78" s="90"/>
      <c r="Q78" s="90"/>
    </row>
    <row r="79" spans="1:17" s="60" customFormat="1" hidden="1" x14ac:dyDescent="0.25">
      <c r="A79" s="61"/>
      <c r="P79" s="90"/>
      <c r="Q79" s="90"/>
    </row>
    <row r="80" spans="1:17" s="60" customFormat="1" hidden="1" x14ac:dyDescent="0.25">
      <c r="A80" s="61"/>
      <c r="P80" s="90"/>
      <c r="Q80" s="90"/>
    </row>
    <row r="81" spans="1:17" s="60" customFormat="1" hidden="1" x14ac:dyDescent="0.25">
      <c r="A81" s="61"/>
      <c r="P81" s="90"/>
      <c r="Q81" s="90"/>
    </row>
    <row r="82" spans="1:17" s="60" customFormat="1" hidden="1" x14ac:dyDescent="0.25">
      <c r="A82" s="61"/>
      <c r="P82" s="90"/>
      <c r="Q82" s="90"/>
    </row>
    <row r="83" spans="1:17" s="60" customFormat="1" hidden="1" x14ac:dyDescent="0.25">
      <c r="A83" s="61"/>
      <c r="P83" s="90"/>
      <c r="Q83" s="90"/>
    </row>
    <row r="84" spans="1:17" s="60" customFormat="1" hidden="1" x14ac:dyDescent="0.25">
      <c r="A84" s="61"/>
      <c r="P84" s="90"/>
      <c r="Q84" s="90"/>
    </row>
    <row r="85" spans="1:17" s="60" customFormat="1" hidden="1" x14ac:dyDescent="0.25">
      <c r="A85" s="61"/>
      <c r="P85" s="90"/>
      <c r="Q85" s="90"/>
    </row>
    <row r="86" spans="1:17" s="60" customFormat="1" hidden="1" x14ac:dyDescent="0.25">
      <c r="A86" s="61"/>
      <c r="P86" s="90"/>
      <c r="Q86" s="90"/>
    </row>
    <row r="87" spans="1:17" s="60" customFormat="1" hidden="1" x14ac:dyDescent="0.25">
      <c r="A87" s="61"/>
      <c r="P87" s="90"/>
      <c r="Q87" s="90"/>
    </row>
    <row r="88" spans="1:17" s="60" customFormat="1" hidden="1" x14ac:dyDescent="0.25">
      <c r="A88" s="61"/>
      <c r="P88" s="90"/>
      <c r="Q88" s="90"/>
    </row>
    <row r="89" spans="1:17" s="60" customFormat="1" hidden="1" x14ac:dyDescent="0.25">
      <c r="A89" s="61"/>
      <c r="P89" s="90"/>
      <c r="Q89" s="90"/>
    </row>
    <row r="90" spans="1:17" s="60" customFormat="1" hidden="1" x14ac:dyDescent="0.25">
      <c r="A90" s="61"/>
      <c r="P90" s="90"/>
      <c r="Q90" s="90"/>
    </row>
    <row r="91" spans="1:17" s="60" customFormat="1" hidden="1" x14ac:dyDescent="0.25">
      <c r="A91" s="61"/>
      <c r="P91" s="90"/>
      <c r="Q91" s="90"/>
    </row>
    <row r="92" spans="1:17" s="60" customFormat="1" hidden="1" x14ac:dyDescent="0.25">
      <c r="A92" s="61"/>
      <c r="P92" s="90"/>
      <c r="Q92" s="90"/>
    </row>
    <row r="93" spans="1:17" s="60" customFormat="1" hidden="1" x14ac:dyDescent="0.25">
      <c r="A93" s="61"/>
      <c r="P93" s="90"/>
      <c r="Q93" s="90"/>
    </row>
    <row r="94" spans="1:17" s="60" customFormat="1" hidden="1" x14ac:dyDescent="0.25">
      <c r="A94" s="61"/>
      <c r="P94" s="90"/>
      <c r="Q94" s="90"/>
    </row>
    <row r="95" spans="1:17" s="60" customFormat="1" hidden="1" x14ac:dyDescent="0.25">
      <c r="A95" s="61"/>
      <c r="P95" s="90"/>
      <c r="Q95" s="90"/>
    </row>
    <row r="96" spans="1:17" s="60" customFormat="1" hidden="1" x14ac:dyDescent="0.25">
      <c r="A96" s="61"/>
      <c r="P96" s="90"/>
      <c r="Q96" s="90"/>
    </row>
    <row r="97" spans="1:17" s="60" customFormat="1" hidden="1" x14ac:dyDescent="0.25">
      <c r="A97" s="61"/>
      <c r="P97" s="90"/>
      <c r="Q97" s="90"/>
    </row>
    <row r="98" spans="1:17" s="60" customFormat="1" hidden="1" x14ac:dyDescent="0.25">
      <c r="A98" s="61"/>
      <c r="P98" s="90"/>
      <c r="Q98" s="90"/>
    </row>
    <row r="99" spans="1:17" s="60" customFormat="1" hidden="1" x14ac:dyDescent="0.25">
      <c r="A99" s="61"/>
      <c r="P99" s="90"/>
      <c r="Q99" s="90"/>
    </row>
    <row r="100" spans="1:17" s="60" customFormat="1" hidden="1" x14ac:dyDescent="0.25">
      <c r="A100" s="61"/>
      <c r="P100" s="90"/>
      <c r="Q100" s="90"/>
    </row>
    <row r="101" spans="1:17" s="60" customFormat="1" hidden="1" x14ac:dyDescent="0.25">
      <c r="A101" s="61"/>
      <c r="P101" s="90"/>
      <c r="Q101" s="90"/>
    </row>
    <row r="110" spans="1:17" hidden="1" x14ac:dyDescent="0.25">
      <c r="B110" s="61">
        <v>0</v>
      </c>
      <c r="H110" s="61">
        <v>1000</v>
      </c>
    </row>
  </sheetData>
  <mergeCells count="2">
    <mergeCell ref="C2:F2"/>
    <mergeCell ref="C1:F1"/>
  </mergeCells>
  <dataValidations count="7">
    <dataValidation type="whole" allowBlank="1" showInputMessage="1" showErrorMessage="1" sqref="C18:F18">
      <formula1>0</formula1>
      <formula2>99999999</formula2>
    </dataValidation>
    <dataValidation type="decimal" allowBlank="1" showInputMessage="1" showErrorMessage="1" sqref="G6:G18 H6:H17">
      <formula1>0</formula1>
      <formula2>99999</formula2>
    </dataValidation>
    <dataValidation type="decimal" allowBlank="1" showInputMessage="1" showErrorMessage="1" sqref="I6:I18 J18">
      <formula1>0</formula1>
      <formula2>100</formula2>
    </dataValidation>
    <dataValidation type="whole" allowBlank="1" showInputMessage="1" showErrorMessage="1" sqref="J6:J17">
      <formula1>0</formula1>
      <formula2>99999</formula2>
    </dataValidation>
    <dataValidation type="whole" allowBlank="1" showInputMessage="1" showErrorMessage="1" sqref="C6:F17">
      <formula1>-99999999</formula1>
      <formula2>99999999</formula2>
    </dataValidation>
    <dataValidation type="list" allowBlank="1" showInputMessage="1" showErrorMessage="1" sqref="D25">
      <formula1>DFFDIMS</formula1>
    </dataValidation>
    <dataValidation type="decimal" allowBlank="1" showInputMessage="1" showErrorMessage="1" sqref="C25">
      <formula1>-1000</formula1>
      <formula2>1000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42" r:id="rId4" name="btnlimpiar">
          <controlPr defaultSize="0" autoLine="0" r:id="rId5">
            <anchor moveWithCells="1">
              <from>
                <xdr:col>5</xdr:col>
                <xdr:colOff>333375</xdr:colOff>
                <xdr:row>23</xdr:row>
                <xdr:rowOff>285750</xdr:rowOff>
              </from>
              <to>
                <xdr:col>6</xdr:col>
                <xdr:colOff>361950</xdr:colOff>
                <xdr:row>24</xdr:row>
                <xdr:rowOff>276225</xdr:rowOff>
              </to>
            </anchor>
          </controlPr>
        </control>
      </mc:Choice>
      <mc:Fallback>
        <control shapeId="4142" r:id="rId4" name="btnlimpiar"/>
      </mc:Fallback>
    </mc:AlternateContent>
    <mc:AlternateContent xmlns:mc="http://schemas.openxmlformats.org/markup-compatibility/2006">
      <mc:Choice Requires="x14">
        <control shapeId="4129" r:id="rId6" name="cmdbtnmat">
          <controlPr defaultSize="0" autoLine="0" r:id="rId7">
            <anchor moveWithCells="1">
              <from>
                <xdr:col>4</xdr:col>
                <xdr:colOff>76200</xdr:colOff>
                <xdr:row>20</xdr:row>
                <xdr:rowOff>0</xdr:rowOff>
              </from>
              <to>
                <xdr:col>5</xdr:col>
                <xdr:colOff>266700</xdr:colOff>
                <xdr:row>21</xdr:row>
                <xdr:rowOff>38100</xdr:rowOff>
              </to>
            </anchor>
          </controlPr>
        </control>
      </mc:Choice>
      <mc:Fallback>
        <control shapeId="4129" r:id="rId6" name="cmdbtnmat"/>
      </mc:Fallback>
    </mc:AlternateContent>
    <mc:AlternateContent xmlns:mc="http://schemas.openxmlformats.org/markup-compatibility/2006">
      <mc:Choice Requires="x14">
        <control shapeId="4128" r:id="rId8" name="cmdbtnytd">
          <controlPr defaultSize="0" autoLine="0" r:id="rId9">
            <anchor moveWithCells="1">
              <from>
                <xdr:col>2</xdr:col>
                <xdr:colOff>390525</xdr:colOff>
                <xdr:row>19</xdr:row>
                <xdr:rowOff>180975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controlPr>
        </control>
      </mc:Choice>
      <mc:Fallback>
        <control shapeId="4128" r:id="rId8" name="cmdbtnytd"/>
      </mc:Fallback>
    </mc:AlternateContent>
    <mc:AlternateContent xmlns:mc="http://schemas.openxmlformats.org/markup-compatibility/2006">
      <mc:Choice Requires="x14">
        <control shapeId="4127" r:id="rId10" name="cndbtntrim">
          <controlPr defaultSize="0" autoLine="0" r:id="rId11">
            <anchor moveWithCells="1">
              <from>
                <xdr:col>0</xdr:col>
                <xdr:colOff>304800</xdr:colOff>
                <xdr:row>20</xdr:row>
                <xdr:rowOff>9525</xdr:rowOff>
              </from>
              <to>
                <xdr:col>2</xdr:col>
                <xdr:colOff>209550</xdr:colOff>
                <xdr:row>21</xdr:row>
                <xdr:rowOff>19050</xdr:rowOff>
              </to>
            </anchor>
          </controlPr>
        </control>
      </mc:Choice>
      <mc:Fallback>
        <control shapeId="4127" r:id="rId10" name="cndbtntrim"/>
      </mc:Fallback>
    </mc:AlternateContent>
    <mc:AlternateContent xmlns:mc="http://schemas.openxmlformats.org/markup-compatibility/2006">
      <mc:Choice Requires="x14">
        <control shapeId="4118" r:id="rId12" name="cmdbtncargar">
          <controlPr defaultSize="0" autoLine="0" r:id="rId13">
            <anchor moveWithCells="1">
              <from>
                <xdr:col>5</xdr:col>
                <xdr:colOff>476250</xdr:colOff>
                <xdr:row>20</xdr:row>
                <xdr:rowOff>19050</xdr:rowOff>
              </from>
              <to>
                <xdr:col>6</xdr:col>
                <xdr:colOff>723900</xdr:colOff>
                <xdr:row>21</xdr:row>
                <xdr:rowOff>9525</xdr:rowOff>
              </to>
            </anchor>
          </controlPr>
        </control>
      </mc:Choice>
      <mc:Fallback>
        <control shapeId="4118" r:id="rId12" name="cmdbtncargar"/>
      </mc:Fallback>
    </mc:AlternateContent>
    <mc:AlternateContent xmlns:mc="http://schemas.openxmlformats.org/markup-compatibility/2006">
      <mc:Choice Requires="x14">
        <control shapeId="4131" r:id="rId14" name="cmdbtncalcular">
          <controlPr defaultSize="0" autoLine="0" r:id="rId15">
            <anchor moveWithCells="1">
              <from>
                <xdr:col>4</xdr:col>
                <xdr:colOff>123825</xdr:colOff>
                <xdr:row>23</xdr:row>
                <xdr:rowOff>285750</xdr:rowOff>
              </from>
              <to>
                <xdr:col>5</xdr:col>
                <xdr:colOff>133350</xdr:colOff>
                <xdr:row>24</xdr:row>
                <xdr:rowOff>285750</xdr:rowOff>
              </to>
            </anchor>
          </controlPr>
        </control>
      </mc:Choice>
      <mc:Fallback>
        <control shapeId="4131" r:id="rId14" name="cmdbtncalcula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BDPROD!$E:$E</xm:f>
          </x14:formula1>
          <xm:sqref>C2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/>
  <dimension ref="A1:XFC110"/>
  <sheetViews>
    <sheetView zoomScale="90" zoomScaleNormal="90" workbookViewId="0">
      <selection activeCell="C2" sqref="C2:F2"/>
    </sheetView>
  </sheetViews>
  <sheetFormatPr baseColWidth="10" defaultColWidth="0" defaultRowHeight="15" customHeight="1" zeroHeight="1" x14ac:dyDescent="0.25"/>
  <cols>
    <col min="1" max="1" width="4.7109375" style="61" customWidth="1"/>
    <col min="2" max="2" width="12.5703125" style="61" customWidth="1"/>
    <col min="3" max="3" width="13.7109375" style="61" customWidth="1"/>
    <col min="4" max="4" width="13" style="61" customWidth="1"/>
    <col min="5" max="5" width="14.85546875" style="61" customWidth="1"/>
    <col min="6" max="6" width="14.42578125" style="61" customWidth="1"/>
    <col min="7" max="7" width="7" style="61" hidden="1" customWidth="1"/>
    <col min="8" max="8" width="4.7109375" style="61" hidden="1" customWidth="1"/>
    <col min="9" max="9" width="8.42578125" style="61" hidden="1" customWidth="1"/>
    <col min="10" max="10" width="8.140625" style="61" hidden="1" customWidth="1"/>
    <col min="11" max="11" width="7" style="61" hidden="1" customWidth="1"/>
    <col min="12" max="12" width="9" style="61" hidden="1" customWidth="1"/>
    <col min="13" max="13" width="5.7109375" style="61" hidden="1" customWidth="1"/>
    <col min="14" max="14" width="10.140625" style="61" hidden="1" customWidth="1"/>
    <col min="15" max="15" width="10" style="61" hidden="1" customWidth="1"/>
    <col min="16" max="16" width="7.140625" style="96" customWidth="1"/>
    <col min="17" max="17" width="7.5703125" style="96" customWidth="1"/>
    <col min="18" max="16383" width="11.42578125" style="61" hidden="1"/>
    <col min="16384" max="16384" width="8.140625" style="61" hidden="1" customWidth="1"/>
  </cols>
  <sheetData>
    <row r="1" spans="1:19" ht="38.25" customHeight="1" x14ac:dyDescent="0.25">
      <c r="A1" s="60"/>
      <c r="B1" s="60"/>
      <c r="C1" s="474" t="s">
        <v>558</v>
      </c>
      <c r="D1" s="474"/>
      <c r="E1" s="474"/>
      <c r="F1" s="474"/>
      <c r="G1" s="60"/>
      <c r="H1" s="60"/>
      <c r="I1" s="60"/>
      <c r="J1" s="60"/>
      <c r="K1" s="60"/>
      <c r="L1" s="60"/>
      <c r="M1" s="60"/>
      <c r="N1" s="60"/>
      <c r="O1" s="63"/>
      <c r="P1" s="63"/>
      <c r="Q1" s="63"/>
    </row>
    <row r="2" spans="1:19" ht="21.75" customHeight="1" x14ac:dyDescent="0.25">
      <c r="A2" s="60"/>
      <c r="B2" s="62" t="s">
        <v>112</v>
      </c>
      <c r="C2" s="473" t="s">
        <v>636</v>
      </c>
      <c r="D2" s="473"/>
      <c r="E2" s="473"/>
      <c r="F2" s="473"/>
      <c r="G2" s="246"/>
      <c r="H2" s="246"/>
      <c r="I2" s="246"/>
      <c r="J2" s="246"/>
      <c r="K2" s="246"/>
      <c r="L2" s="246"/>
      <c r="M2" s="246"/>
      <c r="N2" s="246"/>
      <c r="O2" s="100" t="str">
        <f>IF(C2=0,"zero","blank")</f>
        <v>blank</v>
      </c>
      <c r="P2" s="101">
        <f>VALUE(LEFT(C2,5))</f>
        <v>13089</v>
      </c>
      <c r="Q2" s="100">
        <f>MATCH(P2,'Resumen de Unidades'!B:B,0)</f>
        <v>86</v>
      </c>
    </row>
    <row r="3" spans="1:19" ht="15.75" thickBot="1" x14ac:dyDescent="0.3">
      <c r="A3" s="60"/>
      <c r="B3" s="60"/>
      <c r="C3" s="60"/>
      <c r="D3" s="60"/>
      <c r="E3" s="60"/>
      <c r="F3" s="60"/>
      <c r="G3" s="90"/>
      <c r="H3" s="90"/>
      <c r="I3" s="90"/>
      <c r="J3" s="90"/>
      <c r="K3" s="90"/>
      <c r="L3" s="90"/>
      <c r="M3" s="90"/>
      <c r="N3" s="90"/>
      <c r="O3" s="247"/>
      <c r="P3" s="100" t="s">
        <v>264</v>
      </c>
      <c r="Q3" s="100">
        <f>MATCH($P$2,BDDF!B:B,0)</f>
        <v>65</v>
      </c>
    </row>
    <row r="4" spans="1:19" ht="24" customHeight="1" thickBot="1" x14ac:dyDescent="0.3">
      <c r="A4" s="60"/>
      <c r="B4" s="480" t="s">
        <v>559</v>
      </c>
      <c r="C4" s="481"/>
      <c r="D4" s="482" t="s">
        <v>561</v>
      </c>
      <c r="E4" s="483"/>
      <c r="F4" s="484"/>
      <c r="G4" s="135"/>
      <c r="H4" s="132"/>
      <c r="I4" s="112"/>
      <c r="J4" s="112"/>
      <c r="K4" s="112"/>
      <c r="L4" s="112"/>
      <c r="M4" s="112"/>
      <c r="N4" s="112"/>
      <c r="O4" s="113"/>
      <c r="P4" s="100" t="s">
        <v>265</v>
      </c>
      <c r="Q4" s="100">
        <f>MATCH(P$2,BDFD!B:B,0)</f>
        <v>18</v>
      </c>
    </row>
    <row r="5" spans="1:19" ht="33" customHeight="1" thickBot="1" x14ac:dyDescent="0.3">
      <c r="A5" s="60"/>
      <c r="B5" s="478" t="s">
        <v>560</v>
      </c>
      <c r="C5" s="479"/>
      <c r="D5" s="475">
        <f>O5/N5</f>
        <v>5.0350776889903601</v>
      </c>
      <c r="E5" s="476"/>
      <c r="F5" s="477"/>
      <c r="G5" s="267"/>
      <c r="H5" s="268"/>
      <c r="I5" s="268"/>
      <c r="J5" s="268"/>
      <c r="K5" s="268"/>
      <c r="L5" s="268"/>
      <c r="M5" s="268"/>
      <c r="N5" s="267">
        <f>VLOOKUP($P$2,BDPRECIOIMS!$K:$V,4,FALSE)</f>
        <v>31536</v>
      </c>
      <c r="O5" s="267">
        <f>VLOOKUP($P$2,BDPRECIOIMS!$K:$V,9,FALSE)</f>
        <v>158786.21</v>
      </c>
      <c r="P5" s="100" t="s">
        <v>266</v>
      </c>
      <c r="Q5" s="100">
        <f>MATCH(P$2,BDIMS!B:B,0)</f>
        <v>25</v>
      </c>
    </row>
    <row r="6" spans="1:19" ht="33" customHeight="1" thickBot="1" x14ac:dyDescent="0.3">
      <c r="A6" s="60"/>
      <c r="B6" s="478" t="s">
        <v>551</v>
      </c>
      <c r="C6" s="479"/>
      <c r="D6" s="475">
        <f>O6-(O6*0.078)-(O6*0.12)</f>
        <v>4.8120000000000003</v>
      </c>
      <c r="E6" s="476"/>
      <c r="F6" s="477"/>
      <c r="G6" s="269"/>
      <c r="H6" s="133"/>
      <c r="I6" s="65"/>
      <c r="J6" s="66"/>
      <c r="K6" s="67"/>
      <c r="L6" s="68"/>
      <c r="M6" s="69"/>
      <c r="N6" s="269">
        <f>VLOOKUP($P$2,PVP!$B:$E,4,FALSE)</f>
        <v>7.2</v>
      </c>
      <c r="O6" s="97">
        <f>N6/1.2</f>
        <v>6</v>
      </c>
      <c r="P6" s="100" t="s">
        <v>263</v>
      </c>
      <c r="Q6" s="102">
        <f ca="1">TODAY()</f>
        <v>42970</v>
      </c>
    </row>
    <row r="7" spans="1:19" ht="15.75" hidden="1" customHeight="1" x14ac:dyDescent="0.25">
      <c r="A7" s="60"/>
      <c r="B7" s="70" t="s">
        <v>134</v>
      </c>
      <c r="C7" s="71"/>
      <c r="D7" s="71"/>
      <c r="E7" s="94"/>
      <c r="F7" s="71"/>
      <c r="G7" s="134"/>
      <c r="H7" s="72"/>
      <c r="I7" s="73"/>
      <c r="J7" s="74"/>
      <c r="K7" s="75">
        <f t="shared" ref="K7:K17" si="0">F7*H7</f>
        <v>0</v>
      </c>
      <c r="L7" s="76">
        <f t="shared" ref="L7:L16" si="1">F7*G7</f>
        <v>0</v>
      </c>
      <c r="M7" s="77">
        <f t="shared" ref="M7:M16" si="2">ROUND(F7*I7,0)</f>
        <v>0</v>
      </c>
      <c r="N7" s="76">
        <f t="shared" ref="N7:N17" si="3">M7*G7</f>
        <v>0</v>
      </c>
      <c r="O7" s="98"/>
      <c r="P7" s="247" t="s">
        <v>262</v>
      </c>
      <c r="Q7" s="264">
        <f ca="1">MONTH(Q6)-1</f>
        <v>7</v>
      </c>
      <c r="S7" s="61">
        <v>2</v>
      </c>
    </row>
    <row r="8" spans="1:19" ht="15.75" hidden="1" customHeight="1" x14ac:dyDescent="0.25">
      <c r="A8" s="60"/>
      <c r="B8" s="70" t="s">
        <v>135</v>
      </c>
      <c r="C8" s="71"/>
      <c r="D8" s="71"/>
      <c r="E8" s="71"/>
      <c r="F8" s="71"/>
      <c r="G8" s="72"/>
      <c r="H8" s="72"/>
      <c r="I8" s="73"/>
      <c r="J8" s="74"/>
      <c r="K8" s="75">
        <f t="shared" si="0"/>
        <v>0</v>
      </c>
      <c r="L8" s="76">
        <f t="shared" si="1"/>
        <v>0</v>
      </c>
      <c r="M8" s="77">
        <f t="shared" si="2"/>
        <v>0</v>
      </c>
      <c r="N8" s="76">
        <f t="shared" si="3"/>
        <v>0</v>
      </c>
      <c r="O8" s="98"/>
      <c r="P8" s="265" t="s">
        <v>261</v>
      </c>
      <c r="Q8" s="266">
        <f ca="1">YEAR(Q6)</f>
        <v>2017</v>
      </c>
    </row>
    <row r="9" spans="1:19" ht="16.5" hidden="1" customHeight="1" x14ac:dyDescent="0.25">
      <c r="A9" s="60"/>
      <c r="B9" s="70" t="s">
        <v>136</v>
      </c>
      <c r="C9" s="71"/>
      <c r="D9" s="71"/>
      <c r="E9" s="71"/>
      <c r="F9" s="71"/>
      <c r="G9" s="72"/>
      <c r="H9" s="72"/>
      <c r="I9" s="73"/>
      <c r="J9" s="74"/>
      <c r="K9" s="75">
        <f t="shared" si="0"/>
        <v>0</v>
      </c>
      <c r="L9" s="76">
        <f t="shared" si="1"/>
        <v>0</v>
      </c>
      <c r="M9" s="77">
        <f t="shared" si="2"/>
        <v>0</v>
      </c>
      <c r="N9" s="76">
        <f t="shared" si="3"/>
        <v>0</v>
      </c>
      <c r="O9" s="98"/>
      <c r="P9" s="265"/>
      <c r="Q9" s="90">
        <f ca="1">VALUE(Q7)*VALUE(Q8)</f>
        <v>14119</v>
      </c>
    </row>
    <row r="10" spans="1:19" ht="17.25" hidden="1" customHeight="1" x14ac:dyDescent="0.25">
      <c r="A10" s="60"/>
      <c r="B10" s="70" t="s">
        <v>137</v>
      </c>
      <c r="C10" s="71"/>
      <c r="D10" s="71"/>
      <c r="E10" s="71"/>
      <c r="F10" s="71"/>
      <c r="G10" s="72"/>
      <c r="H10" s="72"/>
      <c r="I10" s="73"/>
      <c r="J10" s="74"/>
      <c r="K10" s="75">
        <f t="shared" si="0"/>
        <v>0</v>
      </c>
      <c r="L10" s="76">
        <f t="shared" si="1"/>
        <v>0</v>
      </c>
      <c r="M10" s="77">
        <f t="shared" si="2"/>
        <v>0</v>
      </c>
      <c r="N10" s="76">
        <f t="shared" si="3"/>
        <v>0</v>
      </c>
      <c r="O10" s="98"/>
      <c r="P10" s="247" t="s">
        <v>267</v>
      </c>
      <c r="Q10" s="90">
        <f ca="1">MATCH(Q$9,BDDF!1:1,0)</f>
        <v>57</v>
      </c>
    </row>
    <row r="11" spans="1:19" ht="16.5" hidden="1" customHeight="1" x14ac:dyDescent="0.25">
      <c r="A11" s="60"/>
      <c r="B11" s="70" t="s">
        <v>138</v>
      </c>
      <c r="C11" s="71"/>
      <c r="D11" s="71"/>
      <c r="E11" s="71"/>
      <c r="F11" s="71"/>
      <c r="G11" s="72"/>
      <c r="H11" s="72"/>
      <c r="I11" s="73"/>
      <c r="J11" s="74"/>
      <c r="K11" s="75">
        <f t="shared" si="0"/>
        <v>0</v>
      </c>
      <c r="L11" s="76">
        <f t="shared" si="1"/>
        <v>0</v>
      </c>
      <c r="M11" s="77">
        <f t="shared" si="2"/>
        <v>0</v>
      </c>
      <c r="N11" s="76">
        <f t="shared" si="3"/>
        <v>0</v>
      </c>
      <c r="O11" s="98"/>
      <c r="P11" s="247" t="s">
        <v>268</v>
      </c>
      <c r="Q11" s="90">
        <f ca="1">MATCH(Q$9,BDFD!1:1,0)</f>
        <v>57</v>
      </c>
    </row>
    <row r="12" spans="1:19" ht="16.5" hidden="1" customHeight="1" x14ac:dyDescent="0.25">
      <c r="A12" s="60"/>
      <c r="B12" s="70" t="s">
        <v>139</v>
      </c>
      <c r="C12" s="71"/>
      <c r="D12" s="71"/>
      <c r="E12" s="71"/>
      <c r="F12" s="71"/>
      <c r="G12" s="72"/>
      <c r="H12" s="72"/>
      <c r="I12" s="73"/>
      <c r="J12" s="74"/>
      <c r="K12" s="75">
        <f t="shared" si="0"/>
        <v>0</v>
      </c>
      <c r="L12" s="76">
        <f t="shared" si="1"/>
        <v>0</v>
      </c>
      <c r="M12" s="77">
        <f t="shared" si="2"/>
        <v>0</v>
      </c>
      <c r="N12" s="76">
        <f t="shared" si="3"/>
        <v>0</v>
      </c>
      <c r="O12" s="98"/>
      <c r="P12" s="247" t="s">
        <v>269</v>
      </c>
      <c r="Q12" s="90">
        <f ca="1">MATCH(Q$9,BDIMS!2:2,0)</f>
        <v>21</v>
      </c>
    </row>
    <row r="13" spans="1:19" ht="15.75" hidden="1" customHeight="1" x14ac:dyDescent="0.25">
      <c r="A13" s="60"/>
      <c r="B13" s="70" t="s">
        <v>140</v>
      </c>
      <c r="C13" s="71"/>
      <c r="D13" s="71"/>
      <c r="E13" s="71"/>
      <c r="F13" s="71"/>
      <c r="G13" s="72"/>
      <c r="H13" s="72"/>
      <c r="I13" s="73"/>
      <c r="J13" s="74"/>
      <c r="K13" s="75">
        <f t="shared" si="0"/>
        <v>0</v>
      </c>
      <c r="L13" s="76">
        <f t="shared" si="1"/>
        <v>0</v>
      </c>
      <c r="M13" s="77">
        <f t="shared" si="2"/>
        <v>0</v>
      </c>
      <c r="N13" s="76">
        <f t="shared" si="3"/>
        <v>0</v>
      </c>
      <c r="O13" s="98"/>
      <c r="P13" s="90"/>
      <c r="Q13" s="90"/>
    </row>
    <row r="14" spans="1:19" ht="16.5" hidden="1" customHeight="1" x14ac:dyDescent="0.25">
      <c r="A14" s="60"/>
      <c r="B14" s="70" t="s">
        <v>141</v>
      </c>
      <c r="C14" s="71"/>
      <c r="D14" s="71"/>
      <c r="E14" s="71"/>
      <c r="F14" s="71"/>
      <c r="G14" s="72"/>
      <c r="H14" s="72"/>
      <c r="I14" s="73"/>
      <c r="J14" s="74"/>
      <c r="K14" s="75">
        <f t="shared" si="0"/>
        <v>0</v>
      </c>
      <c r="L14" s="76">
        <f t="shared" si="1"/>
        <v>0</v>
      </c>
      <c r="M14" s="77">
        <f t="shared" si="2"/>
        <v>0</v>
      </c>
      <c r="N14" s="76">
        <f t="shared" si="3"/>
        <v>0</v>
      </c>
      <c r="O14" s="98"/>
      <c r="P14" s="90"/>
      <c r="Q14" s="90"/>
    </row>
    <row r="15" spans="1:19" ht="15.75" hidden="1" customHeight="1" x14ac:dyDescent="0.25">
      <c r="A15" s="60"/>
      <c r="B15" s="70" t="s">
        <v>142</v>
      </c>
      <c r="C15" s="71"/>
      <c r="D15" s="71"/>
      <c r="E15" s="71"/>
      <c r="F15" s="71"/>
      <c r="G15" s="72"/>
      <c r="H15" s="72"/>
      <c r="I15" s="73"/>
      <c r="J15" s="74"/>
      <c r="K15" s="75">
        <f t="shared" si="0"/>
        <v>0</v>
      </c>
      <c r="L15" s="76">
        <f t="shared" si="1"/>
        <v>0</v>
      </c>
      <c r="M15" s="77">
        <f t="shared" si="2"/>
        <v>0</v>
      </c>
      <c r="N15" s="76">
        <f t="shared" si="3"/>
        <v>0</v>
      </c>
      <c r="O15" s="98"/>
      <c r="P15" s="90" t="s">
        <v>560</v>
      </c>
      <c r="Q15" s="90"/>
    </row>
    <row r="16" spans="1:19" ht="18" hidden="1" customHeight="1" x14ac:dyDescent="0.25">
      <c r="A16" s="60"/>
      <c r="B16" s="70" t="s">
        <v>143</v>
      </c>
      <c r="C16" s="71"/>
      <c r="D16" s="71"/>
      <c r="E16" s="71"/>
      <c r="F16" s="71"/>
      <c r="G16" s="72"/>
      <c r="H16" s="72"/>
      <c r="I16" s="73"/>
      <c r="J16" s="74"/>
      <c r="K16" s="75">
        <f t="shared" si="0"/>
        <v>0</v>
      </c>
      <c r="L16" s="76">
        <f t="shared" si="1"/>
        <v>0</v>
      </c>
      <c r="M16" s="77">
        <f t="shared" si="2"/>
        <v>0</v>
      </c>
      <c r="N16" s="76">
        <f t="shared" si="3"/>
        <v>0</v>
      </c>
      <c r="O16" s="98"/>
      <c r="P16" s="90" t="s">
        <v>562</v>
      </c>
      <c r="Q16" s="90"/>
    </row>
    <row r="17" spans="1:17" ht="20.25" hidden="1" customHeight="1" thickBot="1" x14ac:dyDescent="0.3">
      <c r="A17" s="60"/>
      <c r="B17" s="114" t="s">
        <v>144</v>
      </c>
      <c r="C17" s="115"/>
      <c r="D17" s="115"/>
      <c r="E17" s="115"/>
      <c r="F17" s="115"/>
      <c r="G17" s="116"/>
      <c r="H17" s="116"/>
      <c r="I17" s="117"/>
      <c r="J17" s="118"/>
      <c r="K17" s="119">
        <f t="shared" si="0"/>
        <v>0</v>
      </c>
      <c r="L17" s="120">
        <f>C17*G17</f>
        <v>0</v>
      </c>
      <c r="M17" s="121">
        <f>ROUND(C17*I17,0)</f>
        <v>0</v>
      </c>
      <c r="N17" s="120">
        <f t="shared" si="3"/>
        <v>0</v>
      </c>
      <c r="O17" s="122"/>
      <c r="P17" s="90"/>
      <c r="Q17" s="90"/>
    </row>
    <row r="18" spans="1:17" x14ac:dyDescent="0.25">
      <c r="A18" s="60"/>
      <c r="B18" s="78"/>
      <c r="C18" s="79"/>
      <c r="D18" s="79"/>
      <c r="E18" s="79"/>
      <c r="F18" s="79"/>
      <c r="G18" s="80"/>
      <c r="H18" s="88"/>
      <c r="I18" s="81"/>
      <c r="J18" s="82"/>
      <c r="K18" s="83"/>
      <c r="L18" s="60"/>
      <c r="M18" s="60"/>
      <c r="N18" s="60"/>
      <c r="O18" s="60"/>
      <c r="P18" s="90"/>
      <c r="Q18" s="90"/>
    </row>
    <row r="19" spans="1:17" ht="12.75" hidden="1" customHeight="1" thickBot="1" x14ac:dyDescent="0.3">
      <c r="A19" s="60"/>
      <c r="B19" s="123" t="s">
        <v>146</v>
      </c>
      <c r="C19" s="89">
        <f>SUM(C6:C17)</f>
        <v>0</v>
      </c>
      <c r="D19" s="89">
        <f>SUM(D6:D17)</f>
        <v>4.8120000000000003</v>
      </c>
      <c r="E19" s="89">
        <f>SUM(E6:E18)</f>
        <v>0</v>
      </c>
      <c r="F19" s="85"/>
      <c r="G19" s="93"/>
      <c r="H19" s="60"/>
      <c r="I19" s="124"/>
      <c r="J19" s="84">
        <f t="shared" ref="J19:O19" si="4">SUM(J6:J17)</f>
        <v>0</v>
      </c>
      <c r="K19" s="59">
        <f t="shared" si="4"/>
        <v>0</v>
      </c>
      <c r="L19" s="59">
        <f t="shared" si="4"/>
        <v>0</v>
      </c>
      <c r="M19" s="125">
        <f t="shared" si="4"/>
        <v>0</v>
      </c>
      <c r="N19" s="59">
        <f t="shared" si="4"/>
        <v>7.2</v>
      </c>
      <c r="O19" s="126">
        <f t="shared" si="4"/>
        <v>6</v>
      </c>
      <c r="P19" s="90"/>
      <c r="Q19" s="90"/>
    </row>
    <row r="20" spans="1:17" ht="26.25" customHeight="1" x14ac:dyDescent="0.25">
      <c r="A20" s="60"/>
      <c r="B20" s="60"/>
      <c r="C20" s="272" t="s">
        <v>563</v>
      </c>
      <c r="D20" s="272" t="s">
        <v>564</v>
      </c>
      <c r="E20" s="272" t="s">
        <v>270</v>
      </c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90"/>
      <c r="Q20" s="90"/>
    </row>
    <row r="21" spans="1:17" ht="24" customHeight="1" x14ac:dyDescent="0.25">
      <c r="A21" s="60"/>
      <c r="B21" s="130" t="s">
        <v>565</v>
      </c>
      <c r="C21" s="249">
        <v>0</v>
      </c>
      <c r="D21" s="270">
        <v>1</v>
      </c>
      <c r="E21" s="270" t="s">
        <v>560</v>
      </c>
      <c r="F21" s="60"/>
      <c r="G21" s="91"/>
      <c r="H21" s="92"/>
      <c r="I21" s="60"/>
      <c r="J21" s="60"/>
      <c r="K21" s="60"/>
      <c r="L21" s="60"/>
      <c r="M21" s="60"/>
      <c r="N21" s="60"/>
      <c r="O21" s="60"/>
      <c r="P21" s="90"/>
      <c r="Q21" s="90"/>
    </row>
    <row r="22" spans="1:17" ht="15.75" customHeight="1" x14ac:dyDescent="0.25">
      <c r="A22" s="60"/>
      <c r="B22" s="60"/>
      <c r="C22" s="60"/>
      <c r="D22" s="60"/>
      <c r="E22" s="60"/>
      <c r="F22" s="60"/>
      <c r="G22" s="91"/>
      <c r="H22" s="92"/>
      <c r="I22" s="60"/>
      <c r="J22" s="60"/>
      <c r="K22" s="60"/>
      <c r="L22" s="60"/>
      <c r="M22" s="60"/>
      <c r="N22" s="60"/>
      <c r="O22" s="60"/>
      <c r="P22" s="90"/>
      <c r="Q22" s="90"/>
    </row>
    <row r="23" spans="1:17" ht="24" customHeight="1" x14ac:dyDescent="0.25">
      <c r="A23" s="60"/>
      <c r="B23" s="64"/>
      <c r="C23" s="93"/>
      <c r="D23" s="60"/>
      <c r="E23" s="60"/>
      <c r="F23" s="60"/>
      <c r="G23" s="91"/>
      <c r="H23" s="92"/>
      <c r="I23" s="60"/>
      <c r="J23" s="60"/>
      <c r="K23" s="60"/>
      <c r="L23" s="60"/>
      <c r="M23" s="60"/>
      <c r="N23" s="60"/>
      <c r="O23" s="60"/>
      <c r="P23" s="90"/>
      <c r="Q23" s="90"/>
    </row>
    <row r="24" spans="1:17" s="60" customFormat="1" ht="24" customHeight="1" x14ac:dyDescent="0.25">
      <c r="G24" s="91"/>
      <c r="H24" s="92"/>
      <c r="P24" s="90"/>
      <c r="Q24" s="90"/>
    </row>
    <row r="25" spans="1:17" s="60" customFormat="1" ht="24" customHeight="1" x14ac:dyDescent="0.25">
      <c r="G25" s="91"/>
      <c r="H25" s="92"/>
      <c r="P25" s="90"/>
      <c r="Q25" s="90"/>
    </row>
    <row r="26" spans="1:17" s="60" customFormat="1" ht="16.5" customHeight="1" x14ac:dyDescent="0.25">
      <c r="B26" s="91"/>
      <c r="G26" s="91"/>
      <c r="H26" s="92"/>
      <c r="P26" s="90"/>
      <c r="Q26" s="90"/>
    </row>
    <row r="27" spans="1:17" s="60" customFormat="1" x14ac:dyDescent="0.25">
      <c r="A27" s="108"/>
      <c r="B27" s="108"/>
      <c r="C27" s="108"/>
      <c r="D27" s="108"/>
      <c r="E27" s="108"/>
      <c r="F27" s="108"/>
      <c r="G27" s="111"/>
      <c r="H27" s="110"/>
      <c r="I27" s="108"/>
      <c r="J27" s="108"/>
      <c r="K27" s="108"/>
      <c r="L27" s="108"/>
      <c r="M27" s="108"/>
      <c r="N27" s="108"/>
      <c r="O27" s="108"/>
      <c r="P27" s="109"/>
      <c r="Q27" s="109"/>
    </row>
    <row r="28" spans="1:17" s="60" customFormat="1" hidden="1" x14ac:dyDescent="0.25">
      <c r="P28" s="90"/>
      <c r="Q28" s="90"/>
    </row>
    <row r="29" spans="1:17" s="60" customFormat="1" hidden="1" x14ac:dyDescent="0.25">
      <c r="A29" s="61"/>
      <c r="P29" s="90"/>
      <c r="Q29" s="90"/>
    </row>
    <row r="30" spans="1:17" s="60" customFormat="1" hidden="1" x14ac:dyDescent="0.25">
      <c r="A30" s="61"/>
      <c r="P30" s="90"/>
      <c r="Q30" s="90"/>
    </row>
    <row r="31" spans="1:17" s="60" customFormat="1" hidden="1" x14ac:dyDescent="0.25">
      <c r="A31" s="61"/>
      <c r="P31" s="90"/>
      <c r="Q31" s="90"/>
    </row>
    <row r="32" spans="1:17" s="60" customFormat="1" hidden="1" x14ac:dyDescent="0.25">
      <c r="A32" s="61"/>
      <c r="P32" s="90"/>
      <c r="Q32" s="90"/>
    </row>
    <row r="33" spans="1:17" s="60" customFormat="1" hidden="1" x14ac:dyDescent="0.25">
      <c r="A33" s="61"/>
      <c r="P33" s="90"/>
      <c r="Q33" s="90"/>
    </row>
    <row r="34" spans="1:17" s="60" customFormat="1" hidden="1" x14ac:dyDescent="0.25">
      <c r="A34" s="61"/>
      <c r="P34" s="90"/>
      <c r="Q34" s="90"/>
    </row>
    <row r="35" spans="1:17" s="60" customFormat="1" hidden="1" x14ac:dyDescent="0.25">
      <c r="A35" s="61"/>
      <c r="P35" s="90"/>
      <c r="Q35" s="90"/>
    </row>
    <row r="36" spans="1:17" s="60" customFormat="1" hidden="1" x14ac:dyDescent="0.25">
      <c r="A36" s="61"/>
      <c r="P36" s="90"/>
      <c r="Q36" s="90"/>
    </row>
    <row r="37" spans="1:17" s="60" customFormat="1" hidden="1" x14ac:dyDescent="0.25">
      <c r="A37" s="61"/>
      <c r="P37" s="90"/>
      <c r="Q37" s="90"/>
    </row>
    <row r="38" spans="1:17" s="60" customFormat="1" hidden="1" x14ac:dyDescent="0.25">
      <c r="A38" s="61"/>
      <c r="P38" s="90"/>
      <c r="Q38" s="90"/>
    </row>
    <row r="39" spans="1:17" s="60" customFormat="1" hidden="1" x14ac:dyDescent="0.25">
      <c r="A39" s="61"/>
      <c r="P39" s="90"/>
      <c r="Q39" s="90"/>
    </row>
    <row r="40" spans="1:17" s="60" customFormat="1" hidden="1" x14ac:dyDescent="0.25">
      <c r="A40" s="61"/>
      <c r="P40" s="90"/>
      <c r="Q40" s="90"/>
    </row>
    <row r="41" spans="1:17" s="60" customFormat="1" hidden="1" x14ac:dyDescent="0.25">
      <c r="A41" s="61"/>
      <c r="P41" s="90"/>
      <c r="Q41" s="90"/>
    </row>
    <row r="42" spans="1:17" s="60" customFormat="1" hidden="1" x14ac:dyDescent="0.25">
      <c r="A42" s="61"/>
      <c r="P42" s="90"/>
      <c r="Q42" s="90"/>
    </row>
    <row r="43" spans="1:17" s="60" customFormat="1" hidden="1" x14ac:dyDescent="0.25">
      <c r="A43" s="61"/>
      <c r="P43" s="90"/>
      <c r="Q43" s="90"/>
    </row>
    <row r="44" spans="1:17" s="60" customFormat="1" hidden="1" x14ac:dyDescent="0.25">
      <c r="A44" s="61"/>
      <c r="P44" s="90"/>
      <c r="Q44" s="90"/>
    </row>
    <row r="45" spans="1:17" s="60" customFormat="1" hidden="1" x14ac:dyDescent="0.25">
      <c r="A45" s="61"/>
      <c r="P45" s="90"/>
      <c r="Q45" s="90"/>
    </row>
    <row r="46" spans="1:17" s="60" customFormat="1" hidden="1" x14ac:dyDescent="0.25">
      <c r="A46" s="61"/>
      <c r="P46" s="90"/>
      <c r="Q46" s="90"/>
    </row>
    <row r="47" spans="1:17" s="60" customFormat="1" hidden="1" x14ac:dyDescent="0.25">
      <c r="A47" s="61"/>
      <c r="P47" s="90"/>
      <c r="Q47" s="90"/>
    </row>
    <row r="48" spans="1:17" s="60" customFormat="1" hidden="1" x14ac:dyDescent="0.25">
      <c r="A48" s="61"/>
      <c r="P48" s="90"/>
      <c r="Q48" s="90"/>
    </row>
    <row r="49" spans="1:17" s="60" customFormat="1" hidden="1" x14ac:dyDescent="0.25">
      <c r="A49" s="61"/>
      <c r="P49" s="90"/>
      <c r="Q49" s="90"/>
    </row>
    <row r="50" spans="1:17" s="60" customFormat="1" hidden="1" x14ac:dyDescent="0.25">
      <c r="A50" s="61"/>
      <c r="P50" s="90"/>
      <c r="Q50" s="90"/>
    </row>
    <row r="51" spans="1:17" s="60" customFormat="1" hidden="1" x14ac:dyDescent="0.25">
      <c r="A51" s="61"/>
      <c r="P51" s="90"/>
      <c r="Q51" s="90"/>
    </row>
    <row r="52" spans="1:17" s="60" customFormat="1" hidden="1" x14ac:dyDescent="0.25">
      <c r="A52" s="61"/>
      <c r="P52" s="90"/>
      <c r="Q52" s="90"/>
    </row>
    <row r="53" spans="1:17" s="60" customFormat="1" hidden="1" x14ac:dyDescent="0.25">
      <c r="A53" s="61"/>
      <c r="P53" s="90"/>
      <c r="Q53" s="90"/>
    </row>
    <row r="54" spans="1:17" s="60" customFormat="1" hidden="1" x14ac:dyDescent="0.25">
      <c r="A54" s="61"/>
      <c r="P54" s="90"/>
      <c r="Q54" s="90"/>
    </row>
    <row r="55" spans="1:17" s="60" customFormat="1" hidden="1" x14ac:dyDescent="0.25">
      <c r="A55" s="61"/>
      <c r="P55" s="90"/>
      <c r="Q55" s="90"/>
    </row>
    <row r="56" spans="1:17" s="60" customFormat="1" hidden="1" x14ac:dyDescent="0.25">
      <c r="A56" s="61"/>
      <c r="P56" s="90"/>
      <c r="Q56" s="90"/>
    </row>
    <row r="57" spans="1:17" s="60" customFormat="1" hidden="1" x14ac:dyDescent="0.25">
      <c r="A57" s="61"/>
      <c r="P57" s="90"/>
      <c r="Q57" s="90"/>
    </row>
    <row r="58" spans="1:17" s="60" customFormat="1" hidden="1" x14ac:dyDescent="0.25">
      <c r="A58" s="61"/>
      <c r="P58" s="90"/>
      <c r="Q58" s="90"/>
    </row>
    <row r="59" spans="1:17" s="60" customFormat="1" hidden="1" x14ac:dyDescent="0.25">
      <c r="A59" s="61"/>
      <c r="P59" s="90"/>
      <c r="Q59" s="90"/>
    </row>
    <row r="60" spans="1:17" s="60" customFormat="1" hidden="1" x14ac:dyDescent="0.25">
      <c r="A60" s="61"/>
      <c r="P60" s="90"/>
      <c r="Q60" s="90"/>
    </row>
    <row r="61" spans="1:17" s="60" customFormat="1" hidden="1" x14ac:dyDescent="0.25">
      <c r="A61" s="61"/>
      <c r="P61" s="90"/>
      <c r="Q61" s="90"/>
    </row>
    <row r="62" spans="1:17" s="60" customFormat="1" hidden="1" x14ac:dyDescent="0.25">
      <c r="A62" s="61"/>
      <c r="P62" s="90"/>
      <c r="Q62" s="90"/>
    </row>
    <row r="63" spans="1:17" s="60" customFormat="1" hidden="1" x14ac:dyDescent="0.25">
      <c r="A63" s="61"/>
      <c r="P63" s="90"/>
      <c r="Q63" s="90"/>
    </row>
    <row r="64" spans="1:17" s="60" customFormat="1" hidden="1" x14ac:dyDescent="0.25">
      <c r="A64" s="61"/>
      <c r="P64" s="90"/>
      <c r="Q64" s="90"/>
    </row>
    <row r="65" spans="1:17" s="60" customFormat="1" hidden="1" x14ac:dyDescent="0.25">
      <c r="A65" s="61"/>
      <c r="P65" s="90"/>
      <c r="Q65" s="90"/>
    </row>
    <row r="66" spans="1:17" s="60" customFormat="1" hidden="1" x14ac:dyDescent="0.25">
      <c r="A66" s="61"/>
      <c r="P66" s="90"/>
      <c r="Q66" s="90"/>
    </row>
    <row r="67" spans="1:17" s="60" customFormat="1" hidden="1" x14ac:dyDescent="0.25">
      <c r="A67" s="61"/>
      <c r="P67" s="90"/>
      <c r="Q67" s="90"/>
    </row>
    <row r="68" spans="1:17" s="60" customFormat="1" hidden="1" x14ac:dyDescent="0.25">
      <c r="A68" s="61"/>
      <c r="P68" s="90"/>
      <c r="Q68" s="90"/>
    </row>
    <row r="69" spans="1:17" s="60" customFormat="1" hidden="1" x14ac:dyDescent="0.25">
      <c r="A69" s="61"/>
      <c r="P69" s="90"/>
      <c r="Q69" s="90"/>
    </row>
    <row r="70" spans="1:17" s="60" customFormat="1" hidden="1" x14ac:dyDescent="0.25">
      <c r="A70" s="61"/>
      <c r="P70" s="90"/>
      <c r="Q70" s="90"/>
    </row>
    <row r="71" spans="1:17" s="60" customFormat="1" hidden="1" x14ac:dyDescent="0.25">
      <c r="A71" s="61"/>
      <c r="P71" s="90"/>
      <c r="Q71" s="90"/>
    </row>
    <row r="72" spans="1:17" s="60" customFormat="1" hidden="1" x14ac:dyDescent="0.25">
      <c r="A72" s="61"/>
      <c r="P72" s="90"/>
      <c r="Q72" s="90"/>
    </row>
    <row r="73" spans="1:17" s="60" customFormat="1" hidden="1" x14ac:dyDescent="0.25">
      <c r="A73" s="61"/>
      <c r="P73" s="90"/>
      <c r="Q73" s="90"/>
    </row>
    <row r="74" spans="1:17" s="60" customFormat="1" hidden="1" x14ac:dyDescent="0.25">
      <c r="A74" s="61"/>
      <c r="P74" s="90"/>
      <c r="Q74" s="90"/>
    </row>
    <row r="75" spans="1:17" s="60" customFormat="1" hidden="1" x14ac:dyDescent="0.25">
      <c r="A75" s="61"/>
      <c r="P75" s="90"/>
      <c r="Q75" s="90"/>
    </row>
    <row r="76" spans="1:17" s="60" customFormat="1" hidden="1" x14ac:dyDescent="0.25">
      <c r="A76" s="61"/>
      <c r="P76" s="90"/>
      <c r="Q76" s="90"/>
    </row>
    <row r="77" spans="1:17" s="60" customFormat="1" hidden="1" x14ac:dyDescent="0.25">
      <c r="A77" s="61"/>
      <c r="P77" s="90"/>
      <c r="Q77" s="90"/>
    </row>
    <row r="78" spans="1:17" s="60" customFormat="1" hidden="1" x14ac:dyDescent="0.25">
      <c r="A78" s="61"/>
      <c r="P78" s="90"/>
      <c r="Q78" s="90"/>
    </row>
    <row r="79" spans="1:17" s="60" customFormat="1" hidden="1" x14ac:dyDescent="0.25">
      <c r="A79" s="61"/>
      <c r="P79" s="90"/>
      <c r="Q79" s="90"/>
    </row>
    <row r="80" spans="1:17" s="60" customFormat="1" hidden="1" x14ac:dyDescent="0.25">
      <c r="A80" s="61"/>
      <c r="P80" s="90"/>
      <c r="Q80" s="90"/>
    </row>
    <row r="81" spans="1:17" s="60" customFormat="1" hidden="1" x14ac:dyDescent="0.25">
      <c r="A81" s="61"/>
      <c r="P81" s="90"/>
      <c r="Q81" s="90"/>
    </row>
    <row r="82" spans="1:17" s="60" customFormat="1" hidden="1" x14ac:dyDescent="0.25">
      <c r="A82" s="61"/>
      <c r="P82" s="90"/>
      <c r="Q82" s="90"/>
    </row>
    <row r="83" spans="1:17" s="60" customFormat="1" hidden="1" x14ac:dyDescent="0.25">
      <c r="A83" s="61"/>
      <c r="P83" s="90"/>
      <c r="Q83" s="90"/>
    </row>
    <row r="84" spans="1:17" s="60" customFormat="1" hidden="1" x14ac:dyDescent="0.25">
      <c r="A84" s="61"/>
      <c r="P84" s="90"/>
      <c r="Q84" s="90"/>
    </row>
    <row r="85" spans="1:17" s="60" customFormat="1" hidden="1" x14ac:dyDescent="0.25">
      <c r="A85" s="61"/>
      <c r="P85" s="90"/>
      <c r="Q85" s="90"/>
    </row>
    <row r="86" spans="1:17" s="60" customFormat="1" hidden="1" x14ac:dyDescent="0.25">
      <c r="A86" s="61"/>
      <c r="P86" s="90"/>
      <c r="Q86" s="90"/>
    </row>
    <row r="87" spans="1:17" s="60" customFormat="1" hidden="1" x14ac:dyDescent="0.25">
      <c r="A87" s="61"/>
      <c r="P87" s="90"/>
      <c r="Q87" s="90"/>
    </row>
    <row r="88" spans="1:17" s="60" customFormat="1" hidden="1" x14ac:dyDescent="0.25">
      <c r="A88" s="61"/>
      <c r="P88" s="90"/>
      <c r="Q88" s="90"/>
    </row>
    <row r="89" spans="1:17" s="60" customFormat="1" hidden="1" x14ac:dyDescent="0.25">
      <c r="A89" s="61"/>
      <c r="P89" s="90"/>
      <c r="Q89" s="90"/>
    </row>
    <row r="90" spans="1:17" s="60" customFormat="1" hidden="1" x14ac:dyDescent="0.25">
      <c r="A90" s="61"/>
      <c r="P90" s="90"/>
      <c r="Q90" s="90"/>
    </row>
    <row r="91" spans="1:17" s="60" customFormat="1" hidden="1" x14ac:dyDescent="0.25">
      <c r="A91" s="61"/>
      <c r="P91" s="90"/>
      <c r="Q91" s="90"/>
    </row>
    <row r="92" spans="1:17" s="60" customFormat="1" hidden="1" x14ac:dyDescent="0.25">
      <c r="A92" s="61"/>
      <c r="P92" s="90"/>
      <c r="Q92" s="90"/>
    </row>
    <row r="93" spans="1:17" s="60" customFormat="1" hidden="1" x14ac:dyDescent="0.25">
      <c r="A93" s="61"/>
      <c r="P93" s="90"/>
      <c r="Q93" s="90"/>
    </row>
    <row r="94" spans="1:17" s="60" customFormat="1" hidden="1" x14ac:dyDescent="0.25">
      <c r="A94" s="61"/>
      <c r="P94" s="90"/>
      <c r="Q94" s="90"/>
    </row>
    <row r="95" spans="1:17" s="60" customFormat="1" hidden="1" x14ac:dyDescent="0.25">
      <c r="A95" s="61"/>
      <c r="P95" s="90"/>
      <c r="Q95" s="90"/>
    </row>
    <row r="96" spans="1:17" s="60" customFormat="1" hidden="1" x14ac:dyDescent="0.25">
      <c r="A96" s="61"/>
      <c r="P96" s="90"/>
      <c r="Q96" s="90"/>
    </row>
    <row r="97" spans="1:17" s="60" customFormat="1" hidden="1" x14ac:dyDescent="0.25">
      <c r="A97" s="61"/>
      <c r="P97" s="90"/>
      <c r="Q97" s="90"/>
    </row>
    <row r="98" spans="1:17" s="60" customFormat="1" hidden="1" x14ac:dyDescent="0.25">
      <c r="A98" s="61"/>
      <c r="P98" s="90"/>
      <c r="Q98" s="90"/>
    </row>
    <row r="99" spans="1:17" s="60" customFormat="1" hidden="1" x14ac:dyDescent="0.25">
      <c r="A99" s="61"/>
      <c r="P99" s="90"/>
      <c r="Q99" s="90"/>
    </row>
    <row r="100" spans="1:17" s="60" customFormat="1" hidden="1" x14ac:dyDescent="0.25">
      <c r="A100" s="61"/>
      <c r="P100" s="90"/>
      <c r="Q100" s="90"/>
    </row>
    <row r="101" spans="1:17" s="60" customFormat="1" hidden="1" x14ac:dyDescent="0.25">
      <c r="A101" s="61"/>
      <c r="P101" s="90"/>
      <c r="Q101" s="90"/>
    </row>
    <row r="110" spans="1:17" hidden="1" x14ac:dyDescent="0.25">
      <c r="B110" s="61">
        <v>0</v>
      </c>
      <c r="H110" s="61">
        <v>1000</v>
      </c>
    </row>
  </sheetData>
  <mergeCells count="8">
    <mergeCell ref="D6:F6"/>
    <mergeCell ref="B5:C5"/>
    <mergeCell ref="B6:C6"/>
    <mergeCell ref="C1:F1"/>
    <mergeCell ref="C2:F2"/>
    <mergeCell ref="B4:C4"/>
    <mergeCell ref="D4:F4"/>
    <mergeCell ref="D5:F5"/>
  </mergeCells>
  <dataValidations count="8">
    <dataValidation type="decimal" allowBlank="1" showInputMessage="1" showErrorMessage="1" sqref="C21">
      <formula1>-1000</formula1>
      <formula2>1000</formula2>
    </dataValidation>
    <dataValidation type="list" allowBlank="1" showInputMessage="1" showErrorMessage="1" sqref="E21">
      <formula1>$P$15:$P$16</formula1>
    </dataValidation>
    <dataValidation type="whole" allowBlank="1" showInputMessage="1" showErrorMessage="1" sqref="C7:E17 F7:F17">
      <formula1>-99999999</formula1>
      <formula2>99999999</formula2>
    </dataValidation>
    <dataValidation type="whole" allowBlank="1" showInputMessage="1" showErrorMessage="1" sqref="J6:J17">
      <formula1>0</formula1>
      <formula2>99999</formula2>
    </dataValidation>
    <dataValidation type="decimal" allowBlank="1" showInputMessage="1" showErrorMessage="1" sqref="I6:I18 J18">
      <formula1>0</formula1>
      <formula2>100</formula2>
    </dataValidation>
    <dataValidation type="decimal" allowBlank="1" showInputMessage="1" showErrorMessage="1" sqref="G6:G18 H6:H17 N6">
      <formula1>0</formula1>
      <formula2>99999</formula2>
    </dataValidation>
    <dataValidation type="whole" allowBlank="1" showInputMessage="1" showErrorMessage="1" sqref="C18:F18">
      <formula1>0</formula1>
      <formula2>99999999</formula2>
    </dataValidation>
    <dataValidation type="list" allowBlank="1" showInputMessage="1" showErrorMessage="1" sqref="D21">
      <formula1>"0,1,2,3,4,5,6,7,8,9,10,11,12"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5537" r:id="rId4" name="cmdbtncargar">
          <controlPr defaultSize="0" autoLine="0" r:id="rId5">
            <anchor moveWithCells="1">
              <from>
                <xdr:col>5</xdr:col>
                <xdr:colOff>200025</xdr:colOff>
                <xdr:row>20</xdr:row>
                <xdr:rowOff>19050</xdr:rowOff>
              </from>
              <to>
                <xdr:col>15</xdr:col>
                <xdr:colOff>447675</xdr:colOff>
                <xdr:row>21</xdr:row>
                <xdr:rowOff>9525</xdr:rowOff>
              </to>
            </anchor>
          </controlPr>
        </control>
      </mc:Choice>
      <mc:Fallback>
        <control shapeId="65537" r:id="rId4" name="cmdbtncarga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BDPROD!$E:$E</xm:f>
          </x14:formula1>
          <xm:sqref>C2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7"/>
  <dimension ref="A1:XFC110"/>
  <sheetViews>
    <sheetView zoomScale="90" zoomScaleNormal="90" workbookViewId="0">
      <selection activeCell="C2" sqref="C2:F2"/>
    </sheetView>
  </sheetViews>
  <sheetFormatPr baseColWidth="10" defaultColWidth="0" defaultRowHeight="15" customHeight="1" zeroHeight="1" x14ac:dyDescent="0.25"/>
  <cols>
    <col min="1" max="1" width="4.7109375" style="61" customWidth="1"/>
    <col min="2" max="2" width="12.5703125" style="61" customWidth="1"/>
    <col min="3" max="3" width="13.7109375" style="61" customWidth="1"/>
    <col min="4" max="4" width="13" style="61" customWidth="1"/>
    <col min="5" max="5" width="14.85546875" style="61" customWidth="1"/>
    <col min="6" max="6" width="14.42578125" style="61" customWidth="1"/>
    <col min="7" max="7" width="7" style="61" hidden="1" customWidth="1"/>
    <col min="8" max="8" width="4.7109375" style="61" hidden="1" customWidth="1"/>
    <col min="9" max="9" width="8.42578125" style="61" hidden="1" customWidth="1"/>
    <col min="10" max="10" width="8.140625" style="61" hidden="1" customWidth="1"/>
    <col min="11" max="11" width="7" style="61" hidden="1" customWidth="1"/>
    <col min="12" max="12" width="9" style="61" hidden="1" customWidth="1"/>
    <col min="13" max="13" width="5.7109375" style="61" hidden="1" customWidth="1"/>
    <col min="14" max="14" width="11" style="61" hidden="1" customWidth="1"/>
    <col min="15" max="15" width="7.5703125" style="61" hidden="1" customWidth="1"/>
    <col min="16" max="16" width="7.140625" style="96" customWidth="1"/>
    <col min="17" max="17" width="7.5703125" style="96" customWidth="1"/>
    <col min="18" max="16383" width="11.42578125" style="61" hidden="1"/>
    <col min="16384" max="16384" width="8.140625" style="61" hidden="1" customWidth="1"/>
  </cols>
  <sheetData>
    <row r="1" spans="1:19" ht="38.25" customHeight="1" x14ac:dyDescent="0.25">
      <c r="A1" s="60"/>
      <c r="B1" s="60"/>
      <c r="C1" s="474" t="s">
        <v>566</v>
      </c>
      <c r="D1" s="474"/>
      <c r="E1" s="474"/>
      <c r="F1" s="474"/>
      <c r="G1" s="60"/>
      <c r="H1" s="60"/>
      <c r="I1" s="60"/>
      <c r="J1" s="60"/>
      <c r="K1" s="60"/>
      <c r="L1" s="60"/>
      <c r="M1" s="60"/>
      <c r="N1" s="60"/>
      <c r="O1" s="63"/>
      <c r="P1" s="63"/>
      <c r="Q1" s="63"/>
    </row>
    <row r="2" spans="1:19" ht="21.75" customHeight="1" x14ac:dyDescent="0.25">
      <c r="A2" s="60"/>
      <c r="B2" s="62" t="s">
        <v>112</v>
      </c>
      <c r="C2" s="473" t="s">
        <v>627</v>
      </c>
      <c r="D2" s="473"/>
      <c r="E2" s="473"/>
      <c r="F2" s="473"/>
      <c r="G2" s="246"/>
      <c r="H2" s="246"/>
      <c r="I2" s="246"/>
      <c r="J2" s="246"/>
      <c r="K2" s="246"/>
      <c r="L2" s="246"/>
      <c r="M2" s="246"/>
      <c r="N2" s="246"/>
      <c r="O2" s="100" t="str">
        <f>IF(C2=0,"zero","blank")</f>
        <v>blank</v>
      </c>
      <c r="P2" s="101">
        <f>VALUE(LEFT(C2,5))</f>
        <v>13154</v>
      </c>
      <c r="Q2" s="100">
        <f>MATCH(P2,'Resumen de Unidades'!B:B,0)</f>
        <v>75</v>
      </c>
    </row>
    <row r="3" spans="1:19" ht="15.75" thickBot="1" x14ac:dyDescent="0.3">
      <c r="A3" s="60"/>
      <c r="B3" s="60"/>
      <c r="C3" s="60"/>
      <c r="D3" s="60"/>
      <c r="E3" s="60"/>
      <c r="F3" s="60"/>
      <c r="G3" s="90"/>
      <c r="H3" s="90"/>
      <c r="I3" s="90"/>
      <c r="J3" s="90"/>
      <c r="K3" s="90"/>
      <c r="L3" s="90"/>
      <c r="M3" s="90"/>
      <c r="N3" s="90"/>
      <c r="O3" s="247"/>
      <c r="P3" s="100" t="s">
        <v>264</v>
      </c>
      <c r="Q3" s="100">
        <f>MATCH($P$2,BDDF!B:B,0)</f>
        <v>81</v>
      </c>
    </row>
    <row r="4" spans="1:19" ht="24" customHeight="1" thickBot="1" x14ac:dyDescent="0.3">
      <c r="A4" s="60"/>
      <c r="B4" s="480" t="s">
        <v>132</v>
      </c>
      <c r="C4" s="481"/>
      <c r="D4" s="482" t="s">
        <v>145</v>
      </c>
      <c r="E4" s="483"/>
      <c r="F4" s="484"/>
      <c r="G4" s="135"/>
      <c r="H4" s="132"/>
      <c r="I4" s="112"/>
      <c r="J4" s="112"/>
      <c r="K4" s="112"/>
      <c r="L4" s="112"/>
      <c r="M4" s="112"/>
      <c r="N4" s="112"/>
      <c r="O4" s="113"/>
      <c r="P4" s="100" t="s">
        <v>265</v>
      </c>
      <c r="Q4" s="100">
        <f>MATCH(P$2,BDFD!B:B,0)</f>
        <v>33</v>
      </c>
    </row>
    <row r="5" spans="1:19" ht="20.100000000000001" customHeight="1" thickBot="1" x14ac:dyDescent="0.3">
      <c r="A5" s="60"/>
      <c r="B5" s="485">
        <v>1</v>
      </c>
      <c r="C5" s="486"/>
      <c r="D5" s="487">
        <f>VLOOKUP($P$2,PVM!$B$4:$P$95,4,FALSE)</f>
        <v>1.9193</v>
      </c>
      <c r="E5" s="488"/>
      <c r="F5" s="489"/>
      <c r="G5" s="267"/>
      <c r="H5" s="268"/>
      <c r="I5" s="268"/>
      <c r="J5" s="268"/>
      <c r="K5" s="268"/>
      <c r="L5" s="268"/>
      <c r="M5" s="268"/>
      <c r="N5" s="267" t="e">
        <f>VLOOKUP($P$2,#REF!,4,FALSE)</f>
        <v>#REF!</v>
      </c>
      <c r="O5" s="267" t="e">
        <f>VLOOKUP($P$2,#REF!,9,FALSE)</f>
        <v>#REF!</v>
      </c>
      <c r="P5" s="100" t="s">
        <v>266</v>
      </c>
      <c r="Q5" s="100">
        <f>MATCH(P$2,BDIMS!B:B,0)</f>
        <v>45</v>
      </c>
    </row>
    <row r="6" spans="1:19" ht="16.5" customHeight="1" thickBot="1" x14ac:dyDescent="0.3">
      <c r="A6" s="60"/>
      <c r="B6" s="485">
        <v>2</v>
      </c>
      <c r="C6" s="486"/>
      <c r="D6" s="487">
        <f>VLOOKUP($P$2,PVM!$B$4:$P$95,5,FALSE)</f>
        <v>1.9193</v>
      </c>
      <c r="E6" s="488"/>
      <c r="F6" s="489"/>
      <c r="G6" s="269"/>
      <c r="H6" s="133"/>
      <c r="I6" s="65"/>
      <c r="J6" s="66"/>
      <c r="K6" s="67"/>
      <c r="L6" s="68"/>
      <c r="M6" s="69"/>
      <c r="N6" s="269">
        <f>VLOOKUP($P$2,PVP!$B:$E,4,FALSE)</f>
        <v>3.2</v>
      </c>
      <c r="O6" s="97">
        <f>N6/1.2</f>
        <v>2.666666666666667</v>
      </c>
      <c r="P6" s="100" t="s">
        <v>263</v>
      </c>
      <c r="Q6" s="102">
        <f ca="1">TODAY()</f>
        <v>42970</v>
      </c>
    </row>
    <row r="7" spans="1:19" ht="19.5" customHeight="1" thickBot="1" x14ac:dyDescent="0.3">
      <c r="A7" s="60"/>
      <c r="B7" s="485">
        <v>3</v>
      </c>
      <c r="C7" s="486"/>
      <c r="D7" s="487">
        <f>VLOOKUP($P$2,PVM!$B$4:$P$95,6,FALSE)</f>
        <v>1.9193</v>
      </c>
      <c r="E7" s="488"/>
      <c r="F7" s="489"/>
      <c r="G7" s="134"/>
      <c r="H7" s="72"/>
      <c r="I7" s="73"/>
      <c r="J7" s="74"/>
      <c r="K7" s="75">
        <f t="shared" ref="K7:K17" si="0">F7*H7</f>
        <v>0</v>
      </c>
      <c r="L7" s="76">
        <f t="shared" ref="L7:L16" si="1">F7*G7</f>
        <v>0</v>
      </c>
      <c r="M7" s="77">
        <f t="shared" ref="M7:M16" si="2">ROUND(F7*I7,0)</f>
        <v>0</v>
      </c>
      <c r="N7" s="76">
        <f t="shared" ref="N7:N17" si="3">M7*G7</f>
        <v>0</v>
      </c>
      <c r="O7" s="98"/>
      <c r="P7" s="100" t="s">
        <v>262</v>
      </c>
      <c r="Q7" s="105">
        <f ca="1">MONTH(Q6)-1</f>
        <v>7</v>
      </c>
      <c r="S7" s="61">
        <v>2</v>
      </c>
    </row>
    <row r="8" spans="1:19" ht="21" customHeight="1" thickBot="1" x14ac:dyDescent="0.3">
      <c r="A8" s="60"/>
      <c r="B8" s="485">
        <v>4</v>
      </c>
      <c r="C8" s="486"/>
      <c r="D8" s="487">
        <f>VLOOKUP($P$2,PVM!$B$4:$P$95,7,FALSE)</f>
        <v>1.9193</v>
      </c>
      <c r="E8" s="488"/>
      <c r="F8" s="489"/>
      <c r="G8" s="72"/>
      <c r="H8" s="72"/>
      <c r="I8" s="73"/>
      <c r="J8" s="74"/>
      <c r="K8" s="75">
        <f t="shared" si="0"/>
        <v>0</v>
      </c>
      <c r="L8" s="76">
        <f t="shared" si="1"/>
        <v>0</v>
      </c>
      <c r="M8" s="77">
        <f t="shared" si="2"/>
        <v>0</v>
      </c>
      <c r="N8" s="76">
        <f t="shared" si="3"/>
        <v>0</v>
      </c>
      <c r="O8" s="98"/>
      <c r="P8" s="106" t="s">
        <v>261</v>
      </c>
      <c r="Q8" s="107">
        <f ca="1">YEAR(Q6)</f>
        <v>2017</v>
      </c>
    </row>
    <row r="9" spans="1:19" ht="20.25" customHeight="1" thickBot="1" x14ac:dyDescent="0.3">
      <c r="A9" s="60"/>
      <c r="B9" s="485">
        <v>5</v>
      </c>
      <c r="C9" s="486"/>
      <c r="D9" s="487">
        <f>VLOOKUP($P$2,PVM!$B$4:$P$95,8,FALSE)</f>
        <v>1.9193</v>
      </c>
      <c r="E9" s="488"/>
      <c r="F9" s="489"/>
      <c r="G9" s="72"/>
      <c r="H9" s="72"/>
      <c r="I9" s="73"/>
      <c r="J9" s="74"/>
      <c r="K9" s="75">
        <f t="shared" si="0"/>
        <v>0</v>
      </c>
      <c r="L9" s="76">
        <f t="shared" si="1"/>
        <v>0</v>
      </c>
      <c r="M9" s="77">
        <f t="shared" si="2"/>
        <v>0</v>
      </c>
      <c r="N9" s="76">
        <f t="shared" si="3"/>
        <v>0</v>
      </c>
      <c r="O9" s="98"/>
      <c r="P9" s="106"/>
      <c r="Q9" s="63">
        <f ca="1">VALUE(Q7)*VALUE(Q8)</f>
        <v>14119</v>
      </c>
    </row>
    <row r="10" spans="1:19" ht="20.25" customHeight="1" thickBot="1" x14ac:dyDescent="0.3">
      <c r="A10" s="60"/>
      <c r="B10" s="485">
        <v>6</v>
      </c>
      <c r="C10" s="486"/>
      <c r="D10" s="487">
        <f>VLOOKUP($P$2,PVM!$B$4:$P$95,9,FALSE)</f>
        <v>1.9193</v>
      </c>
      <c r="E10" s="488"/>
      <c r="F10" s="489"/>
      <c r="G10" s="72"/>
      <c r="H10" s="72"/>
      <c r="I10" s="73"/>
      <c r="J10" s="74"/>
      <c r="K10" s="75">
        <f t="shared" si="0"/>
        <v>0</v>
      </c>
      <c r="L10" s="76">
        <f t="shared" si="1"/>
        <v>0</v>
      </c>
      <c r="M10" s="77">
        <f t="shared" si="2"/>
        <v>0</v>
      </c>
      <c r="N10" s="76">
        <f t="shared" si="3"/>
        <v>0</v>
      </c>
      <c r="O10" s="98"/>
      <c r="P10" s="100" t="s">
        <v>267</v>
      </c>
      <c r="Q10" s="63">
        <f ca="1">MATCH(Q$9,BDDF!1:1,0)</f>
        <v>57</v>
      </c>
    </row>
    <row r="11" spans="1:19" ht="18" customHeight="1" thickBot="1" x14ac:dyDescent="0.3">
      <c r="A11" s="60"/>
      <c r="B11" s="485">
        <v>7</v>
      </c>
      <c r="C11" s="486"/>
      <c r="D11" s="487">
        <f>VLOOKUP($P$2,PVM!$B$4:$P$95,10,FALSE)</f>
        <v>1.9193</v>
      </c>
      <c r="E11" s="488"/>
      <c r="F11" s="489"/>
      <c r="G11" s="72"/>
      <c r="H11" s="72"/>
      <c r="I11" s="73"/>
      <c r="J11" s="74"/>
      <c r="K11" s="75">
        <f t="shared" si="0"/>
        <v>0</v>
      </c>
      <c r="L11" s="76">
        <f t="shared" si="1"/>
        <v>0</v>
      </c>
      <c r="M11" s="77">
        <f t="shared" si="2"/>
        <v>0</v>
      </c>
      <c r="N11" s="76">
        <f t="shared" si="3"/>
        <v>0</v>
      </c>
      <c r="O11" s="98"/>
      <c r="P11" s="100" t="s">
        <v>268</v>
      </c>
      <c r="Q11" s="63">
        <f ca="1">MATCH(Q$9,BDFD!1:1,0)</f>
        <v>57</v>
      </c>
    </row>
    <row r="12" spans="1:19" ht="20.25" customHeight="1" thickBot="1" x14ac:dyDescent="0.3">
      <c r="A12" s="60"/>
      <c r="B12" s="485">
        <v>8</v>
      </c>
      <c r="C12" s="486"/>
      <c r="D12" s="487">
        <f>VLOOKUP($P$2,PVM!$B$4:$P$95,11,FALSE)</f>
        <v>1.9193</v>
      </c>
      <c r="E12" s="488"/>
      <c r="F12" s="489"/>
      <c r="G12" s="72"/>
      <c r="H12" s="72"/>
      <c r="I12" s="73"/>
      <c r="J12" s="74"/>
      <c r="K12" s="75">
        <f t="shared" si="0"/>
        <v>0</v>
      </c>
      <c r="L12" s="76">
        <f t="shared" si="1"/>
        <v>0</v>
      </c>
      <c r="M12" s="77">
        <f t="shared" si="2"/>
        <v>0</v>
      </c>
      <c r="N12" s="76">
        <f t="shared" si="3"/>
        <v>0</v>
      </c>
      <c r="O12" s="98"/>
      <c r="P12" s="100" t="s">
        <v>269</v>
      </c>
      <c r="Q12" s="63">
        <f ca="1">MATCH(Q$9,BDIMS!2:2,0)</f>
        <v>21</v>
      </c>
    </row>
    <row r="13" spans="1:19" ht="17.25" customHeight="1" thickBot="1" x14ac:dyDescent="0.3">
      <c r="A13" s="60"/>
      <c r="B13" s="485">
        <v>9</v>
      </c>
      <c r="C13" s="486"/>
      <c r="D13" s="487">
        <f>VLOOKUP($P$2,PVM!$B$4:$P$95,12,FALSE)</f>
        <v>1.9193</v>
      </c>
      <c r="E13" s="488"/>
      <c r="F13" s="489"/>
      <c r="G13" s="72"/>
      <c r="H13" s="72"/>
      <c r="I13" s="73"/>
      <c r="J13" s="74"/>
      <c r="K13" s="75">
        <f t="shared" si="0"/>
        <v>0</v>
      </c>
      <c r="L13" s="76">
        <f t="shared" si="1"/>
        <v>0</v>
      </c>
      <c r="M13" s="77">
        <f t="shared" si="2"/>
        <v>0</v>
      </c>
      <c r="N13" s="76">
        <f t="shared" si="3"/>
        <v>0</v>
      </c>
      <c r="O13" s="98"/>
      <c r="P13" s="63"/>
      <c r="Q13" s="63"/>
    </row>
    <row r="14" spans="1:19" ht="16.5" customHeight="1" thickBot="1" x14ac:dyDescent="0.3">
      <c r="A14" s="60"/>
      <c r="B14" s="485">
        <v>10</v>
      </c>
      <c r="C14" s="486"/>
      <c r="D14" s="487">
        <f>VLOOKUP($P$2,PVM!$B$4:$P$95,13,FALSE)</f>
        <v>1.9193</v>
      </c>
      <c r="E14" s="488"/>
      <c r="F14" s="489"/>
      <c r="G14" s="72"/>
      <c r="H14" s="72"/>
      <c r="I14" s="73"/>
      <c r="J14" s="74"/>
      <c r="K14" s="75">
        <f t="shared" si="0"/>
        <v>0</v>
      </c>
      <c r="L14" s="76">
        <f t="shared" si="1"/>
        <v>0</v>
      </c>
      <c r="M14" s="77">
        <f t="shared" si="2"/>
        <v>0</v>
      </c>
      <c r="N14" s="76">
        <f t="shared" si="3"/>
        <v>0</v>
      </c>
      <c r="O14" s="98"/>
      <c r="P14" s="63"/>
      <c r="Q14" s="63"/>
    </row>
    <row r="15" spans="1:19" ht="19.5" customHeight="1" thickBot="1" x14ac:dyDescent="0.3">
      <c r="A15" s="60"/>
      <c r="B15" s="485">
        <v>11</v>
      </c>
      <c r="C15" s="486"/>
      <c r="D15" s="487">
        <f>VLOOKUP($P$2,PVM!$B$4:$P$95,14,FALSE)</f>
        <v>1.9193</v>
      </c>
      <c r="E15" s="488"/>
      <c r="F15" s="489"/>
      <c r="G15" s="72"/>
      <c r="H15" s="72"/>
      <c r="I15" s="73"/>
      <c r="J15" s="74"/>
      <c r="K15" s="75">
        <f t="shared" si="0"/>
        <v>0</v>
      </c>
      <c r="L15" s="76">
        <f t="shared" si="1"/>
        <v>0</v>
      </c>
      <c r="M15" s="77">
        <f t="shared" si="2"/>
        <v>0</v>
      </c>
      <c r="N15" s="76">
        <f t="shared" si="3"/>
        <v>0</v>
      </c>
      <c r="O15" s="98"/>
      <c r="P15" s="63" t="s">
        <v>560</v>
      </c>
      <c r="Q15" s="63"/>
    </row>
    <row r="16" spans="1:19" ht="18" customHeight="1" thickBot="1" x14ac:dyDescent="0.3">
      <c r="A16" s="60"/>
      <c r="B16" s="485">
        <v>12</v>
      </c>
      <c r="C16" s="486"/>
      <c r="D16" s="487">
        <f>VLOOKUP($P$2,PVM!$B$4:$P$95,15,FALSE)</f>
        <v>1.9193</v>
      </c>
      <c r="E16" s="488"/>
      <c r="F16" s="489"/>
      <c r="G16" s="72"/>
      <c r="H16" s="72"/>
      <c r="I16" s="73"/>
      <c r="J16" s="74"/>
      <c r="K16" s="75">
        <f t="shared" si="0"/>
        <v>0</v>
      </c>
      <c r="L16" s="76">
        <f t="shared" si="1"/>
        <v>0</v>
      </c>
      <c r="M16" s="77">
        <f t="shared" si="2"/>
        <v>0</v>
      </c>
      <c r="N16" s="76">
        <f t="shared" si="3"/>
        <v>0</v>
      </c>
      <c r="O16" s="98"/>
      <c r="P16" s="63" t="s">
        <v>562</v>
      </c>
      <c r="Q16" s="63"/>
    </row>
    <row r="17" spans="1:17" ht="22.5" hidden="1" customHeight="1" thickBot="1" x14ac:dyDescent="0.3">
      <c r="A17" s="60"/>
      <c r="B17" s="485">
        <v>13</v>
      </c>
      <c r="C17" s="486"/>
      <c r="D17" s="115"/>
      <c r="E17" s="115"/>
      <c r="F17" s="115"/>
      <c r="G17" s="116"/>
      <c r="H17" s="116"/>
      <c r="I17" s="117"/>
      <c r="J17" s="118"/>
      <c r="K17" s="119">
        <f t="shared" si="0"/>
        <v>0</v>
      </c>
      <c r="L17" s="120">
        <f>C17*G17</f>
        <v>0</v>
      </c>
      <c r="M17" s="121">
        <f>ROUND(C17*I17,0)</f>
        <v>0</v>
      </c>
      <c r="N17" s="120">
        <f t="shared" si="3"/>
        <v>0</v>
      </c>
      <c r="O17" s="122"/>
      <c r="P17" s="90"/>
      <c r="Q17" s="90"/>
    </row>
    <row r="18" spans="1:17" x14ac:dyDescent="0.25">
      <c r="A18" s="60"/>
      <c r="B18" s="78"/>
      <c r="C18" s="79"/>
      <c r="D18" s="79"/>
      <c r="E18" s="79"/>
      <c r="F18" s="79"/>
      <c r="G18" s="80"/>
      <c r="H18" s="88"/>
      <c r="I18" s="81"/>
      <c r="J18" s="82"/>
      <c r="K18" s="83"/>
      <c r="L18" s="60"/>
      <c r="M18" s="60"/>
      <c r="N18" s="60"/>
      <c r="O18" s="60"/>
      <c r="P18" s="90"/>
      <c r="Q18" s="90"/>
    </row>
    <row r="19" spans="1:17" ht="12.75" hidden="1" customHeight="1" thickBot="1" x14ac:dyDescent="0.3">
      <c r="A19" s="60"/>
      <c r="B19" s="123" t="s">
        <v>146</v>
      </c>
      <c r="C19" s="89">
        <f>SUM(C6:C17)</f>
        <v>0</v>
      </c>
      <c r="D19" s="89">
        <f>SUM(D6:D17)</f>
        <v>21.112300000000001</v>
      </c>
      <c r="E19" s="89">
        <f>SUM(E6:E18)</f>
        <v>0</v>
      </c>
      <c r="F19" s="85"/>
      <c r="G19" s="93"/>
      <c r="H19" s="60"/>
      <c r="I19" s="124"/>
      <c r="J19" s="84">
        <f t="shared" ref="J19:O19" si="4">SUM(J6:J17)</f>
        <v>0</v>
      </c>
      <c r="K19" s="59">
        <f t="shared" si="4"/>
        <v>0</v>
      </c>
      <c r="L19" s="59">
        <f t="shared" si="4"/>
        <v>0</v>
      </c>
      <c r="M19" s="125">
        <f t="shared" si="4"/>
        <v>0</v>
      </c>
      <c r="N19" s="59">
        <f t="shared" si="4"/>
        <v>3.2</v>
      </c>
      <c r="O19" s="126">
        <f t="shared" si="4"/>
        <v>2.666666666666667</v>
      </c>
      <c r="P19" s="90"/>
      <c r="Q19" s="90"/>
    </row>
    <row r="20" spans="1:17" ht="26.25" customHeight="1" x14ac:dyDescent="0.25">
      <c r="A20" s="60"/>
      <c r="B20" s="60"/>
      <c r="C20" s="272" t="s">
        <v>563</v>
      </c>
      <c r="D20" s="272" t="s">
        <v>564</v>
      </c>
      <c r="E20" s="272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90"/>
      <c r="Q20" s="90"/>
    </row>
    <row r="21" spans="1:17" ht="24" customHeight="1" x14ac:dyDescent="0.25">
      <c r="A21" s="60"/>
      <c r="B21" s="130" t="s">
        <v>565</v>
      </c>
      <c r="C21" s="249">
        <v>-0.05</v>
      </c>
      <c r="D21" s="270">
        <v>12</v>
      </c>
      <c r="E21" s="288"/>
      <c r="F21" s="60"/>
      <c r="G21" s="91"/>
      <c r="H21" s="92"/>
      <c r="I21" s="60"/>
      <c r="J21" s="60"/>
      <c r="K21" s="60"/>
      <c r="L21" s="60"/>
      <c r="M21" s="60"/>
      <c r="N21" s="60"/>
      <c r="O21" s="60"/>
      <c r="P21" s="90"/>
      <c r="Q21" s="90"/>
    </row>
    <row r="22" spans="1:17" ht="15.75" customHeight="1" x14ac:dyDescent="0.25">
      <c r="A22" s="60"/>
      <c r="B22" s="60"/>
      <c r="C22" s="60"/>
      <c r="D22" s="60"/>
      <c r="E22" s="60"/>
      <c r="F22" s="60"/>
      <c r="G22" s="91"/>
      <c r="H22" s="92"/>
      <c r="I22" s="60"/>
      <c r="J22" s="60"/>
      <c r="K22" s="60"/>
      <c r="L22" s="60"/>
      <c r="M22" s="60"/>
      <c r="N22" s="60"/>
      <c r="O22" s="60"/>
      <c r="P22" s="90"/>
      <c r="Q22" s="90"/>
    </row>
    <row r="23" spans="1:17" ht="24" customHeight="1" x14ac:dyDescent="0.25">
      <c r="A23" s="60"/>
      <c r="B23" s="64"/>
      <c r="C23" s="93"/>
      <c r="D23" s="60"/>
      <c r="E23" s="60"/>
      <c r="F23" s="60"/>
      <c r="G23" s="91"/>
      <c r="H23" s="92"/>
      <c r="I23" s="60"/>
      <c r="J23" s="60"/>
      <c r="K23" s="60"/>
      <c r="L23" s="60"/>
      <c r="M23" s="60"/>
      <c r="N23" s="60"/>
      <c r="O23" s="60"/>
      <c r="P23" s="90"/>
      <c r="Q23" s="90"/>
    </row>
    <row r="24" spans="1:17" s="60" customFormat="1" ht="24" customHeight="1" x14ac:dyDescent="0.25">
      <c r="G24" s="91"/>
      <c r="H24" s="92"/>
      <c r="P24" s="90"/>
      <c r="Q24" s="90"/>
    </row>
    <row r="25" spans="1:17" s="60" customFormat="1" ht="24" customHeight="1" x14ac:dyDescent="0.25">
      <c r="G25" s="91"/>
      <c r="H25" s="92"/>
      <c r="P25" s="90"/>
      <c r="Q25" s="90"/>
    </row>
    <row r="26" spans="1:17" s="60" customFormat="1" ht="16.5" customHeight="1" x14ac:dyDescent="0.25">
      <c r="B26" s="91"/>
      <c r="G26" s="91"/>
      <c r="H26" s="92"/>
      <c r="P26" s="90"/>
      <c r="Q26" s="90"/>
    </row>
    <row r="27" spans="1:17" s="60" customFormat="1" x14ac:dyDescent="0.25">
      <c r="A27" s="108"/>
      <c r="B27" s="108"/>
      <c r="C27" s="108"/>
      <c r="D27" s="108"/>
      <c r="E27" s="108"/>
      <c r="F27" s="108"/>
      <c r="G27" s="111"/>
      <c r="H27" s="110"/>
      <c r="I27" s="108"/>
      <c r="J27" s="108"/>
      <c r="K27" s="108"/>
      <c r="L27" s="108"/>
      <c r="M27" s="108"/>
      <c r="N27" s="108"/>
      <c r="O27" s="108"/>
      <c r="P27" s="109"/>
      <c r="Q27" s="109"/>
    </row>
    <row r="28" spans="1:17" s="60" customFormat="1" hidden="1" x14ac:dyDescent="0.25">
      <c r="P28" s="90"/>
      <c r="Q28" s="90"/>
    </row>
    <row r="29" spans="1:17" s="60" customFormat="1" hidden="1" x14ac:dyDescent="0.25">
      <c r="A29" s="61"/>
      <c r="P29" s="90"/>
      <c r="Q29" s="90"/>
    </row>
    <row r="30" spans="1:17" s="60" customFormat="1" hidden="1" x14ac:dyDescent="0.25">
      <c r="A30" s="61"/>
      <c r="P30" s="90"/>
      <c r="Q30" s="90"/>
    </row>
    <row r="31" spans="1:17" s="60" customFormat="1" hidden="1" x14ac:dyDescent="0.25">
      <c r="A31" s="61"/>
      <c r="P31" s="90"/>
      <c r="Q31" s="90"/>
    </row>
    <row r="32" spans="1:17" s="60" customFormat="1" hidden="1" x14ac:dyDescent="0.25">
      <c r="A32" s="61"/>
      <c r="P32" s="90"/>
      <c r="Q32" s="90"/>
    </row>
    <row r="33" spans="1:17" s="60" customFormat="1" hidden="1" x14ac:dyDescent="0.25">
      <c r="A33" s="61"/>
      <c r="P33" s="90"/>
      <c r="Q33" s="90"/>
    </row>
    <row r="34" spans="1:17" s="60" customFormat="1" hidden="1" x14ac:dyDescent="0.25">
      <c r="A34" s="61"/>
      <c r="P34" s="90"/>
      <c r="Q34" s="90"/>
    </row>
    <row r="35" spans="1:17" s="60" customFormat="1" hidden="1" x14ac:dyDescent="0.25">
      <c r="A35" s="61"/>
      <c r="P35" s="90"/>
      <c r="Q35" s="90"/>
    </row>
    <row r="36" spans="1:17" s="60" customFormat="1" hidden="1" x14ac:dyDescent="0.25">
      <c r="A36" s="61"/>
      <c r="P36" s="90"/>
      <c r="Q36" s="90"/>
    </row>
    <row r="37" spans="1:17" s="60" customFormat="1" hidden="1" x14ac:dyDescent="0.25">
      <c r="A37" s="61"/>
      <c r="P37" s="90"/>
      <c r="Q37" s="90"/>
    </row>
    <row r="38" spans="1:17" s="60" customFormat="1" hidden="1" x14ac:dyDescent="0.25">
      <c r="A38" s="61"/>
      <c r="P38" s="90"/>
      <c r="Q38" s="90"/>
    </row>
    <row r="39" spans="1:17" s="60" customFormat="1" hidden="1" x14ac:dyDescent="0.25">
      <c r="A39" s="61"/>
      <c r="P39" s="90"/>
      <c r="Q39" s="90"/>
    </row>
    <row r="40" spans="1:17" s="60" customFormat="1" hidden="1" x14ac:dyDescent="0.25">
      <c r="A40" s="61"/>
      <c r="P40" s="90"/>
      <c r="Q40" s="90"/>
    </row>
    <row r="41" spans="1:17" s="60" customFormat="1" hidden="1" x14ac:dyDescent="0.25">
      <c r="A41" s="61"/>
      <c r="P41" s="90"/>
      <c r="Q41" s="90"/>
    </row>
    <row r="42" spans="1:17" s="60" customFormat="1" hidden="1" x14ac:dyDescent="0.25">
      <c r="A42" s="61"/>
      <c r="P42" s="90"/>
      <c r="Q42" s="90"/>
    </row>
    <row r="43" spans="1:17" s="60" customFormat="1" hidden="1" x14ac:dyDescent="0.25">
      <c r="A43" s="61"/>
      <c r="P43" s="90"/>
      <c r="Q43" s="90"/>
    </row>
    <row r="44" spans="1:17" s="60" customFormat="1" hidden="1" x14ac:dyDescent="0.25">
      <c r="A44" s="61"/>
      <c r="P44" s="90"/>
      <c r="Q44" s="90"/>
    </row>
    <row r="45" spans="1:17" s="60" customFormat="1" hidden="1" x14ac:dyDescent="0.25">
      <c r="A45" s="61"/>
      <c r="P45" s="90"/>
      <c r="Q45" s="90"/>
    </row>
    <row r="46" spans="1:17" s="60" customFormat="1" hidden="1" x14ac:dyDescent="0.25">
      <c r="A46" s="61"/>
      <c r="P46" s="90"/>
      <c r="Q46" s="90"/>
    </row>
    <row r="47" spans="1:17" s="60" customFormat="1" hidden="1" x14ac:dyDescent="0.25">
      <c r="A47" s="61"/>
      <c r="P47" s="90"/>
      <c r="Q47" s="90"/>
    </row>
    <row r="48" spans="1:17" s="60" customFormat="1" hidden="1" x14ac:dyDescent="0.25">
      <c r="A48" s="61"/>
      <c r="P48" s="90"/>
      <c r="Q48" s="90"/>
    </row>
    <row r="49" spans="1:17" s="60" customFormat="1" hidden="1" x14ac:dyDescent="0.25">
      <c r="A49" s="61"/>
      <c r="P49" s="90"/>
      <c r="Q49" s="90"/>
    </row>
    <row r="50" spans="1:17" s="60" customFormat="1" hidden="1" x14ac:dyDescent="0.25">
      <c r="A50" s="61"/>
      <c r="P50" s="90"/>
      <c r="Q50" s="90"/>
    </row>
    <row r="51" spans="1:17" s="60" customFormat="1" hidden="1" x14ac:dyDescent="0.25">
      <c r="A51" s="61"/>
      <c r="P51" s="90"/>
      <c r="Q51" s="90"/>
    </row>
    <row r="52" spans="1:17" s="60" customFormat="1" hidden="1" x14ac:dyDescent="0.25">
      <c r="A52" s="61"/>
      <c r="P52" s="90"/>
      <c r="Q52" s="90"/>
    </row>
    <row r="53" spans="1:17" s="60" customFormat="1" hidden="1" x14ac:dyDescent="0.25">
      <c r="A53" s="61"/>
      <c r="P53" s="90"/>
      <c r="Q53" s="90"/>
    </row>
    <row r="54" spans="1:17" s="60" customFormat="1" hidden="1" x14ac:dyDescent="0.25">
      <c r="A54" s="61"/>
      <c r="P54" s="90"/>
      <c r="Q54" s="90"/>
    </row>
    <row r="55" spans="1:17" s="60" customFormat="1" hidden="1" x14ac:dyDescent="0.25">
      <c r="A55" s="61"/>
      <c r="P55" s="90"/>
      <c r="Q55" s="90"/>
    </row>
    <row r="56" spans="1:17" s="60" customFormat="1" hidden="1" x14ac:dyDescent="0.25">
      <c r="A56" s="61"/>
      <c r="P56" s="90"/>
      <c r="Q56" s="90"/>
    </row>
    <row r="57" spans="1:17" s="60" customFormat="1" hidden="1" x14ac:dyDescent="0.25">
      <c r="A57" s="61"/>
      <c r="P57" s="90"/>
      <c r="Q57" s="90"/>
    </row>
    <row r="58" spans="1:17" s="60" customFormat="1" hidden="1" x14ac:dyDescent="0.25">
      <c r="A58" s="61"/>
      <c r="P58" s="90"/>
      <c r="Q58" s="90"/>
    </row>
    <row r="59" spans="1:17" s="60" customFormat="1" hidden="1" x14ac:dyDescent="0.25">
      <c r="A59" s="61"/>
      <c r="P59" s="90"/>
      <c r="Q59" s="90"/>
    </row>
    <row r="60" spans="1:17" s="60" customFormat="1" hidden="1" x14ac:dyDescent="0.25">
      <c r="A60" s="61"/>
      <c r="P60" s="90"/>
      <c r="Q60" s="90"/>
    </row>
    <row r="61" spans="1:17" s="60" customFormat="1" hidden="1" x14ac:dyDescent="0.25">
      <c r="A61" s="61"/>
      <c r="P61" s="90"/>
      <c r="Q61" s="90"/>
    </row>
    <row r="62" spans="1:17" s="60" customFormat="1" hidden="1" x14ac:dyDescent="0.25">
      <c r="A62" s="61"/>
      <c r="P62" s="90"/>
      <c r="Q62" s="90"/>
    </row>
    <row r="63" spans="1:17" s="60" customFormat="1" hidden="1" x14ac:dyDescent="0.25">
      <c r="A63" s="61"/>
      <c r="P63" s="90"/>
      <c r="Q63" s="90"/>
    </row>
    <row r="64" spans="1:17" s="60" customFormat="1" hidden="1" x14ac:dyDescent="0.25">
      <c r="A64" s="61"/>
      <c r="P64" s="90"/>
      <c r="Q64" s="90"/>
    </row>
    <row r="65" spans="1:17" s="60" customFormat="1" hidden="1" x14ac:dyDescent="0.25">
      <c r="A65" s="61"/>
      <c r="P65" s="90"/>
      <c r="Q65" s="90"/>
    </row>
    <row r="66" spans="1:17" s="60" customFormat="1" hidden="1" x14ac:dyDescent="0.25">
      <c r="A66" s="61"/>
      <c r="P66" s="90"/>
      <c r="Q66" s="90"/>
    </row>
    <row r="67" spans="1:17" s="60" customFormat="1" hidden="1" x14ac:dyDescent="0.25">
      <c r="A67" s="61"/>
      <c r="P67" s="90"/>
      <c r="Q67" s="90"/>
    </row>
    <row r="68" spans="1:17" s="60" customFormat="1" hidden="1" x14ac:dyDescent="0.25">
      <c r="A68" s="61"/>
      <c r="P68" s="90"/>
      <c r="Q68" s="90"/>
    </row>
    <row r="69" spans="1:17" s="60" customFormat="1" hidden="1" x14ac:dyDescent="0.25">
      <c r="A69" s="61"/>
      <c r="P69" s="90"/>
      <c r="Q69" s="90"/>
    </row>
    <row r="70" spans="1:17" s="60" customFormat="1" hidden="1" x14ac:dyDescent="0.25">
      <c r="A70" s="61"/>
      <c r="P70" s="90"/>
      <c r="Q70" s="90"/>
    </row>
    <row r="71" spans="1:17" s="60" customFormat="1" hidden="1" x14ac:dyDescent="0.25">
      <c r="A71" s="61"/>
      <c r="P71" s="90"/>
      <c r="Q71" s="90"/>
    </row>
    <row r="72" spans="1:17" s="60" customFormat="1" hidden="1" x14ac:dyDescent="0.25">
      <c r="A72" s="61"/>
      <c r="P72" s="90"/>
      <c r="Q72" s="90"/>
    </row>
    <row r="73" spans="1:17" s="60" customFormat="1" hidden="1" x14ac:dyDescent="0.25">
      <c r="A73" s="61"/>
      <c r="P73" s="90"/>
      <c r="Q73" s="90"/>
    </row>
    <row r="74" spans="1:17" s="60" customFormat="1" hidden="1" x14ac:dyDescent="0.25">
      <c r="A74" s="61"/>
      <c r="P74" s="90"/>
      <c r="Q74" s="90"/>
    </row>
    <row r="75" spans="1:17" s="60" customFormat="1" hidden="1" x14ac:dyDescent="0.25">
      <c r="A75" s="61"/>
      <c r="P75" s="90"/>
      <c r="Q75" s="90"/>
    </row>
    <row r="76" spans="1:17" s="60" customFormat="1" hidden="1" x14ac:dyDescent="0.25">
      <c r="A76" s="61"/>
      <c r="P76" s="90"/>
      <c r="Q76" s="90"/>
    </row>
    <row r="77" spans="1:17" s="60" customFormat="1" hidden="1" x14ac:dyDescent="0.25">
      <c r="A77" s="61"/>
      <c r="P77" s="90"/>
      <c r="Q77" s="90"/>
    </row>
    <row r="78" spans="1:17" s="60" customFormat="1" hidden="1" x14ac:dyDescent="0.25">
      <c r="A78" s="61"/>
      <c r="P78" s="90"/>
      <c r="Q78" s="90"/>
    </row>
    <row r="79" spans="1:17" s="60" customFormat="1" hidden="1" x14ac:dyDescent="0.25">
      <c r="A79" s="61"/>
      <c r="P79" s="90"/>
      <c r="Q79" s="90"/>
    </row>
    <row r="80" spans="1:17" s="60" customFormat="1" hidden="1" x14ac:dyDescent="0.25">
      <c r="A80" s="61"/>
      <c r="P80" s="90"/>
      <c r="Q80" s="90"/>
    </row>
    <row r="81" spans="1:17" s="60" customFormat="1" hidden="1" x14ac:dyDescent="0.25">
      <c r="A81" s="61"/>
      <c r="P81" s="90"/>
      <c r="Q81" s="90"/>
    </row>
    <row r="82" spans="1:17" s="60" customFormat="1" hidden="1" x14ac:dyDescent="0.25">
      <c r="A82" s="61"/>
      <c r="P82" s="90"/>
      <c r="Q82" s="90"/>
    </row>
    <row r="83" spans="1:17" s="60" customFormat="1" hidden="1" x14ac:dyDescent="0.25">
      <c r="A83" s="61"/>
      <c r="P83" s="90"/>
      <c r="Q83" s="90"/>
    </row>
    <row r="84" spans="1:17" s="60" customFormat="1" hidden="1" x14ac:dyDescent="0.25">
      <c r="A84" s="61"/>
      <c r="P84" s="90"/>
      <c r="Q84" s="90"/>
    </row>
    <row r="85" spans="1:17" s="60" customFormat="1" hidden="1" x14ac:dyDescent="0.25">
      <c r="A85" s="61"/>
      <c r="P85" s="90"/>
      <c r="Q85" s="90"/>
    </row>
    <row r="86" spans="1:17" s="60" customFormat="1" hidden="1" x14ac:dyDescent="0.25">
      <c r="A86" s="61"/>
      <c r="P86" s="90"/>
      <c r="Q86" s="90"/>
    </row>
    <row r="87" spans="1:17" s="60" customFormat="1" hidden="1" x14ac:dyDescent="0.25">
      <c r="A87" s="61"/>
      <c r="P87" s="90"/>
      <c r="Q87" s="90"/>
    </row>
    <row r="88" spans="1:17" s="60" customFormat="1" hidden="1" x14ac:dyDescent="0.25">
      <c r="A88" s="61"/>
      <c r="P88" s="90"/>
      <c r="Q88" s="90"/>
    </row>
    <row r="89" spans="1:17" s="60" customFormat="1" hidden="1" x14ac:dyDescent="0.25">
      <c r="A89" s="61"/>
      <c r="P89" s="90"/>
      <c r="Q89" s="90"/>
    </row>
    <row r="90" spans="1:17" s="60" customFormat="1" hidden="1" x14ac:dyDescent="0.25">
      <c r="A90" s="61"/>
      <c r="P90" s="90"/>
      <c r="Q90" s="90"/>
    </row>
    <row r="91" spans="1:17" s="60" customFormat="1" hidden="1" x14ac:dyDescent="0.25">
      <c r="A91" s="61"/>
      <c r="P91" s="90"/>
      <c r="Q91" s="90"/>
    </row>
    <row r="92" spans="1:17" s="60" customFormat="1" hidden="1" x14ac:dyDescent="0.25">
      <c r="A92" s="61"/>
      <c r="P92" s="90"/>
      <c r="Q92" s="90"/>
    </row>
    <row r="93" spans="1:17" s="60" customFormat="1" hidden="1" x14ac:dyDescent="0.25">
      <c r="A93" s="61"/>
      <c r="P93" s="90"/>
      <c r="Q93" s="90"/>
    </row>
    <row r="94" spans="1:17" s="60" customFormat="1" hidden="1" x14ac:dyDescent="0.25">
      <c r="A94" s="61"/>
      <c r="P94" s="90"/>
      <c r="Q94" s="90"/>
    </row>
    <row r="95" spans="1:17" s="60" customFormat="1" hidden="1" x14ac:dyDescent="0.25">
      <c r="A95" s="61"/>
      <c r="P95" s="90"/>
      <c r="Q95" s="90"/>
    </row>
    <row r="96" spans="1:17" s="60" customFormat="1" hidden="1" x14ac:dyDescent="0.25">
      <c r="A96" s="61"/>
      <c r="P96" s="90"/>
      <c r="Q96" s="90"/>
    </row>
    <row r="97" spans="1:17" s="60" customFormat="1" hidden="1" x14ac:dyDescent="0.25">
      <c r="A97" s="61"/>
      <c r="P97" s="90"/>
      <c r="Q97" s="90"/>
    </row>
    <row r="98" spans="1:17" s="60" customFormat="1" hidden="1" x14ac:dyDescent="0.25">
      <c r="A98" s="61"/>
      <c r="P98" s="90"/>
      <c r="Q98" s="90"/>
    </row>
    <row r="99" spans="1:17" s="60" customFormat="1" hidden="1" x14ac:dyDescent="0.25">
      <c r="A99" s="61"/>
      <c r="P99" s="90"/>
      <c r="Q99" s="90"/>
    </row>
    <row r="100" spans="1:17" s="60" customFormat="1" hidden="1" x14ac:dyDescent="0.25">
      <c r="A100" s="61"/>
      <c r="P100" s="90"/>
      <c r="Q100" s="90"/>
    </row>
    <row r="101" spans="1:17" s="60" customFormat="1" hidden="1" x14ac:dyDescent="0.25">
      <c r="A101" s="61"/>
      <c r="P101" s="90"/>
      <c r="Q101" s="90"/>
    </row>
    <row r="110" spans="1:17" hidden="1" x14ac:dyDescent="0.25">
      <c r="B110" s="61">
        <v>0</v>
      </c>
      <c r="H110" s="61">
        <v>1000</v>
      </c>
    </row>
  </sheetData>
  <mergeCells count="29">
    <mergeCell ref="B17:C17"/>
    <mergeCell ref="D7:F7"/>
    <mergeCell ref="D8:F8"/>
    <mergeCell ref="D9:F9"/>
    <mergeCell ref="D10:F10"/>
    <mergeCell ref="D11:F11"/>
    <mergeCell ref="D12:F12"/>
    <mergeCell ref="D13:F13"/>
    <mergeCell ref="D14:F14"/>
    <mergeCell ref="D15:F15"/>
    <mergeCell ref="B11:C11"/>
    <mergeCell ref="B12:C12"/>
    <mergeCell ref="B13:C13"/>
    <mergeCell ref="B14:C14"/>
    <mergeCell ref="B15:C15"/>
    <mergeCell ref="B16:C16"/>
    <mergeCell ref="B10:C10"/>
    <mergeCell ref="D16:F16"/>
    <mergeCell ref="C1:F1"/>
    <mergeCell ref="C2:F2"/>
    <mergeCell ref="B4:C4"/>
    <mergeCell ref="D4:F4"/>
    <mergeCell ref="B5:C5"/>
    <mergeCell ref="D5:F5"/>
    <mergeCell ref="B6:C6"/>
    <mergeCell ref="D6:F6"/>
    <mergeCell ref="B7:C7"/>
    <mergeCell ref="B8:C8"/>
    <mergeCell ref="B9:C9"/>
  </mergeCells>
  <dataValidations count="7">
    <dataValidation type="list" allowBlank="1" showInputMessage="1" showErrorMessage="1" sqref="D21">
      <formula1>"1,2,3,4,5,6,7,8,9,10,11,12"</formula1>
    </dataValidation>
    <dataValidation type="whole" allowBlank="1" showInputMessage="1" showErrorMessage="1" sqref="C18:F18">
      <formula1>0</formula1>
      <formula2>99999999</formula2>
    </dataValidation>
    <dataValidation type="decimal" allowBlank="1" showInputMessage="1" showErrorMessage="1" sqref="G6:G18 H6:H17 N6">
      <formula1>0</formula1>
      <formula2>99999</formula2>
    </dataValidation>
    <dataValidation type="decimal" allowBlank="1" showInputMessage="1" showErrorMessage="1" sqref="I6:I18 J18">
      <formula1>0</formula1>
      <formula2>100</formula2>
    </dataValidation>
    <dataValidation type="whole" allowBlank="1" showInputMessage="1" showErrorMessage="1" sqref="J6:J17">
      <formula1>0</formula1>
      <formula2>99999</formula2>
    </dataValidation>
    <dataValidation type="whole" allowBlank="1" showInputMessage="1" showErrorMessage="1" sqref="D17:F17">
      <formula1>-99999999</formula1>
      <formula2>99999999</formula2>
    </dataValidation>
    <dataValidation type="decimal" allowBlank="1" showInputMessage="1" showErrorMessage="1" sqref="C21">
      <formula1>-1000</formula1>
      <formula2>1000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5777" r:id="rId4" name="cmdbtncargar">
          <controlPr defaultSize="0" autoLine="0" r:id="rId5">
            <anchor moveWithCells="1">
              <from>
                <xdr:col>5</xdr:col>
                <xdr:colOff>200025</xdr:colOff>
                <xdr:row>20</xdr:row>
                <xdr:rowOff>19050</xdr:rowOff>
              </from>
              <to>
                <xdr:col>15</xdr:col>
                <xdr:colOff>447675</xdr:colOff>
                <xdr:row>21</xdr:row>
                <xdr:rowOff>9525</xdr:rowOff>
              </to>
            </anchor>
          </controlPr>
        </control>
      </mc:Choice>
      <mc:Fallback>
        <control shapeId="75777" r:id="rId4" name="cmdbtncarga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BDPROD!$E:$E</xm:f>
          </x14:formula1>
          <xm:sqref>C2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1:V2043"/>
  <sheetViews>
    <sheetView topLeftCell="B1" zoomScale="90" zoomScaleNormal="90" workbookViewId="0">
      <pane xSplit="3" ySplit="3" topLeftCell="Q4" activePane="bottomRight" state="frozen"/>
      <selection activeCell="B1" sqref="B1"/>
      <selection pane="topRight" activeCell="E1" sqref="E1"/>
      <selection pane="bottomLeft" activeCell="B4" sqref="B4"/>
      <selection pane="bottomRight" activeCell="W11" sqref="W11"/>
    </sheetView>
  </sheetViews>
  <sheetFormatPr baseColWidth="10" defaultRowHeight="12.75" x14ac:dyDescent="0.2"/>
  <cols>
    <col min="1" max="1" width="0.7109375" style="53" customWidth="1"/>
    <col min="2" max="2" width="7.42578125" style="1" customWidth="1"/>
    <col min="3" max="3" width="11.42578125" style="1"/>
    <col min="4" max="4" width="33.5703125" style="52" customWidth="1"/>
    <col min="5" max="5" width="11.42578125" style="1"/>
    <col min="6" max="6" width="10.5703125" style="1" customWidth="1"/>
    <col min="7" max="17" width="11.42578125" style="1"/>
    <col min="18" max="18" width="15.85546875" style="1" customWidth="1"/>
    <col min="19" max="16384" width="11.42578125" style="1"/>
  </cols>
  <sheetData>
    <row r="1" spans="1:22" s="33" customFormat="1" x14ac:dyDescent="0.2">
      <c r="D1" s="40"/>
      <c r="E1" s="34" t="s">
        <v>147</v>
      </c>
    </row>
    <row r="2" spans="1:22" x14ac:dyDescent="0.2">
      <c r="A2" s="33"/>
      <c r="B2" s="33"/>
      <c r="C2" s="33"/>
      <c r="D2" s="40"/>
      <c r="E2" s="286">
        <v>1</v>
      </c>
      <c r="F2" s="286">
        <v>2</v>
      </c>
      <c r="G2" s="286">
        <v>3</v>
      </c>
      <c r="H2" s="286">
        <v>4</v>
      </c>
      <c r="I2" s="286">
        <v>5</v>
      </c>
      <c r="J2" s="286">
        <v>6</v>
      </c>
      <c r="K2" s="286">
        <v>7</v>
      </c>
      <c r="L2" s="286">
        <v>8</v>
      </c>
      <c r="M2" s="286">
        <v>9</v>
      </c>
      <c r="N2" s="286">
        <v>10</v>
      </c>
      <c r="O2" s="286">
        <v>11</v>
      </c>
      <c r="P2" s="286">
        <v>12</v>
      </c>
      <c r="Q2" s="2" t="s">
        <v>146</v>
      </c>
      <c r="S2" s="492" t="s">
        <v>644</v>
      </c>
      <c r="T2" s="492"/>
    </row>
    <row r="3" spans="1:22" s="33" customFormat="1" x14ac:dyDescent="0.2">
      <c r="D3" s="40"/>
      <c r="S3" s="316" t="s">
        <v>643</v>
      </c>
      <c r="T3" s="315" t="s">
        <v>642</v>
      </c>
      <c r="U3" s="317" t="s">
        <v>600</v>
      </c>
      <c r="V3" s="318" t="s">
        <v>645</v>
      </c>
    </row>
    <row r="4" spans="1:22" x14ac:dyDescent="0.2">
      <c r="A4" s="33"/>
      <c r="B4" s="31">
        <v>13017</v>
      </c>
      <c r="C4" s="4" t="s">
        <v>5</v>
      </c>
      <c r="D4" s="41" t="s">
        <v>6</v>
      </c>
      <c r="E4" s="7">
        <v>0</v>
      </c>
      <c r="F4" s="7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f>SUM(E4:P4)</f>
        <v>0</v>
      </c>
      <c r="S4" s="313">
        <f>VLOOKUP(B4,BDDF!$B$5:$BX$102,75,FALSE)</f>
        <v>-7.0750647109577222E-2</v>
      </c>
      <c r="T4" s="313">
        <f>VLOOKUP(B4,BDFD!$B$5:$BY$100,76,FALSE)</f>
        <v>0</v>
      </c>
      <c r="U4" s="313">
        <v>0</v>
      </c>
      <c r="V4" s="312">
        <f>+U4*Q4</f>
        <v>0</v>
      </c>
    </row>
    <row r="5" spans="1:22" x14ac:dyDescent="0.2">
      <c r="A5" s="33"/>
      <c r="B5" s="31">
        <v>13016</v>
      </c>
      <c r="C5" s="6"/>
      <c r="D5" s="41" t="s">
        <v>7</v>
      </c>
      <c r="E5" s="7">
        <v>410</v>
      </c>
      <c r="F5" s="7">
        <v>485</v>
      </c>
      <c r="G5" s="5">
        <v>504</v>
      </c>
      <c r="H5" s="5">
        <v>529</v>
      </c>
      <c r="I5" s="5">
        <v>567</v>
      </c>
      <c r="J5" s="5">
        <v>554</v>
      </c>
      <c r="K5" s="5">
        <v>529</v>
      </c>
      <c r="L5" s="5">
        <v>510</v>
      </c>
      <c r="M5" s="5">
        <v>592</v>
      </c>
      <c r="N5" s="5">
        <v>605</v>
      </c>
      <c r="O5" s="5">
        <v>542</v>
      </c>
      <c r="P5" s="5">
        <v>472</v>
      </c>
      <c r="Q5" s="5">
        <f t="shared" ref="Q5:Q48" si="0">SUM(E5:P5)</f>
        <v>6299</v>
      </c>
      <c r="S5" s="313">
        <f>VLOOKUP(B5,BDDF!$B$5:$BX$102,75,FALSE)</f>
        <v>-5.076142131979695E-3</v>
      </c>
      <c r="T5" s="313">
        <f>VLOOKUP(B5,BDFD!$B$5:$BY$100,76,FALSE)</f>
        <v>1.834862385321101E-2</v>
      </c>
      <c r="U5" s="313">
        <v>0.2</v>
      </c>
      <c r="V5" s="312">
        <f t="shared" ref="V5:V48" si="1">+U5*Q5</f>
        <v>1259.8000000000002</v>
      </c>
    </row>
    <row r="6" spans="1:22" x14ac:dyDescent="0.2">
      <c r="A6" s="33"/>
      <c r="B6" s="32">
        <v>13078</v>
      </c>
      <c r="C6" s="9" t="s">
        <v>8</v>
      </c>
      <c r="D6" s="41" t="s">
        <v>9</v>
      </c>
      <c r="E6" s="7">
        <v>566</v>
      </c>
      <c r="F6" s="7">
        <v>671</v>
      </c>
      <c r="G6" s="5">
        <v>697</v>
      </c>
      <c r="H6" s="5">
        <v>731</v>
      </c>
      <c r="I6" s="5">
        <v>784</v>
      </c>
      <c r="J6" s="5">
        <v>766</v>
      </c>
      <c r="K6" s="5">
        <v>731</v>
      </c>
      <c r="L6" s="5">
        <v>705</v>
      </c>
      <c r="M6" s="5">
        <v>819</v>
      </c>
      <c r="N6" s="5">
        <v>836</v>
      </c>
      <c r="O6" s="5">
        <v>749</v>
      </c>
      <c r="P6" s="5">
        <v>653</v>
      </c>
      <c r="Q6" s="5">
        <f t="shared" si="0"/>
        <v>8708</v>
      </c>
      <c r="S6" s="313">
        <f>VLOOKUP(B6,BDDF!$B$5:$BX$102,75,FALSE)</f>
        <v>0.10869994081672914</v>
      </c>
      <c r="T6" s="313">
        <f>VLOOKUP(B6,BDFD!$B$5:$BY$100,76,FALSE)</f>
        <v>0.10631163708086785</v>
      </c>
      <c r="U6" s="313">
        <v>0.11</v>
      </c>
      <c r="V6" s="312">
        <f t="shared" si="1"/>
        <v>957.88</v>
      </c>
    </row>
    <row r="7" spans="1:22" x14ac:dyDescent="0.2">
      <c r="A7" s="33"/>
      <c r="B7" s="31">
        <v>13120</v>
      </c>
      <c r="C7" s="10"/>
      <c r="D7" s="41" t="s">
        <v>10</v>
      </c>
      <c r="E7" s="7">
        <v>178</v>
      </c>
      <c r="F7" s="7">
        <v>211</v>
      </c>
      <c r="G7" s="5">
        <v>219</v>
      </c>
      <c r="H7" s="5">
        <v>230</v>
      </c>
      <c r="I7" s="5">
        <v>247</v>
      </c>
      <c r="J7" s="5">
        <v>241</v>
      </c>
      <c r="K7" s="5">
        <v>230</v>
      </c>
      <c r="L7" s="5">
        <v>222</v>
      </c>
      <c r="M7" s="5">
        <v>258</v>
      </c>
      <c r="N7" s="5">
        <v>263</v>
      </c>
      <c r="O7" s="5">
        <v>236</v>
      </c>
      <c r="P7" s="5">
        <v>206</v>
      </c>
      <c r="Q7" s="5">
        <f t="shared" si="0"/>
        <v>2741</v>
      </c>
      <c r="R7" s="1" t="s">
        <v>702</v>
      </c>
      <c r="S7" s="313">
        <f>VLOOKUP(B7,BDDF!$B$5:$BX$102,75,FALSE)</f>
        <v>0.12427325581395349</v>
      </c>
      <c r="T7" s="313">
        <f>VLOOKUP(B7,BDFD!$B$5:$BY$100,76,FALSE)</f>
        <v>9.0796019900497515E-2</v>
      </c>
      <c r="U7" s="313">
        <v>0.12</v>
      </c>
      <c r="V7" s="312">
        <f t="shared" si="1"/>
        <v>328.92</v>
      </c>
    </row>
    <row r="8" spans="1:22" x14ac:dyDescent="0.2">
      <c r="A8" s="33"/>
      <c r="B8" s="31">
        <v>13053</v>
      </c>
      <c r="C8" s="11"/>
      <c r="D8" s="41" t="s">
        <v>11</v>
      </c>
      <c r="E8" s="7">
        <v>1210</v>
      </c>
      <c r="F8" s="7">
        <v>1433</v>
      </c>
      <c r="G8" s="5">
        <v>1489</v>
      </c>
      <c r="H8" s="5">
        <v>1563</v>
      </c>
      <c r="I8" s="5">
        <v>1675</v>
      </c>
      <c r="J8" s="5">
        <v>1638</v>
      </c>
      <c r="K8" s="5">
        <v>1563</v>
      </c>
      <c r="L8" s="5">
        <v>1508</v>
      </c>
      <c r="M8" s="5">
        <v>1750</v>
      </c>
      <c r="N8" s="5">
        <v>1787</v>
      </c>
      <c r="O8" s="5">
        <v>1601</v>
      </c>
      <c r="P8" s="5">
        <v>1396</v>
      </c>
      <c r="Q8" s="5">
        <f t="shared" si="0"/>
        <v>18613</v>
      </c>
      <c r="R8" s="1" t="s">
        <v>624</v>
      </c>
      <c r="S8" s="313">
        <f>VLOOKUP(B8,BDDF!$B$5:$BX$102,75,FALSE)</f>
        <v>9.6331420014973801E-2</v>
      </c>
      <c r="T8" s="313">
        <f>VLOOKUP(B8,BDFD!$B$5:$BY$100,76,FALSE)</f>
        <v>0.10246120920278223</v>
      </c>
      <c r="U8" s="313">
        <v>0.1</v>
      </c>
      <c r="V8" s="312">
        <f t="shared" si="1"/>
        <v>1861.3000000000002</v>
      </c>
    </row>
    <row r="9" spans="1:22" x14ac:dyDescent="0.2">
      <c r="A9" s="33"/>
      <c r="B9" s="31">
        <v>13022</v>
      </c>
      <c r="C9" s="19" t="s">
        <v>12</v>
      </c>
      <c r="D9" s="41" t="s">
        <v>13</v>
      </c>
      <c r="E9" s="7">
        <v>35806</v>
      </c>
      <c r="F9" s="7">
        <v>42416</v>
      </c>
      <c r="G9" s="5">
        <v>44068</v>
      </c>
      <c r="H9" s="5">
        <v>46272</v>
      </c>
      <c r="I9" s="5">
        <v>49577</v>
      </c>
      <c r="J9" s="5">
        <v>48475</v>
      </c>
      <c r="K9" s="5">
        <v>46272</v>
      </c>
      <c r="L9" s="5">
        <v>44619</v>
      </c>
      <c r="M9" s="5">
        <v>51780</v>
      </c>
      <c r="N9" s="5">
        <v>52882</v>
      </c>
      <c r="O9" s="5">
        <v>47374</v>
      </c>
      <c r="P9" s="5">
        <v>41314</v>
      </c>
      <c r="Q9" s="5">
        <f t="shared" si="0"/>
        <v>550855</v>
      </c>
      <c r="S9" s="313">
        <f>VLOOKUP(B9,BDDF!$B$5:$BX$102,75,FALSE)</f>
        <v>0.52281673147335161</v>
      </c>
      <c r="T9" s="313">
        <f>VLOOKUP(B9,BDFD!$B$5:$BY$100,76,FALSE)</f>
        <v>0.50594126428653452</v>
      </c>
      <c r="U9" s="313">
        <v>0.6</v>
      </c>
      <c r="V9" s="312">
        <f t="shared" si="1"/>
        <v>330513</v>
      </c>
    </row>
    <row r="10" spans="1:22" x14ac:dyDescent="0.2">
      <c r="A10" s="33"/>
      <c r="B10" s="31">
        <v>13163</v>
      </c>
      <c r="C10" s="4" t="s">
        <v>14</v>
      </c>
      <c r="D10" s="42" t="s">
        <v>573</v>
      </c>
      <c r="E10" s="7">
        <v>358</v>
      </c>
      <c r="F10" s="7">
        <v>424</v>
      </c>
      <c r="G10" s="5">
        <v>440</v>
      </c>
      <c r="H10" s="5">
        <v>462</v>
      </c>
      <c r="I10" s="5">
        <v>495</v>
      </c>
      <c r="J10" s="5">
        <v>484</v>
      </c>
      <c r="K10" s="5">
        <v>462</v>
      </c>
      <c r="L10" s="5">
        <v>446</v>
      </c>
      <c r="M10" s="5">
        <v>517</v>
      </c>
      <c r="N10" s="5">
        <v>528</v>
      </c>
      <c r="O10" s="5">
        <v>473</v>
      </c>
      <c r="P10" s="5">
        <v>412</v>
      </c>
      <c r="Q10" s="5">
        <f t="shared" si="0"/>
        <v>5501</v>
      </c>
      <c r="R10" s="1" t="s">
        <v>595</v>
      </c>
      <c r="S10" s="313" t="e">
        <f>VLOOKUP(B10,BDDF!$B$5:$BX$102,75,FALSE)</f>
        <v>#N/A</v>
      </c>
      <c r="T10" s="313" t="e">
        <f>VLOOKUP(B10,BDFD!$B$5:$BY$100,76,FALSE)</f>
        <v>#N/A</v>
      </c>
      <c r="U10" s="313">
        <v>0.2</v>
      </c>
      <c r="V10" s="312">
        <f t="shared" si="1"/>
        <v>1100.2</v>
      </c>
    </row>
    <row r="11" spans="1:22" x14ac:dyDescent="0.2">
      <c r="A11" s="33"/>
      <c r="B11" s="31">
        <v>13164</v>
      </c>
      <c r="C11" s="8"/>
      <c r="D11" s="42" t="s">
        <v>574</v>
      </c>
      <c r="E11" s="7">
        <v>334</v>
      </c>
      <c r="F11" s="7">
        <v>396</v>
      </c>
      <c r="G11" s="5">
        <v>411</v>
      </c>
      <c r="H11" s="5">
        <v>432</v>
      </c>
      <c r="I11" s="5">
        <v>463</v>
      </c>
      <c r="J11" s="5">
        <v>452</v>
      </c>
      <c r="K11" s="5">
        <v>432</v>
      </c>
      <c r="L11" s="5">
        <v>416</v>
      </c>
      <c r="M11" s="5">
        <v>483</v>
      </c>
      <c r="N11" s="5">
        <v>493</v>
      </c>
      <c r="O11" s="5">
        <v>442</v>
      </c>
      <c r="P11" s="5">
        <v>386</v>
      </c>
      <c r="Q11" s="5">
        <f t="shared" si="0"/>
        <v>5140</v>
      </c>
      <c r="R11" s="1" t="s">
        <v>595</v>
      </c>
      <c r="S11" s="313" t="e">
        <f>VLOOKUP(B11,BDDF!$B$5:$BX$102,75,FALSE)</f>
        <v>#N/A</v>
      </c>
      <c r="T11" s="313" t="e">
        <f>VLOOKUP(B11,BDFD!$B$5:$BY$100,76,FALSE)</f>
        <v>#N/A</v>
      </c>
      <c r="U11" s="313">
        <v>0.2</v>
      </c>
      <c r="V11" s="312">
        <f t="shared" si="1"/>
        <v>1028</v>
      </c>
    </row>
    <row r="12" spans="1:22" x14ac:dyDescent="0.2">
      <c r="A12" s="33"/>
      <c r="B12" s="31">
        <v>13133</v>
      </c>
      <c r="C12" s="253" t="s">
        <v>15</v>
      </c>
      <c r="D12" s="42" t="s">
        <v>16</v>
      </c>
      <c r="E12" s="7">
        <v>1339</v>
      </c>
      <c r="F12" s="7">
        <v>1587</v>
      </c>
      <c r="G12" s="5">
        <v>1648</v>
      </c>
      <c r="H12" s="5">
        <v>1731</v>
      </c>
      <c r="I12" s="5">
        <v>1854</v>
      </c>
      <c r="J12" s="5">
        <v>1813</v>
      </c>
      <c r="K12" s="5">
        <v>1731</v>
      </c>
      <c r="L12" s="5">
        <v>1669</v>
      </c>
      <c r="M12" s="5">
        <v>1937</v>
      </c>
      <c r="N12" s="5">
        <v>1978</v>
      </c>
      <c r="O12" s="5">
        <v>1772</v>
      </c>
      <c r="P12" s="5">
        <v>1545</v>
      </c>
      <c r="Q12" s="5">
        <f t="shared" si="0"/>
        <v>20604</v>
      </c>
      <c r="S12" s="313">
        <f>VLOOKUP(B12,BDDF!$B$5:$BX$102,75,FALSE)</f>
        <v>9.4333305432326112E-2</v>
      </c>
      <c r="T12" s="313">
        <f>VLOOKUP(B12,BDFD!$B$5:$BY$100,76,FALSE)</f>
        <v>9.4577229503983548E-2</v>
      </c>
      <c r="U12" s="313">
        <v>0.1</v>
      </c>
      <c r="V12" s="312">
        <f t="shared" si="1"/>
        <v>2060.4</v>
      </c>
    </row>
    <row r="13" spans="1:22" x14ac:dyDescent="0.2">
      <c r="A13" s="33"/>
      <c r="B13" s="31">
        <v>13134</v>
      </c>
      <c r="C13" s="258"/>
      <c r="D13" s="42" t="s">
        <v>17</v>
      </c>
      <c r="E13" s="7">
        <v>644</v>
      </c>
      <c r="F13" s="7">
        <v>763</v>
      </c>
      <c r="G13" s="5">
        <v>793</v>
      </c>
      <c r="H13" s="5">
        <v>833</v>
      </c>
      <c r="I13" s="5">
        <v>892</v>
      </c>
      <c r="J13" s="5">
        <v>872</v>
      </c>
      <c r="K13" s="5">
        <v>833</v>
      </c>
      <c r="L13" s="5">
        <v>803</v>
      </c>
      <c r="M13" s="5">
        <v>932</v>
      </c>
      <c r="N13" s="5">
        <v>951</v>
      </c>
      <c r="O13" s="5">
        <v>852</v>
      </c>
      <c r="P13" s="5">
        <v>743</v>
      </c>
      <c r="Q13" s="5">
        <f t="shared" si="0"/>
        <v>9911</v>
      </c>
      <c r="S13" s="313">
        <f>VLOOKUP(B13,BDDF!$B$5:$BX$102,75,FALSE)</f>
        <v>0.11626968106580542</v>
      </c>
      <c r="T13" s="313">
        <f>VLOOKUP(B13,BDFD!$B$5:$BY$100,76,FALSE)</f>
        <v>0.15495642701525056</v>
      </c>
      <c r="U13" s="313">
        <v>0.15</v>
      </c>
      <c r="V13" s="312">
        <f t="shared" si="1"/>
        <v>1486.6499999999999</v>
      </c>
    </row>
    <row r="14" spans="1:22" x14ac:dyDescent="0.2">
      <c r="A14" s="33"/>
      <c r="B14" s="31">
        <v>13142</v>
      </c>
      <c r="C14" s="252" t="s">
        <v>18</v>
      </c>
      <c r="D14" s="42" t="s">
        <v>19</v>
      </c>
      <c r="E14" s="7">
        <v>953</v>
      </c>
      <c r="F14" s="7">
        <v>994</v>
      </c>
      <c r="G14" s="5">
        <v>1074</v>
      </c>
      <c r="H14" s="5">
        <v>1155</v>
      </c>
      <c r="I14" s="5">
        <v>1208</v>
      </c>
      <c r="J14" s="5">
        <v>1182</v>
      </c>
      <c r="K14" s="5">
        <v>1168</v>
      </c>
      <c r="L14" s="5">
        <v>1074</v>
      </c>
      <c r="M14" s="5">
        <v>1208</v>
      </c>
      <c r="N14" s="5">
        <v>1235</v>
      </c>
      <c r="O14" s="5">
        <v>1128</v>
      </c>
      <c r="P14" s="5">
        <v>1047</v>
      </c>
      <c r="Q14" s="5">
        <f t="shared" si="0"/>
        <v>13426</v>
      </c>
      <c r="S14" s="313">
        <f>VLOOKUP(B14,BDDF!$B$5:$BX$102,75,FALSE)</f>
        <v>0.19082260772243984</v>
      </c>
      <c r="T14" s="313">
        <f>VLOOKUP(B14,BDFD!$B$5:$BY$100,76,FALSE)</f>
        <v>0.18476477024070023</v>
      </c>
      <c r="U14" s="313">
        <v>0.2</v>
      </c>
      <c r="V14" s="312">
        <f t="shared" si="1"/>
        <v>2685.2000000000003</v>
      </c>
    </row>
    <row r="15" spans="1:22" x14ac:dyDescent="0.2">
      <c r="A15" s="33"/>
      <c r="B15" s="31">
        <v>13141</v>
      </c>
      <c r="C15" s="254"/>
      <c r="D15" s="42" t="s">
        <v>20</v>
      </c>
      <c r="E15" s="7">
        <v>1487</v>
      </c>
      <c r="F15" s="7">
        <v>1550</v>
      </c>
      <c r="G15" s="5">
        <v>1676</v>
      </c>
      <c r="H15" s="5">
        <v>1802</v>
      </c>
      <c r="I15" s="5">
        <v>1885</v>
      </c>
      <c r="J15" s="5">
        <v>1843</v>
      </c>
      <c r="K15" s="5">
        <v>1822</v>
      </c>
      <c r="L15" s="5">
        <v>1676</v>
      </c>
      <c r="M15" s="5">
        <v>1885</v>
      </c>
      <c r="N15" s="5">
        <v>1927</v>
      </c>
      <c r="O15" s="5">
        <v>1760</v>
      </c>
      <c r="P15" s="5">
        <v>1634</v>
      </c>
      <c r="Q15" s="5">
        <f t="shared" si="0"/>
        <v>20947</v>
      </c>
      <c r="S15" s="313">
        <f>VLOOKUP(B15,BDDF!$B$5:$BX$102,75,FALSE)</f>
        <v>0.13431642533534691</v>
      </c>
      <c r="T15" s="313">
        <f>VLOOKUP(B15,BDFD!$B$5:$BY$100,76,FALSE)</f>
        <v>0.14257774300801879</v>
      </c>
      <c r="U15" s="313">
        <v>0.2</v>
      </c>
      <c r="V15" s="312">
        <f t="shared" si="1"/>
        <v>4189.4000000000005</v>
      </c>
    </row>
    <row r="16" spans="1:22" x14ac:dyDescent="0.2">
      <c r="A16" s="33"/>
      <c r="B16" s="31">
        <v>33333</v>
      </c>
      <c r="C16" s="254"/>
      <c r="D16" s="42" t="s">
        <v>587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5">
        <f t="shared" si="0"/>
        <v>0</v>
      </c>
      <c r="S16" s="313" t="e">
        <f>VLOOKUP(B16,BDDF!$B$5:$BX$102,75,FALSE)</f>
        <v>#N/A</v>
      </c>
      <c r="T16" s="313" t="e">
        <f>VLOOKUP(B16,BDFD!$B$5:$BY$100,76,FALSE)</f>
        <v>#N/A</v>
      </c>
      <c r="U16" s="313"/>
      <c r="V16" s="312">
        <f t="shared" si="1"/>
        <v>0</v>
      </c>
    </row>
    <row r="17" spans="1:22" x14ac:dyDescent="0.2">
      <c r="A17" s="33"/>
      <c r="B17" s="31">
        <v>22222</v>
      </c>
      <c r="C17" s="254"/>
      <c r="D17" s="42" t="s">
        <v>586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5">
        <f t="shared" si="0"/>
        <v>0</v>
      </c>
      <c r="S17" s="313" t="e">
        <f>VLOOKUP(B17,BDDF!$B$5:$BX$102,75,FALSE)</f>
        <v>#N/A</v>
      </c>
      <c r="T17" s="313" t="e">
        <f>VLOOKUP(B17,BDFD!$B$5:$BY$100,76,FALSE)</f>
        <v>#N/A</v>
      </c>
      <c r="U17" s="313"/>
      <c r="V17" s="312">
        <f t="shared" si="1"/>
        <v>0</v>
      </c>
    </row>
    <row r="18" spans="1:22" x14ac:dyDescent="0.2">
      <c r="A18" s="33"/>
      <c r="B18" s="31">
        <v>13068</v>
      </c>
      <c r="C18" s="4" t="s">
        <v>21</v>
      </c>
      <c r="D18" s="41" t="s">
        <v>113</v>
      </c>
      <c r="E18" s="7">
        <v>776</v>
      </c>
      <c r="F18" s="7">
        <v>919</v>
      </c>
      <c r="G18" s="5">
        <v>955</v>
      </c>
      <c r="H18" s="5">
        <v>1003</v>
      </c>
      <c r="I18" s="5">
        <v>1074</v>
      </c>
      <c r="J18" s="5">
        <v>1050</v>
      </c>
      <c r="K18" s="5">
        <v>1003</v>
      </c>
      <c r="L18" s="5">
        <v>967</v>
      </c>
      <c r="M18" s="5">
        <v>1122</v>
      </c>
      <c r="N18" s="5">
        <v>1146</v>
      </c>
      <c r="O18" s="5">
        <v>1026</v>
      </c>
      <c r="P18" s="5">
        <v>895</v>
      </c>
      <c r="Q18" s="5">
        <f t="shared" si="0"/>
        <v>11936</v>
      </c>
      <c r="S18" s="313">
        <f>VLOOKUP(B18,BDDF!$B$5:$BX$102,75,FALSE)</f>
        <v>0.1100223269660134</v>
      </c>
      <c r="T18" s="313">
        <f>VLOOKUP(B18,BDFD!$B$5:$BY$100,76,FALSE)</f>
        <v>0.11604467447561972</v>
      </c>
      <c r="U18" s="313">
        <v>0.12</v>
      </c>
      <c r="V18" s="312">
        <f t="shared" si="1"/>
        <v>1432.32</v>
      </c>
    </row>
    <row r="19" spans="1:22" x14ac:dyDescent="0.2">
      <c r="A19" s="33"/>
      <c r="B19" s="31">
        <v>13067</v>
      </c>
      <c r="C19" s="6"/>
      <c r="D19" s="41" t="s">
        <v>114</v>
      </c>
      <c r="E19" s="7">
        <v>1686</v>
      </c>
      <c r="F19" s="7">
        <v>1998</v>
      </c>
      <c r="G19" s="5">
        <v>2076</v>
      </c>
      <c r="H19" s="5">
        <v>2179</v>
      </c>
      <c r="I19" s="5">
        <v>2335</v>
      </c>
      <c r="J19" s="5">
        <v>2283</v>
      </c>
      <c r="K19" s="5">
        <v>2179</v>
      </c>
      <c r="L19" s="5">
        <v>2101</v>
      </c>
      <c r="M19" s="5">
        <v>2439</v>
      </c>
      <c r="N19" s="5">
        <v>2491</v>
      </c>
      <c r="O19" s="5">
        <v>2231</v>
      </c>
      <c r="P19" s="5">
        <v>1946</v>
      </c>
      <c r="Q19" s="5">
        <f t="shared" si="0"/>
        <v>25944</v>
      </c>
      <c r="S19" s="313">
        <f>VLOOKUP(B19,BDDF!$B$5:$BX$102,75,FALSE)</f>
        <v>0.10912408759124087</v>
      </c>
      <c r="T19" s="313">
        <f>VLOOKUP(B19,BDFD!$B$5:$BY$100,76,FALSE)</f>
        <v>0.11538461538461539</v>
      </c>
      <c r="U19" s="313">
        <v>0.12</v>
      </c>
      <c r="V19" s="312">
        <f t="shared" si="1"/>
        <v>3113.2799999999997</v>
      </c>
    </row>
    <row r="20" spans="1:22" x14ac:dyDescent="0.2">
      <c r="A20" s="33"/>
      <c r="B20" s="31">
        <v>13146</v>
      </c>
      <c r="C20" s="6"/>
      <c r="D20" s="41" t="s">
        <v>24</v>
      </c>
      <c r="E20" s="7">
        <v>1259</v>
      </c>
      <c r="F20" s="7">
        <v>1491</v>
      </c>
      <c r="G20" s="5">
        <v>1549</v>
      </c>
      <c r="H20" s="5">
        <v>1627</v>
      </c>
      <c r="I20" s="5">
        <v>1743</v>
      </c>
      <c r="J20" s="5">
        <v>1704</v>
      </c>
      <c r="K20" s="5">
        <v>1627</v>
      </c>
      <c r="L20" s="5">
        <v>1569</v>
      </c>
      <c r="M20" s="5">
        <v>1820</v>
      </c>
      <c r="N20" s="5">
        <v>1859</v>
      </c>
      <c r="O20" s="5">
        <v>1666</v>
      </c>
      <c r="P20" s="5">
        <v>1453</v>
      </c>
      <c r="Q20" s="5">
        <f t="shared" si="0"/>
        <v>19367</v>
      </c>
      <c r="S20" s="313">
        <f>VLOOKUP(B20,BDDF!$B$5:$BX$102,75,FALSE)</f>
        <v>0.12792207792207791</v>
      </c>
      <c r="T20" s="313">
        <f>VLOOKUP(B20,BDFD!$B$5:$BY$100,76,FALSE)</f>
        <v>0.1495572318793047</v>
      </c>
      <c r="U20" s="313">
        <v>0.13</v>
      </c>
      <c r="V20" s="312">
        <f t="shared" si="1"/>
        <v>2517.71</v>
      </c>
    </row>
    <row r="21" spans="1:22" x14ac:dyDescent="0.2">
      <c r="A21" s="33"/>
      <c r="B21" s="31">
        <v>13054</v>
      </c>
      <c r="C21" s="8"/>
      <c r="D21" s="41" t="s">
        <v>115</v>
      </c>
      <c r="E21" s="7">
        <v>444</v>
      </c>
      <c r="F21" s="7">
        <v>526</v>
      </c>
      <c r="G21" s="5">
        <v>546</v>
      </c>
      <c r="H21" s="5">
        <v>574</v>
      </c>
      <c r="I21" s="5">
        <v>615</v>
      </c>
      <c r="J21" s="5">
        <v>601</v>
      </c>
      <c r="K21" s="5">
        <v>574</v>
      </c>
      <c r="L21" s="5">
        <v>553</v>
      </c>
      <c r="M21" s="5">
        <v>642</v>
      </c>
      <c r="N21" s="5">
        <v>655</v>
      </c>
      <c r="O21" s="5">
        <v>587</v>
      </c>
      <c r="P21" s="5">
        <v>512</v>
      </c>
      <c r="Q21" s="5">
        <f t="shared" si="0"/>
        <v>6829</v>
      </c>
      <c r="S21" s="313">
        <f>VLOOKUP(B21,BDDF!$B$5:$BX$102,75,FALSE)</f>
        <v>9.6149565991542396E-2</v>
      </c>
      <c r="T21" s="313">
        <f>VLOOKUP(B21,BDFD!$B$5:$BY$100,76,FALSE)</f>
        <v>5.0396740295946818E-2</v>
      </c>
      <c r="U21" s="313">
        <v>0.1</v>
      </c>
      <c r="V21" s="312">
        <f t="shared" si="1"/>
        <v>682.90000000000009</v>
      </c>
    </row>
    <row r="22" spans="1:22" x14ac:dyDescent="0.2">
      <c r="A22" s="33"/>
      <c r="B22" s="31">
        <v>13137</v>
      </c>
      <c r="C22" s="16" t="s">
        <v>29</v>
      </c>
      <c r="D22" s="41" t="s">
        <v>116</v>
      </c>
      <c r="E22" s="7">
        <v>0</v>
      </c>
      <c r="F22" s="7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f t="shared" si="0"/>
        <v>0</v>
      </c>
      <c r="S22" s="313">
        <f>VLOOKUP(B22,BDDF!$B$5:$BX$102,75,FALSE)</f>
        <v>0.1320901320901321</v>
      </c>
      <c r="T22" s="313">
        <f>VLOOKUP(B22,BDFD!$B$5:$BY$100,76,FALSE)</f>
        <v>0.13559322033898305</v>
      </c>
      <c r="U22" s="313">
        <v>0</v>
      </c>
      <c r="V22" s="312">
        <f t="shared" si="1"/>
        <v>0</v>
      </c>
    </row>
    <row r="23" spans="1:22" x14ac:dyDescent="0.2">
      <c r="A23" s="33"/>
      <c r="B23" s="31">
        <v>13138</v>
      </c>
      <c r="C23" s="16"/>
      <c r="D23" s="41" t="s">
        <v>117</v>
      </c>
      <c r="E23" s="7">
        <v>748</v>
      </c>
      <c r="F23" s="7">
        <v>886</v>
      </c>
      <c r="G23" s="5">
        <v>921</v>
      </c>
      <c r="H23" s="5">
        <v>967</v>
      </c>
      <c r="I23" s="5">
        <v>1036</v>
      </c>
      <c r="J23" s="5">
        <v>1013</v>
      </c>
      <c r="K23" s="5">
        <v>967</v>
      </c>
      <c r="L23" s="5">
        <v>932</v>
      </c>
      <c r="M23" s="5">
        <v>1082</v>
      </c>
      <c r="N23" s="5">
        <v>1105</v>
      </c>
      <c r="O23" s="5">
        <v>990</v>
      </c>
      <c r="P23" s="5">
        <v>863</v>
      </c>
      <c r="Q23" s="5">
        <f t="shared" si="0"/>
        <v>11510</v>
      </c>
      <c r="S23" s="313">
        <f>VLOOKUP(B23,BDDF!$B$5:$BX$102,75,FALSE)</f>
        <v>0.15311004784688995</v>
      </c>
      <c r="T23" s="313">
        <f>VLOOKUP(B23,BDFD!$B$5:$BY$100,76,FALSE)</f>
        <v>0.12193575655114117</v>
      </c>
      <c r="U23" s="313">
        <v>0.15</v>
      </c>
      <c r="V23" s="312">
        <f t="shared" si="1"/>
        <v>1726.5</v>
      </c>
    </row>
    <row r="24" spans="1:22" x14ac:dyDescent="0.2">
      <c r="A24" s="33"/>
      <c r="B24" s="31">
        <v>15514</v>
      </c>
      <c r="C24" s="4" t="s">
        <v>33</v>
      </c>
      <c r="D24" s="255" t="s">
        <v>34</v>
      </c>
      <c r="E24" s="7">
        <v>0</v>
      </c>
      <c r="F24" s="7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f t="shared" si="0"/>
        <v>0</v>
      </c>
      <c r="S24" s="313" t="e">
        <f>VLOOKUP(B24,BDDF!$B$5:$BX$102,75,FALSE)</f>
        <v>#N/A</v>
      </c>
      <c r="T24" s="313" t="e">
        <f>VLOOKUP(B24,BDFD!$B$5:$BY$100,76,FALSE)</f>
        <v>#N/A</v>
      </c>
      <c r="U24" s="313">
        <v>0.25</v>
      </c>
      <c r="V24" s="312">
        <f t="shared" si="1"/>
        <v>0</v>
      </c>
    </row>
    <row r="25" spans="1:22" x14ac:dyDescent="0.2">
      <c r="A25" s="33"/>
      <c r="B25" s="31">
        <v>15524</v>
      </c>
      <c r="C25" s="8"/>
      <c r="D25" s="255" t="s">
        <v>35</v>
      </c>
      <c r="E25" s="7">
        <v>0</v>
      </c>
      <c r="F25" s="7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f t="shared" si="0"/>
        <v>0</v>
      </c>
      <c r="S25" s="313" t="e">
        <f>VLOOKUP(B25,BDDF!$B$5:$BX$102,75,FALSE)</f>
        <v>#N/A</v>
      </c>
      <c r="T25" s="313" t="e">
        <f>VLOOKUP(B25,BDFD!$B$5:$BY$100,76,FALSE)</f>
        <v>#N/A</v>
      </c>
      <c r="U25" s="313">
        <v>0.25</v>
      </c>
      <c r="V25" s="312">
        <f t="shared" si="1"/>
        <v>0</v>
      </c>
    </row>
    <row r="26" spans="1:22" x14ac:dyDescent="0.2">
      <c r="A26" s="33"/>
      <c r="B26" s="31">
        <v>13122</v>
      </c>
      <c r="C26" s="18" t="s">
        <v>36</v>
      </c>
      <c r="D26" s="255" t="s">
        <v>118</v>
      </c>
      <c r="E26" s="7">
        <v>1337</v>
      </c>
      <c r="F26" s="7">
        <v>1394</v>
      </c>
      <c r="G26" s="5">
        <v>1507</v>
      </c>
      <c r="H26" s="5">
        <v>1620</v>
      </c>
      <c r="I26" s="5">
        <v>1695</v>
      </c>
      <c r="J26" s="5">
        <v>1657</v>
      </c>
      <c r="K26" s="5">
        <v>1639</v>
      </c>
      <c r="L26" s="5">
        <v>1507</v>
      </c>
      <c r="M26" s="5">
        <v>1695</v>
      </c>
      <c r="N26" s="5">
        <v>1733</v>
      </c>
      <c r="O26" s="5">
        <v>1582</v>
      </c>
      <c r="P26" s="5">
        <v>1469</v>
      </c>
      <c r="Q26" s="5">
        <f t="shared" si="0"/>
        <v>18835</v>
      </c>
      <c r="S26" s="313">
        <f>VLOOKUP(B26,BDDF!$B$5:$BX$102,75,FALSE)</f>
        <v>9.6219931271477668E-2</v>
      </c>
      <c r="T26" s="313">
        <f>VLOOKUP(B26,BDFD!$B$5:$BY$100,76,FALSE)</f>
        <v>0.10490498202362609</v>
      </c>
      <c r="U26" s="313">
        <v>0.1</v>
      </c>
      <c r="V26" s="312">
        <f t="shared" si="1"/>
        <v>1883.5</v>
      </c>
    </row>
    <row r="27" spans="1:22" x14ac:dyDescent="0.2">
      <c r="A27" s="33"/>
      <c r="B27" s="32">
        <v>13158</v>
      </c>
      <c r="C27" s="18"/>
      <c r="D27" s="255" t="s">
        <v>552</v>
      </c>
      <c r="E27" s="7">
        <v>821</v>
      </c>
      <c r="F27" s="7">
        <v>855</v>
      </c>
      <c r="G27" s="5">
        <v>925</v>
      </c>
      <c r="H27" s="5">
        <v>994</v>
      </c>
      <c r="I27" s="5">
        <v>1040</v>
      </c>
      <c r="J27" s="5">
        <v>1017</v>
      </c>
      <c r="K27" s="5">
        <v>1006</v>
      </c>
      <c r="L27" s="5">
        <v>925</v>
      </c>
      <c r="M27" s="5">
        <v>1040</v>
      </c>
      <c r="N27" s="5">
        <v>1063</v>
      </c>
      <c r="O27" s="5">
        <v>971</v>
      </c>
      <c r="P27" s="5">
        <v>902</v>
      </c>
      <c r="Q27" s="5">
        <f t="shared" si="0"/>
        <v>11559</v>
      </c>
      <c r="S27" s="313">
        <f>VLOOKUP(B27,BDDF!$B$5:$BX$102,75,FALSE)</f>
        <v>8.7031700288184438E-2</v>
      </c>
      <c r="T27" s="313">
        <f>VLOOKUP(B27,BDFD!$B$5:$BY$100,76,FALSE)</f>
        <v>9.3190746398952418E-2</v>
      </c>
      <c r="U27" s="313">
        <v>0.1</v>
      </c>
      <c r="V27" s="312">
        <f t="shared" si="1"/>
        <v>1155.9000000000001</v>
      </c>
    </row>
    <row r="28" spans="1:22" x14ac:dyDescent="0.2">
      <c r="A28" s="33"/>
      <c r="B28" s="31">
        <v>13110</v>
      </c>
      <c r="C28" s="19" t="s">
        <v>38</v>
      </c>
      <c r="D28" s="41" t="s">
        <v>39</v>
      </c>
      <c r="E28" s="7">
        <v>7445</v>
      </c>
      <c r="F28" s="7">
        <v>7760</v>
      </c>
      <c r="G28" s="5">
        <v>8389</v>
      </c>
      <c r="H28" s="5">
        <v>9018</v>
      </c>
      <c r="I28" s="5">
        <v>9438</v>
      </c>
      <c r="J28" s="5">
        <v>9228</v>
      </c>
      <c r="K28" s="5">
        <v>9123</v>
      </c>
      <c r="L28" s="5">
        <v>8389</v>
      </c>
      <c r="M28" s="5">
        <v>9438</v>
      </c>
      <c r="N28" s="5">
        <v>9648</v>
      </c>
      <c r="O28" s="5">
        <v>8809</v>
      </c>
      <c r="P28" s="5">
        <v>8180</v>
      </c>
      <c r="Q28" s="5">
        <f t="shared" si="0"/>
        <v>104865</v>
      </c>
      <c r="S28" s="313">
        <f>VLOOKUP(B28,BDDF!$B$5:$BX$102,75,FALSE)</f>
        <v>0.17456567307350696</v>
      </c>
      <c r="T28" s="313">
        <f>VLOOKUP(B28,BDFD!$B$5:$BY$100,76,FALSE)</f>
        <v>0.16364414029084687</v>
      </c>
      <c r="U28" s="313">
        <v>0.2</v>
      </c>
      <c r="V28" s="312">
        <f t="shared" si="1"/>
        <v>20973</v>
      </c>
    </row>
    <row r="29" spans="1:22" x14ac:dyDescent="0.2">
      <c r="A29" s="33"/>
      <c r="B29" s="31">
        <v>13074</v>
      </c>
      <c r="C29" s="20" t="s">
        <v>40</v>
      </c>
      <c r="D29" s="41" t="s">
        <v>41</v>
      </c>
      <c r="E29" s="7">
        <v>5586</v>
      </c>
      <c r="F29" s="7">
        <v>6618</v>
      </c>
      <c r="G29" s="5">
        <v>6876</v>
      </c>
      <c r="H29" s="5">
        <v>7219</v>
      </c>
      <c r="I29" s="5">
        <v>7735</v>
      </c>
      <c r="J29" s="5">
        <v>7563</v>
      </c>
      <c r="K29" s="5">
        <v>7219</v>
      </c>
      <c r="L29" s="5">
        <v>6962</v>
      </c>
      <c r="M29" s="5">
        <v>8079</v>
      </c>
      <c r="N29" s="5">
        <v>8251</v>
      </c>
      <c r="O29" s="5">
        <v>7391</v>
      </c>
      <c r="P29" s="5">
        <v>6446</v>
      </c>
      <c r="Q29" s="5">
        <f t="shared" si="0"/>
        <v>85945</v>
      </c>
      <c r="R29" s="1" t="s">
        <v>621</v>
      </c>
      <c r="S29" s="313">
        <f>VLOOKUP(B29,BDDF!$B$5:$BX$102,75,FALSE)</f>
        <v>0.14020540129326739</v>
      </c>
      <c r="T29" s="313">
        <f>VLOOKUP(B29,BDFD!$B$5:$BY$100,76,FALSE)</f>
        <v>0.18009383243058213</v>
      </c>
      <c r="U29" s="313">
        <v>0.18</v>
      </c>
      <c r="V29" s="312">
        <f t="shared" si="1"/>
        <v>15470.099999999999</v>
      </c>
    </row>
    <row r="30" spans="1:22" x14ac:dyDescent="0.2">
      <c r="A30" s="33"/>
      <c r="B30" s="31">
        <v>13072</v>
      </c>
      <c r="C30" s="20"/>
      <c r="D30" s="41" t="s">
        <v>42</v>
      </c>
      <c r="E30" s="7">
        <v>1405</v>
      </c>
      <c r="F30" s="7">
        <v>1664</v>
      </c>
      <c r="G30" s="5">
        <v>1729</v>
      </c>
      <c r="H30" s="5">
        <v>1815</v>
      </c>
      <c r="I30" s="5">
        <v>1945</v>
      </c>
      <c r="J30" s="5">
        <v>1902</v>
      </c>
      <c r="K30" s="5">
        <v>1815</v>
      </c>
      <c r="L30" s="5">
        <v>1750</v>
      </c>
      <c r="M30" s="5">
        <v>2031</v>
      </c>
      <c r="N30" s="5">
        <v>2074</v>
      </c>
      <c r="O30" s="5">
        <v>1858</v>
      </c>
      <c r="P30" s="5">
        <v>1621</v>
      </c>
      <c r="Q30" s="5">
        <f t="shared" si="0"/>
        <v>21609</v>
      </c>
      <c r="R30" s="1" t="s">
        <v>622</v>
      </c>
      <c r="S30" s="313">
        <f>VLOOKUP(B30,BDDF!$B$5:$BX$102,75,FALSE)</f>
        <v>0.130002822466836</v>
      </c>
      <c r="T30" s="313">
        <f>VLOOKUP(B30,BDFD!$B$5:$BY$100,76,FALSE)</f>
        <v>0.25349166722893191</v>
      </c>
      <c r="U30" s="313">
        <v>0.18</v>
      </c>
      <c r="V30" s="312">
        <f t="shared" si="1"/>
        <v>3889.62</v>
      </c>
    </row>
    <row r="31" spans="1:22" x14ac:dyDescent="0.2">
      <c r="A31" s="33"/>
      <c r="B31" s="31">
        <v>13071</v>
      </c>
      <c r="C31" s="21"/>
      <c r="D31" s="41" t="s">
        <v>43</v>
      </c>
      <c r="E31" s="7">
        <v>3337</v>
      </c>
      <c r="F31" s="7">
        <v>3953</v>
      </c>
      <c r="G31" s="5">
        <v>4108</v>
      </c>
      <c r="H31" s="5">
        <v>4313</v>
      </c>
      <c r="I31" s="5">
        <v>4621</v>
      </c>
      <c r="J31" s="5">
        <v>4518</v>
      </c>
      <c r="K31" s="5">
        <v>4313</v>
      </c>
      <c r="L31" s="5">
        <v>4159</v>
      </c>
      <c r="M31" s="5">
        <v>4826</v>
      </c>
      <c r="N31" s="5">
        <v>4929</v>
      </c>
      <c r="O31" s="5">
        <v>4416</v>
      </c>
      <c r="P31" s="5">
        <v>3851</v>
      </c>
      <c r="Q31" s="5">
        <f t="shared" si="0"/>
        <v>51344</v>
      </c>
      <c r="R31" s="1" t="s">
        <v>623</v>
      </c>
      <c r="S31" s="313">
        <f>VLOOKUP(B31,BDDF!$B$5:$BX$102,75,FALSE)</f>
        <v>0.14722193868871422</v>
      </c>
      <c r="T31" s="313">
        <f>VLOOKUP(B31,BDFD!$B$5:$BY$100,76,FALSE)</f>
        <v>0.19756828068173715</v>
      </c>
      <c r="U31" s="313">
        <v>0.18</v>
      </c>
      <c r="V31" s="312">
        <f t="shared" si="1"/>
        <v>9241.92</v>
      </c>
    </row>
    <row r="32" spans="1:22" x14ac:dyDescent="0.2">
      <c r="A32" s="33"/>
      <c r="B32" s="31">
        <v>13082</v>
      </c>
      <c r="C32" s="12" t="s">
        <v>44</v>
      </c>
      <c r="D32" s="41" t="s">
        <v>119</v>
      </c>
      <c r="E32" s="7">
        <v>195</v>
      </c>
      <c r="F32" s="7">
        <v>231</v>
      </c>
      <c r="G32" s="5">
        <v>240</v>
      </c>
      <c r="H32" s="5">
        <v>252</v>
      </c>
      <c r="I32" s="5">
        <v>270</v>
      </c>
      <c r="J32" s="5">
        <v>264</v>
      </c>
      <c r="K32" s="5">
        <v>252</v>
      </c>
      <c r="L32" s="5">
        <v>243</v>
      </c>
      <c r="M32" s="5">
        <v>282</v>
      </c>
      <c r="N32" s="5">
        <v>288</v>
      </c>
      <c r="O32" s="5">
        <v>258</v>
      </c>
      <c r="P32" s="5">
        <v>225</v>
      </c>
      <c r="Q32" s="5">
        <f t="shared" si="0"/>
        <v>3000</v>
      </c>
      <c r="R32" s="1" t="s">
        <v>700</v>
      </c>
      <c r="S32" s="313">
        <f>VLOOKUP(B32,BDDF!$B$5:$BX$102,75,FALSE)</f>
        <v>8.226691042047532E-2</v>
      </c>
      <c r="T32" s="313">
        <f>VLOOKUP(B32,BDFD!$B$5:$BY$100,76,FALSE)</f>
        <v>0.34090909090909088</v>
      </c>
      <c r="U32" s="313">
        <v>0.1</v>
      </c>
      <c r="V32" s="312">
        <f t="shared" si="1"/>
        <v>300</v>
      </c>
    </row>
    <row r="33" spans="1:22" x14ac:dyDescent="0.2">
      <c r="A33" s="33"/>
      <c r="B33" s="31">
        <v>13040</v>
      </c>
      <c r="C33" s="9" t="s">
        <v>47</v>
      </c>
      <c r="D33" s="41" t="s">
        <v>48</v>
      </c>
      <c r="E33" s="7">
        <v>0</v>
      </c>
      <c r="F33" s="7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f t="shared" si="0"/>
        <v>0</v>
      </c>
      <c r="S33" s="313">
        <f>VLOOKUP(B33,BDDF!$B$5:$BX$102,75,FALSE)</f>
        <v>-1.1778563015312131E-3</v>
      </c>
      <c r="T33" s="313">
        <f>VLOOKUP(B33,BDFD!$B$5:$BY$100,76,FALSE)</f>
        <v>0</v>
      </c>
      <c r="U33" s="313">
        <v>0</v>
      </c>
      <c r="V33" s="312">
        <f t="shared" si="1"/>
        <v>0</v>
      </c>
    </row>
    <row r="34" spans="1:22" x14ac:dyDescent="0.2">
      <c r="A34" s="33"/>
      <c r="B34" s="31">
        <v>13066</v>
      </c>
      <c r="C34" s="20"/>
      <c r="D34" s="41" t="s">
        <v>148</v>
      </c>
      <c r="E34" s="7">
        <v>2816</v>
      </c>
      <c r="F34" s="7">
        <v>3335</v>
      </c>
      <c r="G34" s="5">
        <v>3465</v>
      </c>
      <c r="H34" s="5">
        <v>3639</v>
      </c>
      <c r="I34" s="5">
        <v>3899</v>
      </c>
      <c r="J34" s="5">
        <v>3812</v>
      </c>
      <c r="K34" s="5">
        <v>3639</v>
      </c>
      <c r="L34" s="5">
        <v>3509</v>
      </c>
      <c r="M34" s="5">
        <v>4072</v>
      </c>
      <c r="N34" s="5">
        <v>4159</v>
      </c>
      <c r="O34" s="5">
        <v>3725</v>
      </c>
      <c r="P34" s="5">
        <v>3249</v>
      </c>
      <c r="Q34" s="5">
        <f t="shared" si="0"/>
        <v>43319</v>
      </c>
      <c r="S34" s="313">
        <f>VLOOKUP(B34,BDDF!$B$5:$BX$102,75,FALSE)</f>
        <v>0.12937350624926536</v>
      </c>
      <c r="T34" s="313">
        <f>VLOOKUP(B34,BDFD!$B$5:$BY$100,76,FALSE)</f>
        <v>0.11996994176216419</v>
      </c>
      <c r="U34" s="313">
        <v>0.13</v>
      </c>
      <c r="V34" s="312">
        <f t="shared" si="1"/>
        <v>5631.47</v>
      </c>
    </row>
    <row r="35" spans="1:22" x14ac:dyDescent="0.2">
      <c r="A35" s="33"/>
      <c r="B35" s="31">
        <v>13140</v>
      </c>
      <c r="C35" s="19" t="s">
        <v>54</v>
      </c>
      <c r="D35" s="41" t="s">
        <v>120</v>
      </c>
      <c r="E35" s="7">
        <v>0</v>
      </c>
      <c r="F35" s="7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f t="shared" si="0"/>
        <v>0</v>
      </c>
      <c r="S35" s="313">
        <f>VLOOKUP(B35,BDDF!$B$5:$BX$102,75,FALSE)</f>
        <v>0.20638297872340425</v>
      </c>
      <c r="T35" s="313">
        <f>VLOOKUP(B35,BDFD!$B$5:$BY$100,76,FALSE)</f>
        <v>0.35881627620221951</v>
      </c>
      <c r="U35" s="313">
        <v>0</v>
      </c>
      <c r="V35" s="312">
        <f t="shared" si="1"/>
        <v>0</v>
      </c>
    </row>
    <row r="36" spans="1:22" x14ac:dyDescent="0.2">
      <c r="A36" s="33"/>
      <c r="B36" s="260">
        <v>13112</v>
      </c>
      <c r="C36" s="4" t="s">
        <v>56</v>
      </c>
      <c r="D36" s="42" t="s">
        <v>57</v>
      </c>
      <c r="E36" s="7">
        <v>1866</v>
      </c>
      <c r="F36" s="7">
        <v>1944</v>
      </c>
      <c r="G36" s="5">
        <v>2102</v>
      </c>
      <c r="H36" s="5">
        <v>2260</v>
      </c>
      <c r="I36" s="5">
        <v>2365</v>
      </c>
      <c r="J36" s="5">
        <v>2312</v>
      </c>
      <c r="K36" s="5">
        <v>2286</v>
      </c>
      <c r="L36" s="5">
        <v>2102</v>
      </c>
      <c r="M36" s="5">
        <v>2365</v>
      </c>
      <c r="N36" s="5">
        <v>2417</v>
      </c>
      <c r="O36" s="5">
        <v>2207</v>
      </c>
      <c r="P36" s="5">
        <v>2049</v>
      </c>
      <c r="Q36" s="5">
        <f t="shared" si="0"/>
        <v>26275</v>
      </c>
      <c r="S36" s="313">
        <f>VLOOKUP(B36,BDDF!$B$5:$BX$102,75,FALSE)</f>
        <v>0.133296264469494</v>
      </c>
      <c r="T36" s="313">
        <f>VLOOKUP(B36,BDFD!$B$5:$BY$100,76,FALSE)</f>
        <v>0.1272745155896528</v>
      </c>
      <c r="U36" s="313">
        <v>0.15</v>
      </c>
      <c r="V36" s="312">
        <f t="shared" si="1"/>
        <v>3941.25</v>
      </c>
    </row>
    <row r="37" spans="1:22" x14ac:dyDescent="0.2">
      <c r="A37" s="33"/>
      <c r="B37" s="260">
        <v>44444</v>
      </c>
      <c r="C37" s="8"/>
      <c r="D37" s="42" t="s">
        <v>585</v>
      </c>
      <c r="E37" s="7">
        <v>0</v>
      </c>
      <c r="F37" s="7">
        <v>0</v>
      </c>
      <c r="G37" s="5">
        <v>0</v>
      </c>
      <c r="H37" s="5">
        <v>0</v>
      </c>
      <c r="I37" s="5">
        <v>0</v>
      </c>
      <c r="J37" s="5">
        <v>2500</v>
      </c>
      <c r="K37" s="5">
        <v>300</v>
      </c>
      <c r="L37" s="5">
        <v>500</v>
      </c>
      <c r="M37" s="5">
        <v>1200</v>
      </c>
      <c r="N37" s="5">
        <v>1000</v>
      </c>
      <c r="O37" s="5">
        <v>1100</v>
      </c>
      <c r="P37" s="5">
        <v>1200</v>
      </c>
      <c r="Q37" s="5">
        <f t="shared" si="0"/>
        <v>7800</v>
      </c>
      <c r="S37" s="313" t="e">
        <f>VLOOKUP(B37,BDDF!$B$5:$BX$102,75,FALSE)</f>
        <v>#N/A</v>
      </c>
      <c r="T37" s="313" t="e">
        <f>VLOOKUP(B37,BDFD!$B$5:$BY$100,76,FALSE)</f>
        <v>#N/A</v>
      </c>
      <c r="U37" s="313">
        <v>0.25</v>
      </c>
      <c r="V37" s="312">
        <f t="shared" si="1"/>
        <v>1950</v>
      </c>
    </row>
    <row r="38" spans="1:22" x14ac:dyDescent="0.2">
      <c r="A38" s="33"/>
      <c r="B38" s="31">
        <v>13081</v>
      </c>
      <c r="C38" s="15" t="s">
        <v>58</v>
      </c>
      <c r="D38" s="41" t="s">
        <v>121</v>
      </c>
      <c r="E38" s="7">
        <v>308</v>
      </c>
      <c r="F38" s="7">
        <v>321</v>
      </c>
      <c r="G38" s="5">
        <v>347</v>
      </c>
      <c r="H38" s="5">
        <v>373</v>
      </c>
      <c r="I38" s="5">
        <v>390</v>
      </c>
      <c r="J38" s="5">
        <v>382</v>
      </c>
      <c r="K38" s="5">
        <v>377</v>
      </c>
      <c r="L38" s="5">
        <v>347</v>
      </c>
      <c r="M38" s="5">
        <v>390</v>
      </c>
      <c r="N38" s="5">
        <v>399</v>
      </c>
      <c r="O38" s="5">
        <v>364</v>
      </c>
      <c r="P38" s="5">
        <v>338</v>
      </c>
      <c r="Q38" s="5">
        <f t="shared" si="0"/>
        <v>4336</v>
      </c>
      <c r="S38" s="313">
        <f>VLOOKUP(B38,BDDF!$B$5:$BX$102,75,FALSE)</f>
        <v>0.13076923076923078</v>
      </c>
      <c r="T38" s="313">
        <f>VLOOKUP(B38,BDFD!$B$5:$BY$100,76,FALSE)</f>
        <v>0.13275613275613277</v>
      </c>
      <c r="U38" s="313">
        <v>0.25</v>
      </c>
      <c r="V38" s="312">
        <f t="shared" si="1"/>
        <v>1084</v>
      </c>
    </row>
    <row r="39" spans="1:22" x14ac:dyDescent="0.2">
      <c r="A39" s="33"/>
      <c r="B39" s="31">
        <v>13139</v>
      </c>
      <c r="C39" s="24" t="s">
        <v>60</v>
      </c>
      <c r="D39" s="41" t="s">
        <v>122</v>
      </c>
      <c r="E39" s="7">
        <v>948</v>
      </c>
      <c r="F39" s="7">
        <v>1123</v>
      </c>
      <c r="G39" s="5">
        <v>1166</v>
      </c>
      <c r="H39" s="5">
        <v>1225</v>
      </c>
      <c r="I39" s="5">
        <v>1312</v>
      </c>
      <c r="J39" s="5">
        <v>1283</v>
      </c>
      <c r="K39" s="5">
        <v>1225</v>
      </c>
      <c r="L39" s="5">
        <v>1181</v>
      </c>
      <c r="M39" s="5">
        <v>1371</v>
      </c>
      <c r="N39" s="5">
        <v>1400</v>
      </c>
      <c r="O39" s="5">
        <v>1254</v>
      </c>
      <c r="P39" s="5">
        <v>1094</v>
      </c>
      <c r="Q39" s="5">
        <f t="shared" si="0"/>
        <v>14582</v>
      </c>
      <c r="S39" s="313">
        <f>VLOOKUP(B39,BDDF!$B$5:$BX$102,75,FALSE)</f>
        <v>0.10835584716325743</v>
      </c>
      <c r="T39" s="313">
        <f>VLOOKUP(B39,BDFD!$B$5:$BY$100,76,FALSE)</f>
        <v>0.11171355498721228</v>
      </c>
      <c r="U39" s="313">
        <v>0.1</v>
      </c>
      <c r="V39" s="312">
        <f t="shared" si="1"/>
        <v>1458.2</v>
      </c>
    </row>
    <row r="40" spans="1:22" x14ac:dyDescent="0.2">
      <c r="A40" s="33"/>
      <c r="B40" s="31">
        <v>13051</v>
      </c>
      <c r="C40" s="25" t="s">
        <v>62</v>
      </c>
      <c r="D40" s="41" t="s">
        <v>63</v>
      </c>
      <c r="E40" s="7">
        <v>1479</v>
      </c>
      <c r="F40" s="7">
        <v>1542</v>
      </c>
      <c r="G40" s="7">
        <v>1667</v>
      </c>
      <c r="H40" s="7">
        <v>1792</v>
      </c>
      <c r="I40" s="7">
        <v>1875</v>
      </c>
      <c r="J40" s="7">
        <v>1834</v>
      </c>
      <c r="K40" s="7">
        <v>1813</v>
      </c>
      <c r="L40" s="7">
        <v>1667</v>
      </c>
      <c r="M40" s="7">
        <v>1875</v>
      </c>
      <c r="N40" s="7">
        <v>1917</v>
      </c>
      <c r="O40" s="7">
        <v>1750</v>
      </c>
      <c r="P40" s="7">
        <v>1625</v>
      </c>
      <c r="Q40" s="5">
        <f t="shared" si="0"/>
        <v>20836</v>
      </c>
      <c r="S40" s="313">
        <f>VLOOKUP(B40,BDDF!$B$5:$BX$102,75,FALSE)</f>
        <v>0.11917637271214643</v>
      </c>
      <c r="T40" s="313">
        <f>VLOOKUP(B40,BDFD!$B$5:$BY$100,76,FALSE)</f>
        <v>0.11791237113402062</v>
      </c>
      <c r="U40" s="313">
        <v>0.12</v>
      </c>
      <c r="V40" s="312">
        <f t="shared" si="1"/>
        <v>2500.3199999999997</v>
      </c>
    </row>
    <row r="41" spans="1:22" x14ac:dyDescent="0.2">
      <c r="A41" s="33"/>
      <c r="B41" s="31">
        <v>13069</v>
      </c>
      <c r="C41" s="19" t="s">
        <v>64</v>
      </c>
      <c r="D41" s="44" t="s">
        <v>65</v>
      </c>
      <c r="E41" s="7">
        <v>854</v>
      </c>
      <c r="F41" s="7">
        <v>1012</v>
      </c>
      <c r="G41" s="7">
        <v>1052</v>
      </c>
      <c r="H41" s="7">
        <v>1104</v>
      </c>
      <c r="I41" s="7">
        <v>1183</v>
      </c>
      <c r="J41" s="7">
        <v>1157</v>
      </c>
      <c r="K41" s="7">
        <v>1104</v>
      </c>
      <c r="L41" s="7">
        <v>1065</v>
      </c>
      <c r="M41" s="7">
        <v>1236</v>
      </c>
      <c r="N41" s="7">
        <v>1262</v>
      </c>
      <c r="O41" s="7">
        <v>1130</v>
      </c>
      <c r="P41" s="7">
        <v>986</v>
      </c>
      <c r="Q41" s="5">
        <f t="shared" si="0"/>
        <v>13145</v>
      </c>
      <c r="S41" s="313">
        <f>VLOOKUP(B41,BDDF!$B$5:$BX$102,75,FALSE)</f>
        <v>9.867261834840832E-2</v>
      </c>
      <c r="T41" s="313">
        <f>VLOOKUP(B41,BDFD!$B$5:$BY$100,76,FALSE)</f>
        <v>9.6849173553719012E-2</v>
      </c>
      <c r="U41" s="313">
        <v>0.1</v>
      </c>
      <c r="V41" s="312">
        <f t="shared" si="1"/>
        <v>1314.5</v>
      </c>
    </row>
    <row r="42" spans="1:22" x14ac:dyDescent="0.2">
      <c r="A42" s="33"/>
      <c r="B42" s="31">
        <v>77777</v>
      </c>
      <c r="C42" s="4" t="s">
        <v>583</v>
      </c>
      <c r="D42" s="292" t="s">
        <v>578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182</v>
      </c>
      <c r="L42" s="7">
        <v>121</v>
      </c>
      <c r="M42" s="7">
        <v>212</v>
      </c>
      <c r="N42" s="7">
        <v>212</v>
      </c>
      <c r="O42" s="7">
        <v>303</v>
      </c>
      <c r="P42" s="7">
        <v>212</v>
      </c>
      <c r="Q42" s="5">
        <f t="shared" si="0"/>
        <v>1242</v>
      </c>
      <c r="S42" s="313" t="e">
        <f>VLOOKUP(B42,BDDF!$B$5:$BX$102,75,FALSE)</f>
        <v>#N/A</v>
      </c>
      <c r="T42" s="313" t="e">
        <f>VLOOKUP(B42,BDFD!$B$5:$BY$100,76,FALSE)</f>
        <v>#N/A</v>
      </c>
      <c r="U42" s="313">
        <v>0.25</v>
      </c>
      <c r="V42" s="312">
        <f t="shared" si="1"/>
        <v>310.5</v>
      </c>
    </row>
    <row r="43" spans="1:22" x14ac:dyDescent="0.2">
      <c r="A43" s="33"/>
      <c r="B43" s="31">
        <v>88888</v>
      </c>
      <c r="C43" s="6"/>
      <c r="D43" s="292" t="s">
        <v>576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122</v>
      </c>
      <c r="L43" s="7">
        <v>81</v>
      </c>
      <c r="M43" s="7">
        <v>142</v>
      </c>
      <c r="N43" s="7">
        <v>142</v>
      </c>
      <c r="O43" s="7">
        <v>203</v>
      </c>
      <c r="P43" s="7">
        <v>142</v>
      </c>
      <c r="Q43" s="5">
        <f t="shared" si="0"/>
        <v>832</v>
      </c>
      <c r="S43" s="313" t="e">
        <f>VLOOKUP(B43,BDDF!$B$5:$BX$102,75,FALSE)</f>
        <v>#N/A</v>
      </c>
      <c r="T43" s="313" t="e">
        <f>VLOOKUP(B43,BDFD!$B$5:$BY$100,76,FALSE)</f>
        <v>#N/A</v>
      </c>
      <c r="U43" s="313">
        <v>0.25</v>
      </c>
      <c r="V43" s="312">
        <f t="shared" si="1"/>
        <v>208</v>
      </c>
    </row>
    <row r="44" spans="1:22" x14ac:dyDescent="0.2">
      <c r="A44" s="33"/>
      <c r="B44" s="31">
        <v>99999</v>
      </c>
      <c r="C44" s="6"/>
      <c r="D44" s="292" t="s">
        <v>579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377</v>
      </c>
      <c r="L44" s="7">
        <v>251</v>
      </c>
      <c r="M44" s="7">
        <v>440</v>
      </c>
      <c r="N44" s="7">
        <v>440</v>
      </c>
      <c r="O44" s="7">
        <v>628</v>
      </c>
      <c r="P44" s="7">
        <v>440</v>
      </c>
      <c r="Q44" s="5">
        <f t="shared" si="0"/>
        <v>2576</v>
      </c>
      <c r="S44" s="313" t="e">
        <f>VLOOKUP(B44,BDDF!$B$5:$BX$102,75,FALSE)</f>
        <v>#N/A</v>
      </c>
      <c r="T44" s="313" t="e">
        <f>VLOOKUP(B44,BDFD!$B$5:$BY$100,76,FALSE)</f>
        <v>#N/A</v>
      </c>
      <c r="U44" s="313">
        <v>0.25</v>
      </c>
      <c r="V44" s="312">
        <f t="shared" si="1"/>
        <v>644</v>
      </c>
    </row>
    <row r="45" spans="1:22" x14ac:dyDescent="0.2">
      <c r="A45" s="33"/>
      <c r="B45" s="31">
        <v>66666</v>
      </c>
      <c r="C45" s="6"/>
      <c r="D45" s="292" t="s">
        <v>577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362</v>
      </c>
      <c r="L45" s="7">
        <v>242</v>
      </c>
      <c r="M45" s="7">
        <v>423</v>
      </c>
      <c r="N45" s="7">
        <v>423</v>
      </c>
      <c r="O45" s="7">
        <v>604</v>
      </c>
      <c r="P45" s="7">
        <v>423</v>
      </c>
      <c r="Q45" s="5">
        <f t="shared" si="0"/>
        <v>2477</v>
      </c>
      <c r="S45" s="313" t="e">
        <f>VLOOKUP(B45,BDDF!$B$5:$BX$102,75,FALSE)</f>
        <v>#N/A</v>
      </c>
      <c r="T45" s="313" t="e">
        <f>VLOOKUP(B45,BDFD!$B$5:$BY$100,76,FALSE)</f>
        <v>#N/A</v>
      </c>
      <c r="U45" s="313">
        <v>0.25</v>
      </c>
      <c r="V45" s="312">
        <f t="shared" si="1"/>
        <v>619.25</v>
      </c>
    </row>
    <row r="46" spans="1:22" x14ac:dyDescent="0.2">
      <c r="A46" s="33"/>
      <c r="B46" s="260">
        <v>13160</v>
      </c>
      <c r="C46" s="4" t="s">
        <v>437</v>
      </c>
      <c r="D46" s="293" t="s">
        <v>580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850</v>
      </c>
      <c r="L46" s="7">
        <v>560</v>
      </c>
      <c r="M46" s="7">
        <v>635</v>
      </c>
      <c r="N46" s="7">
        <v>700</v>
      </c>
      <c r="O46" s="7">
        <v>800</v>
      </c>
      <c r="P46" s="7">
        <v>750</v>
      </c>
      <c r="Q46" s="5">
        <f t="shared" si="0"/>
        <v>4295</v>
      </c>
      <c r="S46" s="313" t="e">
        <f>VLOOKUP(B46,BDDF!$B$5:$BX$102,75,FALSE)</f>
        <v>#N/A</v>
      </c>
      <c r="T46" s="313" t="e">
        <f>VLOOKUP(B46,BDFD!$B$5:$BY$100,76,FALSE)</f>
        <v>#N/A</v>
      </c>
      <c r="U46" s="313">
        <v>0.25</v>
      </c>
      <c r="V46" s="312">
        <f t="shared" si="1"/>
        <v>1073.75</v>
      </c>
    </row>
    <row r="47" spans="1:22" x14ac:dyDescent="0.2">
      <c r="A47" s="33"/>
      <c r="B47" s="260">
        <v>13161</v>
      </c>
      <c r="C47" s="6"/>
      <c r="D47" s="293" t="s">
        <v>581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340</v>
      </c>
      <c r="L47" s="7">
        <v>224</v>
      </c>
      <c r="M47" s="7">
        <v>254</v>
      </c>
      <c r="N47" s="7">
        <v>280</v>
      </c>
      <c r="O47" s="7">
        <v>320</v>
      </c>
      <c r="P47" s="7">
        <v>300</v>
      </c>
      <c r="Q47" s="5">
        <f t="shared" si="0"/>
        <v>1718</v>
      </c>
      <c r="S47" s="313" t="e">
        <f>VLOOKUP(B47,BDDF!$B$5:$BX$102,75,FALSE)</f>
        <v>#N/A</v>
      </c>
      <c r="T47" s="313" t="e">
        <f>VLOOKUP(B47,BDFD!$B$5:$BY$100,76,FALSE)</f>
        <v>#N/A</v>
      </c>
      <c r="U47" s="313">
        <v>0.25</v>
      </c>
      <c r="V47" s="312">
        <f t="shared" si="1"/>
        <v>429.5</v>
      </c>
    </row>
    <row r="48" spans="1:22" x14ac:dyDescent="0.2">
      <c r="A48" s="33"/>
      <c r="B48" s="260">
        <v>13162</v>
      </c>
      <c r="C48" s="8"/>
      <c r="D48" s="293" t="s">
        <v>582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510</v>
      </c>
      <c r="L48" s="7">
        <v>336</v>
      </c>
      <c r="M48" s="7">
        <v>381</v>
      </c>
      <c r="N48" s="7">
        <v>420</v>
      </c>
      <c r="O48" s="7">
        <v>480</v>
      </c>
      <c r="P48" s="7">
        <v>450</v>
      </c>
      <c r="Q48" s="5">
        <f t="shared" si="0"/>
        <v>2577</v>
      </c>
      <c r="S48" s="313" t="e">
        <f>VLOOKUP(B48,BDDF!$B$5:$BX$102,75,FALSE)</f>
        <v>#N/A</v>
      </c>
      <c r="T48" s="313" t="e">
        <f>VLOOKUP(B48,BDFD!$B$5:$BY$100,76,FALSE)</f>
        <v>#N/A</v>
      </c>
      <c r="U48" s="313">
        <v>0.25</v>
      </c>
      <c r="V48" s="312">
        <f t="shared" si="1"/>
        <v>644.25</v>
      </c>
    </row>
    <row r="49" spans="1:22" x14ac:dyDescent="0.2">
      <c r="A49" s="33"/>
      <c r="B49" s="3"/>
      <c r="C49" s="281"/>
      <c r="D49" s="280"/>
      <c r="E49" s="27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U49" s="313"/>
      <c r="V49" s="319"/>
    </row>
    <row r="50" spans="1:22" x14ac:dyDescent="0.2">
      <c r="A50" s="33"/>
      <c r="B50" s="3"/>
      <c r="C50" s="281"/>
      <c r="D50" s="285" t="s">
        <v>149</v>
      </c>
      <c r="E50" s="278">
        <f t="shared" ref="E50:Q50" si="2">SUM(E4:E48)</f>
        <v>76595</v>
      </c>
      <c r="F50" s="58">
        <f t="shared" si="2"/>
        <v>88502</v>
      </c>
      <c r="G50" s="58">
        <f t="shared" si="2"/>
        <v>92639</v>
      </c>
      <c r="H50" s="58">
        <f t="shared" si="2"/>
        <v>97714</v>
      </c>
      <c r="I50" s="58">
        <f t="shared" si="2"/>
        <v>104218</v>
      </c>
      <c r="J50" s="58">
        <f t="shared" si="2"/>
        <v>104400</v>
      </c>
      <c r="K50" s="58">
        <f t="shared" si="2"/>
        <v>100977</v>
      </c>
      <c r="L50" s="58">
        <f t="shared" si="2"/>
        <v>95891</v>
      </c>
      <c r="M50" s="58">
        <f t="shared" si="2"/>
        <v>111653</v>
      </c>
      <c r="N50" s="58">
        <f t="shared" si="2"/>
        <v>113898</v>
      </c>
      <c r="O50" s="58">
        <f t="shared" si="2"/>
        <v>103582</v>
      </c>
      <c r="P50" s="58">
        <f t="shared" si="2"/>
        <v>91429</v>
      </c>
      <c r="Q50" s="58">
        <f t="shared" si="2"/>
        <v>1181498</v>
      </c>
      <c r="U50" s="313"/>
      <c r="V50" s="319">
        <f t="shared" ref="V50" si="3">SUM(V4:V48)</f>
        <v>431666.49000000017</v>
      </c>
    </row>
    <row r="51" spans="1:22" s="33" customFormat="1" x14ac:dyDescent="0.2">
      <c r="B51" s="35"/>
      <c r="C51" s="283"/>
      <c r="D51" s="284"/>
      <c r="E51" s="27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U51" s="313"/>
      <c r="V51" s="319"/>
    </row>
    <row r="52" spans="1:22" s="33" customFormat="1" x14ac:dyDescent="0.2">
      <c r="B52" s="35"/>
      <c r="C52" s="36"/>
      <c r="D52" s="45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U52" s="313"/>
      <c r="V52" s="320"/>
    </row>
    <row r="53" spans="1:22" s="33" customFormat="1" x14ac:dyDescent="0.2">
      <c r="B53" s="35"/>
      <c r="C53" s="36"/>
      <c r="D53" s="45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U53" s="313"/>
      <c r="V53" s="320"/>
    </row>
    <row r="54" spans="1:22" s="33" customFormat="1" x14ac:dyDescent="0.2">
      <c r="B54" s="35"/>
      <c r="C54" s="36"/>
      <c r="D54" s="45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U54" s="313"/>
      <c r="V54" s="320"/>
    </row>
    <row r="55" spans="1:22" s="33" customFormat="1" x14ac:dyDescent="0.2">
      <c r="B55" s="35"/>
      <c r="C55" s="36"/>
      <c r="D55" s="45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U55" s="313"/>
      <c r="V55" s="320"/>
    </row>
    <row r="56" spans="1:22" s="33" customFormat="1" x14ac:dyDescent="0.2">
      <c r="B56" s="35"/>
      <c r="C56" s="36"/>
      <c r="D56" s="45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U56" s="313"/>
      <c r="V56" s="320"/>
    </row>
    <row r="57" spans="1:22" s="33" customFormat="1" x14ac:dyDescent="0.2">
      <c r="B57" s="35"/>
      <c r="C57" s="36"/>
      <c r="D57" s="45"/>
      <c r="E57" s="34" t="s">
        <v>147</v>
      </c>
      <c r="Q57" s="37"/>
      <c r="U57" s="313"/>
      <c r="V57" s="320"/>
    </row>
    <row r="58" spans="1:22" s="33" customFormat="1" x14ac:dyDescent="0.2">
      <c r="B58" s="35"/>
      <c r="C58" s="38"/>
      <c r="D58" s="46"/>
      <c r="E58" s="286">
        <v>1</v>
      </c>
      <c r="F58" s="286">
        <v>2</v>
      </c>
      <c r="G58" s="286">
        <v>3</v>
      </c>
      <c r="H58" s="286">
        <v>4</v>
      </c>
      <c r="I58" s="286">
        <v>5</v>
      </c>
      <c r="J58" s="286">
        <v>6</v>
      </c>
      <c r="K58" s="286">
        <v>7</v>
      </c>
      <c r="L58" s="286">
        <v>8</v>
      </c>
      <c r="M58" s="286">
        <v>9</v>
      </c>
      <c r="N58" s="286">
        <v>10</v>
      </c>
      <c r="O58" s="286">
        <v>11</v>
      </c>
      <c r="P58" s="286">
        <v>12</v>
      </c>
      <c r="Q58" s="286" t="s">
        <v>146</v>
      </c>
      <c r="U58" s="313"/>
      <c r="V58" s="320"/>
    </row>
    <row r="59" spans="1:22" x14ac:dyDescent="0.2">
      <c r="A59" s="33"/>
      <c r="B59" s="31">
        <v>13035</v>
      </c>
      <c r="C59" s="30" t="s">
        <v>67</v>
      </c>
      <c r="D59" s="47" t="s">
        <v>68</v>
      </c>
      <c r="E59" s="5">
        <v>3472</v>
      </c>
      <c r="F59" s="5">
        <v>3619</v>
      </c>
      <c r="G59" s="5">
        <v>3912</v>
      </c>
      <c r="H59" s="5">
        <v>4205</v>
      </c>
      <c r="I59" s="5">
        <v>4401</v>
      </c>
      <c r="J59" s="5">
        <v>4303</v>
      </c>
      <c r="K59" s="5">
        <v>4254</v>
      </c>
      <c r="L59" s="5">
        <v>3912</v>
      </c>
      <c r="M59" s="5">
        <v>4401</v>
      </c>
      <c r="N59" s="5">
        <v>4499</v>
      </c>
      <c r="O59" s="5">
        <v>4108</v>
      </c>
      <c r="P59" s="5">
        <v>3814</v>
      </c>
      <c r="Q59" s="5">
        <f>SUM(E59:P59)</f>
        <v>48900</v>
      </c>
      <c r="S59" s="313">
        <f>VLOOKUP(B59,BDDF!$B$5:$BX$102,75,FALSE)</f>
        <v>0.20602895798718254</v>
      </c>
      <c r="T59" s="313">
        <f>VLOOKUP(B59,BDFD!$B$5:$BY$100,76,FALSE)</f>
        <v>7.7668094617247163E-2</v>
      </c>
      <c r="U59" s="313">
        <v>0.25</v>
      </c>
      <c r="V59" s="312">
        <f t="shared" ref="V59:V95" si="4">+U59*Q59</f>
        <v>12225</v>
      </c>
    </row>
    <row r="60" spans="1:22" x14ac:dyDescent="0.2">
      <c r="A60" s="33"/>
      <c r="B60" s="260">
        <v>13060</v>
      </c>
      <c r="C60" s="4" t="s">
        <v>69</v>
      </c>
      <c r="D60" s="49" t="s">
        <v>70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f>SUM(E60:P60)</f>
        <v>0</v>
      </c>
      <c r="S60" s="313">
        <f>VLOOKUP(B60,BDDF!$B$5:$BX$102,75,FALSE)</f>
        <v>0.1650154956053447</v>
      </c>
      <c r="T60" s="313">
        <f>VLOOKUP(B60,BDFD!$B$5:$BY$100,76,FALSE)</f>
        <v>0.14437555358724535</v>
      </c>
      <c r="U60" s="313">
        <v>0.2</v>
      </c>
      <c r="V60" s="312">
        <f t="shared" si="4"/>
        <v>0</v>
      </c>
    </row>
    <row r="61" spans="1:22" x14ac:dyDescent="0.2">
      <c r="A61" s="33"/>
      <c r="B61" s="260">
        <v>13061</v>
      </c>
      <c r="C61" s="6"/>
      <c r="D61" s="49" t="s">
        <v>71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f t="shared" ref="Q61:Q95" si="5">SUM(E61:P61)</f>
        <v>0</v>
      </c>
      <c r="S61" s="313">
        <f>VLOOKUP(B61,BDDF!$B$5:$BX$102,75,FALSE)</f>
        <v>6.2839633255930866E-2</v>
      </c>
      <c r="T61" s="313">
        <f>VLOOKUP(B61,BDFD!$B$5:$BY$100,76,FALSE)</f>
        <v>0.10665438793956138</v>
      </c>
      <c r="U61" s="313">
        <v>0.2</v>
      </c>
      <c r="V61" s="312">
        <f t="shared" si="4"/>
        <v>0</v>
      </c>
    </row>
    <row r="62" spans="1:22" x14ac:dyDescent="0.2">
      <c r="A62" s="33"/>
      <c r="B62" s="260">
        <v>13062</v>
      </c>
      <c r="C62" s="6"/>
      <c r="D62" s="49" t="s">
        <v>72</v>
      </c>
      <c r="E62" s="5">
        <v>5253</v>
      </c>
      <c r="F62" s="5">
        <v>5475</v>
      </c>
      <c r="G62" s="5">
        <v>5918</v>
      </c>
      <c r="H62" s="5">
        <v>6362</v>
      </c>
      <c r="I62" s="5">
        <v>6658</v>
      </c>
      <c r="J62" s="5">
        <v>6510</v>
      </c>
      <c r="K62" s="5">
        <v>6436</v>
      </c>
      <c r="L62" s="5">
        <v>5918</v>
      </c>
      <c r="M62" s="5">
        <v>6658</v>
      </c>
      <c r="N62" s="5">
        <v>6806</v>
      </c>
      <c r="O62" s="5">
        <v>6214</v>
      </c>
      <c r="P62" s="5">
        <v>5770</v>
      </c>
      <c r="Q62" s="5">
        <f t="shared" si="5"/>
        <v>73978</v>
      </c>
      <c r="R62" s="1" t="s">
        <v>595</v>
      </c>
      <c r="S62" s="313">
        <f>VLOOKUP(B62,BDDF!$B$5:$BX$102,75,FALSE)</f>
        <v>0.10759372609028309</v>
      </c>
      <c r="T62" s="313">
        <f>VLOOKUP(B62,BDFD!$B$5:$BY$100,76,FALSE)</f>
        <v>8.9329341097375045E-2</v>
      </c>
      <c r="U62" s="313">
        <v>0.2</v>
      </c>
      <c r="V62" s="312">
        <f t="shared" si="4"/>
        <v>14795.6</v>
      </c>
    </row>
    <row r="63" spans="1:22" x14ac:dyDescent="0.2">
      <c r="A63" s="33"/>
      <c r="B63" s="260">
        <v>13063</v>
      </c>
      <c r="C63" s="6"/>
      <c r="D63" s="49" t="s">
        <v>73</v>
      </c>
      <c r="E63" s="5">
        <v>4889</v>
      </c>
      <c r="F63" s="5">
        <v>5096</v>
      </c>
      <c r="G63" s="5">
        <v>5509</v>
      </c>
      <c r="H63" s="5">
        <v>5922</v>
      </c>
      <c r="I63" s="5">
        <v>6198</v>
      </c>
      <c r="J63" s="5">
        <v>6060</v>
      </c>
      <c r="K63" s="5">
        <v>5991</v>
      </c>
      <c r="L63" s="5">
        <v>5509</v>
      </c>
      <c r="M63" s="5">
        <v>6198</v>
      </c>
      <c r="N63" s="5">
        <v>6335</v>
      </c>
      <c r="O63" s="5">
        <v>5785</v>
      </c>
      <c r="P63" s="5">
        <v>5371</v>
      </c>
      <c r="Q63" s="5">
        <f t="shared" si="5"/>
        <v>68863</v>
      </c>
      <c r="R63" s="1" t="s">
        <v>596</v>
      </c>
      <c r="S63" s="313">
        <f>VLOOKUP(B63,BDDF!$B$5:$BX$102,75,FALSE)</f>
        <v>0.122381532191934</v>
      </c>
      <c r="T63" s="313">
        <f>VLOOKUP(B63,BDFD!$B$5:$BY$100,76,FALSE)</f>
        <v>0.1275829183003073</v>
      </c>
      <c r="U63" s="313">
        <v>0.2</v>
      </c>
      <c r="V63" s="312">
        <f t="shared" si="4"/>
        <v>13772.6</v>
      </c>
    </row>
    <row r="64" spans="1:22" x14ac:dyDescent="0.2">
      <c r="A64" s="33"/>
      <c r="B64" s="260">
        <v>13165</v>
      </c>
      <c r="C64" s="6"/>
      <c r="D64" s="49" t="s">
        <v>570</v>
      </c>
      <c r="E64" s="5">
        <v>2501</v>
      </c>
      <c r="F64" s="5">
        <v>2607</v>
      </c>
      <c r="G64" s="5">
        <v>2818</v>
      </c>
      <c r="H64" s="5">
        <v>3029</v>
      </c>
      <c r="I64" s="5">
        <v>3170</v>
      </c>
      <c r="J64" s="5">
        <v>3100</v>
      </c>
      <c r="K64" s="5">
        <v>3065</v>
      </c>
      <c r="L64" s="5">
        <v>2818</v>
      </c>
      <c r="M64" s="5">
        <v>3170</v>
      </c>
      <c r="N64" s="5">
        <v>3241</v>
      </c>
      <c r="O64" s="5">
        <v>2959</v>
      </c>
      <c r="P64" s="5">
        <v>2748</v>
      </c>
      <c r="Q64" s="5">
        <f t="shared" si="5"/>
        <v>35226</v>
      </c>
      <c r="R64" s="1" t="s">
        <v>594</v>
      </c>
      <c r="S64" s="313">
        <f>VLOOKUP(B64,BDDF!$B$5:$BX$102,75,FALSE)</f>
        <v>0</v>
      </c>
      <c r="T64" s="313">
        <f>VLOOKUP(B64,BDFD!$B$5:$BY$100,76,FALSE)</f>
        <v>0</v>
      </c>
      <c r="U64" s="313">
        <v>0.2</v>
      </c>
      <c r="V64" s="312">
        <f t="shared" si="4"/>
        <v>7045.2000000000007</v>
      </c>
    </row>
    <row r="65" spans="1:22" x14ac:dyDescent="0.2">
      <c r="A65" s="33"/>
      <c r="B65" s="260">
        <v>13166</v>
      </c>
      <c r="C65" s="8"/>
      <c r="D65" s="49" t="s">
        <v>569</v>
      </c>
      <c r="E65" s="5">
        <v>4605</v>
      </c>
      <c r="F65" s="5">
        <v>4800</v>
      </c>
      <c r="G65" s="5">
        <v>5189</v>
      </c>
      <c r="H65" s="5">
        <v>5578</v>
      </c>
      <c r="I65" s="5">
        <v>5837</v>
      </c>
      <c r="J65" s="5">
        <v>5708</v>
      </c>
      <c r="K65" s="5">
        <v>5643</v>
      </c>
      <c r="L65" s="5">
        <v>5189</v>
      </c>
      <c r="M65" s="5">
        <v>5837</v>
      </c>
      <c r="N65" s="5">
        <v>5967</v>
      </c>
      <c r="O65" s="5">
        <v>5448</v>
      </c>
      <c r="P65" s="5">
        <v>5059</v>
      </c>
      <c r="Q65" s="5">
        <f t="shared" si="5"/>
        <v>64860</v>
      </c>
      <c r="R65" s="1" t="s">
        <v>594</v>
      </c>
      <c r="S65" s="313">
        <f>VLOOKUP(B65,BDDF!$B$5:$BX$102,75,FALSE)</f>
        <v>0</v>
      </c>
      <c r="T65" s="313">
        <f>VLOOKUP(B65,BDFD!$B$5:$BY$100,76,FALSE)</f>
        <v>0</v>
      </c>
      <c r="U65" s="313">
        <v>0.2</v>
      </c>
      <c r="V65" s="312">
        <f t="shared" si="4"/>
        <v>12972</v>
      </c>
    </row>
    <row r="66" spans="1:22" x14ac:dyDescent="0.2">
      <c r="A66" s="33"/>
      <c r="B66" s="32">
        <v>13159</v>
      </c>
      <c r="C66" s="23" t="s">
        <v>75</v>
      </c>
      <c r="D66" s="48" t="s">
        <v>497</v>
      </c>
      <c r="E66" s="5">
        <v>4451</v>
      </c>
      <c r="F66" s="5">
        <v>4639</v>
      </c>
      <c r="G66" s="5">
        <v>5015</v>
      </c>
      <c r="H66" s="5">
        <v>5391</v>
      </c>
      <c r="I66" s="5">
        <v>5642</v>
      </c>
      <c r="J66" s="5">
        <v>5516</v>
      </c>
      <c r="K66" s="5">
        <v>5454</v>
      </c>
      <c r="L66" s="5">
        <v>5015</v>
      </c>
      <c r="M66" s="5">
        <v>5642</v>
      </c>
      <c r="N66" s="5">
        <v>5767</v>
      </c>
      <c r="O66" s="5">
        <v>5266</v>
      </c>
      <c r="P66" s="5">
        <v>4889</v>
      </c>
      <c r="Q66" s="5">
        <f t="shared" si="5"/>
        <v>62687</v>
      </c>
      <c r="S66" s="313">
        <f>VLOOKUP(B66,BDDF!$B$5:$BX$102,75,FALSE)</f>
        <v>0.16689274521726929</v>
      </c>
      <c r="T66" s="313">
        <f>VLOOKUP(B66,BDFD!$B$5:$BY$100,76,FALSE)</f>
        <v>0.11294853786234198</v>
      </c>
      <c r="U66" s="313">
        <v>0.2</v>
      </c>
      <c r="V66" s="312">
        <f t="shared" si="4"/>
        <v>12537.400000000001</v>
      </c>
    </row>
    <row r="67" spans="1:22" x14ac:dyDescent="0.2">
      <c r="A67" s="33"/>
      <c r="B67" s="32">
        <v>13121</v>
      </c>
      <c r="C67" s="19" t="s">
        <v>555</v>
      </c>
      <c r="D67" s="48" t="s">
        <v>76</v>
      </c>
      <c r="E67" s="5">
        <v>4537</v>
      </c>
      <c r="F67" s="5">
        <v>4728</v>
      </c>
      <c r="G67" s="5">
        <v>5112</v>
      </c>
      <c r="H67" s="5">
        <v>5495</v>
      </c>
      <c r="I67" s="5">
        <v>5751</v>
      </c>
      <c r="J67" s="5">
        <v>5623</v>
      </c>
      <c r="K67" s="5">
        <v>5559</v>
      </c>
      <c r="L67" s="5">
        <v>5112</v>
      </c>
      <c r="M67" s="5">
        <v>5751</v>
      </c>
      <c r="N67" s="5">
        <v>5878</v>
      </c>
      <c r="O67" s="5">
        <v>5367</v>
      </c>
      <c r="P67" s="5">
        <v>4984</v>
      </c>
      <c r="Q67" s="5">
        <f t="shared" si="5"/>
        <v>63897</v>
      </c>
      <c r="S67" s="313">
        <f>VLOOKUP(B67,BDDF!$B$5:$BX$102,75,FALSE)</f>
        <v>0.11826511303655014</v>
      </c>
      <c r="T67" s="313">
        <f>VLOOKUP(B67,BDFD!$B$5:$BY$100,76,FALSE)</f>
        <v>0.11691217133376904</v>
      </c>
      <c r="U67" s="313">
        <v>0.2</v>
      </c>
      <c r="V67" s="312">
        <f t="shared" si="4"/>
        <v>12779.400000000001</v>
      </c>
    </row>
    <row r="68" spans="1:22" x14ac:dyDescent="0.2">
      <c r="A68" s="33"/>
      <c r="B68" s="31">
        <v>13143</v>
      </c>
      <c r="C68" s="4" t="s">
        <v>77</v>
      </c>
      <c r="D68" s="48" t="s">
        <v>78</v>
      </c>
      <c r="E68" s="5">
        <v>11690</v>
      </c>
      <c r="F68" s="5">
        <v>12184</v>
      </c>
      <c r="G68" s="5">
        <v>13172</v>
      </c>
      <c r="H68" s="5">
        <v>14159</v>
      </c>
      <c r="I68" s="5">
        <v>14818</v>
      </c>
      <c r="J68" s="5">
        <v>14489</v>
      </c>
      <c r="K68" s="5">
        <v>14324</v>
      </c>
      <c r="L68" s="5">
        <v>13172</v>
      </c>
      <c r="M68" s="5">
        <v>14818</v>
      </c>
      <c r="N68" s="5">
        <v>15147</v>
      </c>
      <c r="O68" s="5">
        <v>13830</v>
      </c>
      <c r="P68" s="5">
        <v>12842</v>
      </c>
      <c r="Q68" s="5">
        <f t="shared" si="5"/>
        <v>164645</v>
      </c>
      <c r="S68" s="313">
        <f>VLOOKUP(B68,BDDF!$B$5:$BX$102,75,FALSE)</f>
        <v>0.16384973209690928</v>
      </c>
      <c r="T68" s="313">
        <f>VLOOKUP(B68,BDFD!$B$5:$BY$100,76,FALSE)</f>
        <v>0.19511777301927194</v>
      </c>
      <c r="U68" s="313">
        <v>0.2</v>
      </c>
      <c r="V68" s="312">
        <f t="shared" si="4"/>
        <v>32929</v>
      </c>
    </row>
    <row r="69" spans="1:22" x14ac:dyDescent="0.2">
      <c r="A69" s="33"/>
      <c r="B69" s="31">
        <v>13144</v>
      </c>
      <c r="C69" s="8"/>
      <c r="D69" s="48" t="s">
        <v>79</v>
      </c>
      <c r="E69" s="5">
        <v>2120</v>
      </c>
      <c r="F69" s="5">
        <v>2210</v>
      </c>
      <c r="G69" s="5">
        <v>2389</v>
      </c>
      <c r="H69" s="5">
        <v>2568</v>
      </c>
      <c r="I69" s="5">
        <v>2688</v>
      </c>
      <c r="J69" s="5">
        <v>2628</v>
      </c>
      <c r="K69" s="5">
        <v>2598</v>
      </c>
      <c r="L69" s="5">
        <v>2389</v>
      </c>
      <c r="M69" s="5">
        <v>2688</v>
      </c>
      <c r="N69" s="5">
        <v>2747</v>
      </c>
      <c r="O69" s="5">
        <v>2508</v>
      </c>
      <c r="P69" s="5">
        <v>2329</v>
      </c>
      <c r="Q69" s="5">
        <f t="shared" si="5"/>
        <v>29862</v>
      </c>
      <c r="S69" s="313">
        <f>VLOOKUP(B69,BDDF!$B$5:$BX$102,75,FALSE)</f>
        <v>0.14484094052558782</v>
      </c>
      <c r="T69" s="313">
        <f>VLOOKUP(B69,BDFD!$B$5:$BY$100,76,FALSE)</f>
        <v>0.11582600647848218</v>
      </c>
      <c r="U69" s="313">
        <v>0.2</v>
      </c>
      <c r="V69" s="312">
        <f t="shared" si="4"/>
        <v>5972.4000000000005</v>
      </c>
    </row>
    <row r="70" spans="1:22" x14ac:dyDescent="0.2">
      <c r="A70" s="33"/>
      <c r="B70" s="31">
        <v>13079</v>
      </c>
      <c r="C70" s="24" t="s">
        <v>554</v>
      </c>
      <c r="D70" s="48" t="s">
        <v>553</v>
      </c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5">
        <v>0</v>
      </c>
      <c r="P70" s="5">
        <v>0</v>
      </c>
      <c r="Q70" s="5">
        <f t="shared" si="5"/>
        <v>0</v>
      </c>
      <c r="S70" s="313">
        <f>VLOOKUP(B70,BDDF!$B$5:$BX$102,75,FALSE)</f>
        <v>-3.5756853396901071E-3</v>
      </c>
      <c r="T70" s="313">
        <f>VLOOKUP(B70,BDFD!$B$5:$BY$100,76,FALSE)</f>
        <v>0</v>
      </c>
      <c r="U70" s="313">
        <v>0.2</v>
      </c>
      <c r="V70" s="312">
        <f t="shared" si="4"/>
        <v>0</v>
      </c>
    </row>
    <row r="71" spans="1:22" x14ac:dyDescent="0.2">
      <c r="A71" s="33"/>
      <c r="B71" s="260">
        <v>13038</v>
      </c>
      <c r="C71" s="9" t="s">
        <v>82</v>
      </c>
      <c r="D71" s="49" t="s">
        <v>83</v>
      </c>
      <c r="E71" s="5">
        <v>1534</v>
      </c>
      <c r="F71" s="5">
        <v>1599</v>
      </c>
      <c r="G71" s="5">
        <v>1729</v>
      </c>
      <c r="H71" s="5">
        <v>1858</v>
      </c>
      <c r="I71" s="5">
        <v>1945</v>
      </c>
      <c r="J71" s="5">
        <v>1902</v>
      </c>
      <c r="K71" s="5">
        <v>1580</v>
      </c>
      <c r="L71" s="5">
        <v>1429</v>
      </c>
      <c r="M71" s="5">
        <v>1245</v>
      </c>
      <c r="N71" s="5">
        <v>1088</v>
      </c>
      <c r="O71" s="5">
        <v>915</v>
      </c>
      <c r="P71" s="5">
        <v>685</v>
      </c>
      <c r="Q71" s="5">
        <f t="shared" si="5"/>
        <v>17509</v>
      </c>
      <c r="S71" s="313">
        <f>VLOOKUP(B71,BDDF!$B$5:$BX$102,75,FALSE)</f>
        <v>0.11485451761102604</v>
      </c>
      <c r="T71" s="313">
        <f>VLOOKUP(B71,BDFD!$B$5:$BY$100,76,FALSE)</f>
        <v>0.17241379310344829</v>
      </c>
      <c r="U71" s="313">
        <v>0.15</v>
      </c>
      <c r="V71" s="312">
        <f t="shared" si="4"/>
        <v>2626.35</v>
      </c>
    </row>
    <row r="72" spans="1:22" x14ac:dyDescent="0.2">
      <c r="A72" s="33"/>
      <c r="B72" s="260">
        <v>55555</v>
      </c>
      <c r="C72" s="22"/>
      <c r="D72" s="49" t="s">
        <v>584</v>
      </c>
      <c r="E72" s="5">
        <v>0</v>
      </c>
      <c r="F72" s="5">
        <v>0</v>
      </c>
      <c r="G72" s="5">
        <v>0</v>
      </c>
      <c r="H72" s="5">
        <v>0</v>
      </c>
      <c r="I72" s="5">
        <v>0</v>
      </c>
      <c r="J72" s="5">
        <v>1200</v>
      </c>
      <c r="K72" s="5">
        <v>300</v>
      </c>
      <c r="L72" s="5">
        <v>300</v>
      </c>
      <c r="M72" s="5">
        <v>700</v>
      </c>
      <c r="N72" s="5">
        <v>900</v>
      </c>
      <c r="O72" s="5">
        <v>900</v>
      </c>
      <c r="P72" s="5">
        <v>1000</v>
      </c>
      <c r="Q72" s="5">
        <f t="shared" si="5"/>
        <v>5300</v>
      </c>
      <c r="R72" s="1" t="s">
        <v>595</v>
      </c>
      <c r="S72" s="313" t="e">
        <f>VLOOKUP(B72,BDDF!$B$5:$BX$102,75,FALSE)</f>
        <v>#N/A</v>
      </c>
      <c r="T72" s="313" t="e">
        <f>VLOOKUP(B72,BDFD!$B$5:$BY$100,76,FALSE)</f>
        <v>#N/A</v>
      </c>
      <c r="U72" s="313">
        <v>0.15</v>
      </c>
      <c r="V72" s="312">
        <f t="shared" si="4"/>
        <v>795</v>
      </c>
    </row>
    <row r="73" spans="1:22" x14ac:dyDescent="0.2">
      <c r="A73" s="33"/>
      <c r="B73" s="31">
        <v>13032</v>
      </c>
      <c r="C73" s="9" t="s">
        <v>84</v>
      </c>
      <c r="D73" s="263" t="s">
        <v>85</v>
      </c>
      <c r="E73" s="5">
        <v>3230</v>
      </c>
      <c r="F73" s="5">
        <v>3367</v>
      </c>
      <c r="G73" s="5">
        <v>3640</v>
      </c>
      <c r="H73" s="5">
        <v>3913</v>
      </c>
      <c r="I73" s="5">
        <v>4095</v>
      </c>
      <c r="J73" s="5">
        <v>4004</v>
      </c>
      <c r="K73" s="5">
        <v>3958</v>
      </c>
      <c r="L73" s="5">
        <v>3640</v>
      </c>
      <c r="M73" s="5">
        <v>4095</v>
      </c>
      <c r="N73" s="5">
        <v>4186</v>
      </c>
      <c r="O73" s="5">
        <v>3822</v>
      </c>
      <c r="P73" s="5">
        <v>3549</v>
      </c>
      <c r="Q73" s="5">
        <f t="shared" si="5"/>
        <v>45499</v>
      </c>
      <c r="S73" s="313">
        <f>VLOOKUP(B73,BDDF!$B$5:$BX$102,75,FALSE)</f>
        <v>0.1398191625596647</v>
      </c>
      <c r="T73" s="313">
        <f>VLOOKUP(B73,BDFD!$B$5:$BY$100,76,FALSE)</f>
        <v>0.20660392535392536</v>
      </c>
      <c r="U73" s="313">
        <v>0.15</v>
      </c>
      <c r="V73" s="312">
        <f t="shared" si="4"/>
        <v>6824.8499999999995</v>
      </c>
    </row>
    <row r="74" spans="1:22" x14ac:dyDescent="0.2">
      <c r="A74" s="33"/>
      <c r="B74" s="31">
        <v>13037</v>
      </c>
      <c r="C74" s="22"/>
      <c r="D74" s="48" t="s">
        <v>86</v>
      </c>
      <c r="E74" s="5">
        <v>2296</v>
      </c>
      <c r="F74" s="5">
        <v>2393</v>
      </c>
      <c r="G74" s="5">
        <v>2587</v>
      </c>
      <c r="H74" s="5">
        <v>2781</v>
      </c>
      <c r="I74" s="5">
        <v>2910</v>
      </c>
      <c r="J74" s="5">
        <v>2845</v>
      </c>
      <c r="K74" s="5">
        <v>2813</v>
      </c>
      <c r="L74" s="5">
        <v>2587</v>
      </c>
      <c r="M74" s="5">
        <v>2910</v>
      </c>
      <c r="N74" s="5">
        <v>2975</v>
      </c>
      <c r="O74" s="5">
        <v>2716</v>
      </c>
      <c r="P74" s="5">
        <v>2522</v>
      </c>
      <c r="Q74" s="5">
        <f t="shared" si="5"/>
        <v>32335</v>
      </c>
      <c r="S74" s="313">
        <f>VLOOKUP(B74,BDDF!$B$5:$BX$102,75,FALSE)</f>
        <v>0.14172185430463577</v>
      </c>
      <c r="T74" s="313">
        <f>VLOOKUP(B74,BDFD!$B$5:$BY$100,76,FALSE)</f>
        <v>0.19852098739714613</v>
      </c>
      <c r="U74" s="313">
        <v>0.15</v>
      </c>
      <c r="V74" s="312">
        <f t="shared" si="4"/>
        <v>4850.25</v>
      </c>
    </row>
    <row r="75" spans="1:22" x14ac:dyDescent="0.2">
      <c r="A75" s="33"/>
      <c r="B75" s="32">
        <v>13154</v>
      </c>
      <c r="C75" s="253" t="s">
        <v>87</v>
      </c>
      <c r="D75" s="50" t="s">
        <v>123</v>
      </c>
      <c r="E75" s="5">
        <v>3187</v>
      </c>
      <c r="F75" s="5">
        <v>3321</v>
      </c>
      <c r="G75" s="5">
        <v>3591</v>
      </c>
      <c r="H75" s="5">
        <v>3860</v>
      </c>
      <c r="I75" s="5">
        <v>4039</v>
      </c>
      <c r="J75" s="5">
        <v>3950</v>
      </c>
      <c r="K75" s="5">
        <v>3905</v>
      </c>
      <c r="L75" s="5">
        <v>3591</v>
      </c>
      <c r="M75" s="5">
        <v>4039</v>
      </c>
      <c r="N75" s="5">
        <v>4129</v>
      </c>
      <c r="O75" s="5">
        <v>3770</v>
      </c>
      <c r="P75" s="5">
        <v>3501</v>
      </c>
      <c r="Q75" s="5">
        <f t="shared" si="5"/>
        <v>44883</v>
      </c>
      <c r="R75" s="1" t="s">
        <v>628</v>
      </c>
      <c r="S75" s="313">
        <f>VLOOKUP(B75,BDDF!$B$5:$BX$102,75,FALSE)</f>
        <v>0.23822795951298226</v>
      </c>
      <c r="T75" s="313">
        <f>VLOOKUP(B75,BDFD!$B$5:$BY$100,76,FALSE)</f>
        <v>0.44233108481698552</v>
      </c>
      <c r="U75" s="313">
        <v>0.5</v>
      </c>
      <c r="V75" s="312">
        <f t="shared" si="4"/>
        <v>22441.5</v>
      </c>
    </row>
    <row r="76" spans="1:22" x14ac:dyDescent="0.2">
      <c r="A76" s="33"/>
      <c r="B76" s="32">
        <v>13155</v>
      </c>
      <c r="C76" s="253"/>
      <c r="D76" s="50" t="s">
        <v>124</v>
      </c>
      <c r="E76" s="5">
        <v>2458</v>
      </c>
      <c r="F76" s="5">
        <v>2562</v>
      </c>
      <c r="G76" s="5">
        <v>2769</v>
      </c>
      <c r="H76" s="5">
        <v>2977</v>
      </c>
      <c r="I76" s="5">
        <v>3115</v>
      </c>
      <c r="J76" s="5">
        <v>3046</v>
      </c>
      <c r="K76" s="5">
        <v>3012</v>
      </c>
      <c r="L76" s="5">
        <v>2769</v>
      </c>
      <c r="M76" s="5">
        <v>3115</v>
      </c>
      <c r="N76" s="5">
        <v>3185</v>
      </c>
      <c r="O76" s="5">
        <v>2908</v>
      </c>
      <c r="P76" s="5">
        <v>2700</v>
      </c>
      <c r="Q76" s="5">
        <f t="shared" si="5"/>
        <v>34616</v>
      </c>
      <c r="R76" s="1" t="s">
        <v>629</v>
      </c>
      <c r="S76" s="313">
        <f>VLOOKUP(B76,BDDF!$B$5:$BX$102,75,FALSE)</f>
        <v>0.2644691452663856</v>
      </c>
      <c r="T76" s="313">
        <f>VLOOKUP(B76,BDFD!$B$5:$BY$100,76,FALSE)</f>
        <v>0.36986541837331771</v>
      </c>
      <c r="U76" s="313">
        <v>0.5</v>
      </c>
      <c r="V76" s="312">
        <f t="shared" si="4"/>
        <v>17308</v>
      </c>
    </row>
    <row r="77" spans="1:22" x14ac:dyDescent="0.2">
      <c r="A77" s="33"/>
      <c r="B77" s="32">
        <v>13152</v>
      </c>
      <c r="C77" s="253"/>
      <c r="D77" s="50" t="s">
        <v>125</v>
      </c>
      <c r="E77" s="5">
        <v>2905</v>
      </c>
      <c r="F77" s="5">
        <v>3028</v>
      </c>
      <c r="G77" s="5">
        <v>3274</v>
      </c>
      <c r="H77" s="5">
        <v>3519</v>
      </c>
      <c r="I77" s="5">
        <v>3683</v>
      </c>
      <c r="J77" s="5">
        <v>3601</v>
      </c>
      <c r="K77" s="5">
        <v>3560</v>
      </c>
      <c r="L77" s="5">
        <v>3274</v>
      </c>
      <c r="M77" s="5">
        <v>3683</v>
      </c>
      <c r="N77" s="5">
        <v>3765</v>
      </c>
      <c r="O77" s="5">
        <v>3437</v>
      </c>
      <c r="P77" s="5">
        <v>3192</v>
      </c>
      <c r="Q77" s="5">
        <f t="shared" si="5"/>
        <v>40921</v>
      </c>
      <c r="R77" s="1" t="s">
        <v>630</v>
      </c>
      <c r="S77" s="313">
        <f>VLOOKUP(B77,BDDF!$B$5:$BX$102,75,FALSE)</f>
        <v>0.23086224537252348</v>
      </c>
      <c r="T77" s="313">
        <f>VLOOKUP(B77,BDFD!$B$5:$BY$100,76,FALSE)</f>
        <v>0.41915254237288135</v>
      </c>
      <c r="U77" s="313">
        <v>0.5</v>
      </c>
      <c r="V77" s="312">
        <f t="shared" si="4"/>
        <v>20460.5</v>
      </c>
    </row>
    <row r="78" spans="1:22" x14ac:dyDescent="0.2">
      <c r="A78" s="33"/>
      <c r="B78" s="32">
        <v>13153</v>
      </c>
      <c r="C78" s="253"/>
      <c r="D78" s="50" t="s">
        <v>126</v>
      </c>
      <c r="E78" s="5">
        <v>1883</v>
      </c>
      <c r="F78" s="5">
        <v>1962</v>
      </c>
      <c r="G78" s="5">
        <v>2121</v>
      </c>
      <c r="H78" s="5">
        <v>2280</v>
      </c>
      <c r="I78" s="5">
        <v>2386</v>
      </c>
      <c r="J78" s="5">
        <v>2333</v>
      </c>
      <c r="K78" s="5">
        <v>2307</v>
      </c>
      <c r="L78" s="5">
        <v>2121</v>
      </c>
      <c r="M78" s="5">
        <v>2386</v>
      </c>
      <c r="N78" s="5">
        <v>2439</v>
      </c>
      <c r="O78" s="5">
        <v>2227</v>
      </c>
      <c r="P78" s="5">
        <v>2068</v>
      </c>
      <c r="Q78" s="5">
        <f t="shared" si="5"/>
        <v>26513</v>
      </c>
      <c r="R78" s="1" t="s">
        <v>631</v>
      </c>
      <c r="S78" s="313">
        <f>VLOOKUP(B78,BDDF!$B$5:$BX$102,75,FALSE)</f>
        <v>0.25752127804833647</v>
      </c>
      <c r="T78" s="313">
        <f>VLOOKUP(B78,BDFD!$B$5:$BY$100,76,FALSE)</f>
        <v>0.440546875</v>
      </c>
      <c r="U78" s="313">
        <v>0.5</v>
      </c>
      <c r="V78" s="312">
        <f t="shared" si="4"/>
        <v>13256.5</v>
      </c>
    </row>
    <row r="79" spans="1:22" x14ac:dyDescent="0.2">
      <c r="A79" s="33"/>
      <c r="B79" s="32">
        <v>13157</v>
      </c>
      <c r="C79" s="253"/>
      <c r="D79" s="50" t="s">
        <v>127</v>
      </c>
      <c r="E79" s="5">
        <v>3991</v>
      </c>
      <c r="F79" s="5">
        <v>4160</v>
      </c>
      <c r="G79" s="5">
        <v>4497</v>
      </c>
      <c r="H79" s="5">
        <v>4835</v>
      </c>
      <c r="I79" s="5">
        <v>5060</v>
      </c>
      <c r="J79" s="5">
        <v>4947</v>
      </c>
      <c r="K79" s="5">
        <v>4891</v>
      </c>
      <c r="L79" s="5">
        <v>4497</v>
      </c>
      <c r="M79" s="5">
        <v>5060</v>
      </c>
      <c r="N79" s="5">
        <v>5172</v>
      </c>
      <c r="O79" s="5">
        <v>4722</v>
      </c>
      <c r="P79" s="5">
        <v>4385</v>
      </c>
      <c r="Q79" s="5">
        <f t="shared" si="5"/>
        <v>56217</v>
      </c>
      <c r="R79" s="1" t="s">
        <v>632</v>
      </c>
      <c r="S79" s="313">
        <f>VLOOKUP(B79,BDDF!$B$5:$BX$102,75,FALSE)</f>
        <v>0.28620310783236541</v>
      </c>
      <c r="T79" s="313">
        <f>VLOOKUP(B79,BDFD!$B$5:$BY$100,76,FALSE)</f>
        <v>0.36276407031124014</v>
      </c>
      <c r="U79" s="313">
        <v>0.5</v>
      </c>
      <c r="V79" s="312">
        <f t="shared" si="4"/>
        <v>28108.5</v>
      </c>
    </row>
    <row r="80" spans="1:22" x14ac:dyDescent="0.2">
      <c r="A80" s="33"/>
      <c r="B80" s="32">
        <v>13149</v>
      </c>
      <c r="C80" s="253"/>
      <c r="D80" s="50" t="s">
        <v>128</v>
      </c>
      <c r="E80" s="5">
        <v>5230</v>
      </c>
      <c r="F80" s="5">
        <v>5451</v>
      </c>
      <c r="G80" s="5">
        <v>5893</v>
      </c>
      <c r="H80" s="5">
        <v>6335</v>
      </c>
      <c r="I80" s="5">
        <v>6630</v>
      </c>
      <c r="J80" s="5">
        <v>6483</v>
      </c>
      <c r="K80" s="5">
        <v>6409</v>
      </c>
      <c r="L80" s="5">
        <v>5893</v>
      </c>
      <c r="M80" s="5">
        <v>6630</v>
      </c>
      <c r="N80" s="5">
        <v>6777</v>
      </c>
      <c r="O80" s="5">
        <v>6188</v>
      </c>
      <c r="P80" s="5">
        <v>5746</v>
      </c>
      <c r="Q80" s="5">
        <f t="shared" si="5"/>
        <v>73665</v>
      </c>
      <c r="R80" s="1" t="s">
        <v>633</v>
      </c>
      <c r="S80" s="313">
        <f>VLOOKUP(B80,BDDF!$B$5:$BX$102,75,FALSE)</f>
        <v>0.23818585474151602</v>
      </c>
      <c r="T80" s="313">
        <f>VLOOKUP(B80,BDFD!$B$5:$BY$100,76,FALSE)</f>
        <v>0.29501549416496342</v>
      </c>
      <c r="U80" s="313">
        <v>0.5</v>
      </c>
      <c r="V80" s="312">
        <f t="shared" si="4"/>
        <v>36832.5</v>
      </c>
    </row>
    <row r="81" spans="1:22" x14ac:dyDescent="0.2">
      <c r="A81" s="33"/>
      <c r="B81" s="32">
        <v>13150</v>
      </c>
      <c r="C81" s="253"/>
      <c r="D81" s="50" t="s">
        <v>129</v>
      </c>
      <c r="E81" s="5">
        <v>3359</v>
      </c>
      <c r="F81" s="5">
        <v>3501</v>
      </c>
      <c r="G81" s="5">
        <v>3785</v>
      </c>
      <c r="H81" s="5">
        <v>4069</v>
      </c>
      <c r="I81" s="5">
        <v>4258</v>
      </c>
      <c r="J81" s="5">
        <v>4164</v>
      </c>
      <c r="K81" s="5">
        <v>4116</v>
      </c>
      <c r="L81" s="5">
        <v>3785</v>
      </c>
      <c r="M81" s="5">
        <v>4258</v>
      </c>
      <c r="N81" s="5">
        <v>4353</v>
      </c>
      <c r="O81" s="5">
        <v>3974</v>
      </c>
      <c r="P81" s="5">
        <v>3690</v>
      </c>
      <c r="Q81" s="5">
        <f t="shared" si="5"/>
        <v>47312</v>
      </c>
      <c r="R81" s="1" t="s">
        <v>634</v>
      </c>
      <c r="S81" s="313">
        <f>VLOOKUP(B81,BDDF!$B$5:$BX$102,75,FALSE)</f>
        <v>0.30208494208494208</v>
      </c>
      <c r="T81" s="313">
        <f>VLOOKUP(B81,BDFD!$B$5:$BY$100,76,FALSE)</f>
        <v>0.29867198572253423</v>
      </c>
      <c r="U81" s="313">
        <v>0.5</v>
      </c>
      <c r="V81" s="312">
        <f t="shared" si="4"/>
        <v>23656</v>
      </c>
    </row>
    <row r="82" spans="1:22" x14ac:dyDescent="0.2">
      <c r="A82" s="33"/>
      <c r="B82" s="32">
        <v>13108</v>
      </c>
      <c r="C82" s="253"/>
      <c r="D82" s="50" t="s">
        <v>130</v>
      </c>
      <c r="E82" s="5">
        <v>1701</v>
      </c>
      <c r="F82" s="5">
        <v>1773</v>
      </c>
      <c r="G82" s="5">
        <v>1917</v>
      </c>
      <c r="H82" s="5">
        <v>2061</v>
      </c>
      <c r="I82" s="5">
        <v>2157</v>
      </c>
      <c r="J82" s="5">
        <v>2109</v>
      </c>
      <c r="K82" s="5">
        <v>2085</v>
      </c>
      <c r="L82" s="5">
        <v>1917</v>
      </c>
      <c r="M82" s="5">
        <v>2157</v>
      </c>
      <c r="N82" s="5">
        <v>2205</v>
      </c>
      <c r="O82" s="5">
        <v>2013</v>
      </c>
      <c r="P82" s="5">
        <v>1869</v>
      </c>
      <c r="Q82" s="5">
        <f t="shared" si="5"/>
        <v>23964</v>
      </c>
      <c r="R82" s="1" t="s">
        <v>595</v>
      </c>
      <c r="S82" s="313">
        <f>VLOOKUP(B82,BDDF!$B$5:$BX$102,75,FALSE)</f>
        <v>0.23844612119783071</v>
      </c>
      <c r="T82" s="313">
        <f>VLOOKUP(B82,BDFD!$B$5:$BY$100,76,FALSE)</f>
        <v>0.48635145015842068</v>
      </c>
      <c r="U82" s="313">
        <v>0.5</v>
      </c>
      <c r="V82" s="312">
        <f t="shared" si="4"/>
        <v>11982</v>
      </c>
    </row>
    <row r="83" spans="1:22" x14ac:dyDescent="0.2">
      <c r="A83" s="33"/>
      <c r="B83" s="32">
        <v>13151</v>
      </c>
      <c r="C83" s="253"/>
      <c r="D83" s="50" t="s">
        <v>131</v>
      </c>
      <c r="E83" s="5">
        <v>1377</v>
      </c>
      <c r="F83" s="5">
        <v>1435</v>
      </c>
      <c r="G83" s="5">
        <v>1551</v>
      </c>
      <c r="H83" s="5">
        <v>1667</v>
      </c>
      <c r="I83" s="5">
        <v>1745</v>
      </c>
      <c r="J83" s="5">
        <v>1706</v>
      </c>
      <c r="K83" s="5">
        <v>1687</v>
      </c>
      <c r="L83" s="5">
        <v>1551</v>
      </c>
      <c r="M83" s="5">
        <v>1745</v>
      </c>
      <c r="N83" s="5">
        <v>1784</v>
      </c>
      <c r="O83" s="5">
        <v>1629</v>
      </c>
      <c r="P83" s="5">
        <v>1512</v>
      </c>
      <c r="Q83" s="5">
        <f t="shared" si="5"/>
        <v>19389</v>
      </c>
      <c r="R83" s="1" t="s">
        <v>635</v>
      </c>
      <c r="S83" s="313">
        <f>VLOOKUP(B83,BDDF!$B$5:$BX$102,75,FALSE)</f>
        <v>0.26340373679935014</v>
      </c>
      <c r="T83" s="313">
        <f>VLOOKUP(B83,BDFD!$B$5:$BY$100,76,FALSE)</f>
        <v>0.38489492810870596</v>
      </c>
      <c r="U83" s="313">
        <v>0.5</v>
      </c>
      <c r="V83" s="312">
        <f t="shared" si="4"/>
        <v>9694.5</v>
      </c>
    </row>
    <row r="84" spans="1:22" x14ac:dyDescent="0.2">
      <c r="A84" s="33"/>
      <c r="B84" s="31">
        <v>13093</v>
      </c>
      <c r="C84" s="10"/>
      <c r="D84" s="49" t="s">
        <v>97</v>
      </c>
      <c r="E84" s="5">
        <v>2568</v>
      </c>
      <c r="F84" s="5">
        <v>2677</v>
      </c>
      <c r="G84" s="5">
        <v>2894</v>
      </c>
      <c r="H84" s="5">
        <v>3111</v>
      </c>
      <c r="I84" s="5">
        <v>3255</v>
      </c>
      <c r="J84" s="5">
        <v>3183</v>
      </c>
      <c r="K84" s="5">
        <v>3147</v>
      </c>
      <c r="L84" s="5">
        <v>2894</v>
      </c>
      <c r="M84" s="5">
        <v>3255</v>
      </c>
      <c r="N84" s="5">
        <v>3328</v>
      </c>
      <c r="O84" s="5">
        <v>3038</v>
      </c>
      <c r="P84" s="5">
        <v>2821</v>
      </c>
      <c r="Q84" s="5">
        <f t="shared" si="5"/>
        <v>36171</v>
      </c>
      <c r="R84" s="1" t="s">
        <v>597</v>
      </c>
      <c r="S84" s="313">
        <f>VLOOKUP(B84,BDDF!$B$5:$BX$102,75,FALSE)</f>
        <v>0.1833575054387237</v>
      </c>
      <c r="T84" s="313">
        <f>VLOOKUP(B84,BDFD!$B$5:$BY$100,76,FALSE)</f>
        <v>0.14554794520547945</v>
      </c>
      <c r="U84" s="313">
        <v>0.35</v>
      </c>
      <c r="V84" s="312">
        <f t="shared" si="4"/>
        <v>12659.849999999999</v>
      </c>
    </row>
    <row r="85" spans="1:22" x14ac:dyDescent="0.2">
      <c r="A85" s="33"/>
      <c r="B85" s="31">
        <v>13091</v>
      </c>
      <c r="C85" s="10"/>
      <c r="D85" s="49" t="s">
        <v>98</v>
      </c>
      <c r="E85" s="5">
        <v>3154</v>
      </c>
      <c r="F85" s="5">
        <v>3287</v>
      </c>
      <c r="G85" s="5">
        <v>3554</v>
      </c>
      <c r="H85" s="5">
        <v>3820</v>
      </c>
      <c r="I85" s="5">
        <v>3998</v>
      </c>
      <c r="J85" s="5">
        <v>3909</v>
      </c>
      <c r="K85" s="5">
        <v>3865</v>
      </c>
      <c r="L85" s="5">
        <v>3554</v>
      </c>
      <c r="M85" s="5">
        <v>3998</v>
      </c>
      <c r="N85" s="5">
        <v>4087</v>
      </c>
      <c r="O85" s="5">
        <v>3731</v>
      </c>
      <c r="P85" s="5">
        <v>3465</v>
      </c>
      <c r="Q85" s="5">
        <f t="shared" si="5"/>
        <v>44422</v>
      </c>
      <c r="R85" s="1" t="s">
        <v>597</v>
      </c>
      <c r="S85" s="313">
        <f>VLOOKUP(B85,BDDF!$B$5:$BX$102,75,FALSE)</f>
        <v>0.21166566446181601</v>
      </c>
      <c r="T85" s="313">
        <f>VLOOKUP(B85,BDFD!$B$5:$BY$100,76,FALSE)</f>
        <v>0.17179209378559324</v>
      </c>
      <c r="U85" s="313">
        <v>0.35</v>
      </c>
      <c r="V85" s="312">
        <f t="shared" si="4"/>
        <v>15547.699999999999</v>
      </c>
    </row>
    <row r="86" spans="1:22" x14ac:dyDescent="0.2">
      <c r="A86" s="33"/>
      <c r="B86" s="31">
        <v>13089</v>
      </c>
      <c r="C86" s="22"/>
      <c r="D86" s="49" t="s">
        <v>99</v>
      </c>
      <c r="E86" s="5">
        <v>2890</v>
      </c>
      <c r="F86" s="5">
        <v>3013</v>
      </c>
      <c r="G86" s="5">
        <v>3257</v>
      </c>
      <c r="H86" s="5">
        <v>3501</v>
      </c>
      <c r="I86" s="5">
        <v>3664</v>
      </c>
      <c r="J86" s="5">
        <v>3582</v>
      </c>
      <c r="K86" s="5">
        <v>3542</v>
      </c>
      <c r="L86" s="5">
        <v>3257</v>
      </c>
      <c r="M86" s="5">
        <v>3664</v>
      </c>
      <c r="N86" s="5">
        <v>3745</v>
      </c>
      <c r="O86" s="5">
        <v>3420</v>
      </c>
      <c r="P86" s="5">
        <v>3175</v>
      </c>
      <c r="Q86" s="5">
        <f t="shared" si="5"/>
        <v>40710</v>
      </c>
      <c r="R86" s="1" t="s">
        <v>597</v>
      </c>
      <c r="S86" s="313">
        <f>VLOOKUP(B86,BDDF!$B$5:$BX$102,75,FALSE)</f>
        <v>0.17520516024450372</v>
      </c>
      <c r="T86" s="313">
        <f>VLOOKUP(B86,BDFD!$B$5:$BY$100,76,FALSE)</f>
        <v>0.13187493550717161</v>
      </c>
      <c r="U86" s="313">
        <v>0.35</v>
      </c>
      <c r="V86" s="312">
        <f t="shared" si="4"/>
        <v>14248.5</v>
      </c>
    </row>
    <row r="87" spans="1:22" x14ac:dyDescent="0.2">
      <c r="A87" s="33"/>
      <c r="B87" s="31">
        <v>19999</v>
      </c>
      <c r="C87" s="20" t="s">
        <v>102</v>
      </c>
      <c r="D87" s="263" t="s">
        <v>588</v>
      </c>
      <c r="E87" s="5">
        <v>0</v>
      </c>
      <c r="F87" s="5">
        <v>0</v>
      </c>
      <c r="G87" s="5">
        <v>0</v>
      </c>
      <c r="H87" s="5">
        <v>0</v>
      </c>
      <c r="I87" s="5">
        <v>2500</v>
      </c>
      <c r="J87" s="5">
        <v>300</v>
      </c>
      <c r="K87" s="5">
        <v>500</v>
      </c>
      <c r="L87" s="5">
        <v>1200</v>
      </c>
      <c r="M87" s="5">
        <v>1000</v>
      </c>
      <c r="N87" s="5">
        <v>1100</v>
      </c>
      <c r="O87" s="5">
        <v>1200</v>
      </c>
      <c r="P87" s="5">
        <v>1240</v>
      </c>
      <c r="Q87" s="5">
        <f t="shared" si="5"/>
        <v>9040</v>
      </c>
      <c r="S87" s="313" t="e">
        <f>VLOOKUP(B87,BDDF!$B$5:$BX$102,75,FALSE)</f>
        <v>#N/A</v>
      </c>
      <c r="T87" s="313" t="e">
        <f>VLOOKUP(B87,BDFD!$B$5:$BY$100,76,FALSE)</f>
        <v>#N/A</v>
      </c>
      <c r="U87" s="313">
        <v>0.35</v>
      </c>
      <c r="V87" s="312">
        <f t="shared" si="4"/>
        <v>3164</v>
      </c>
    </row>
    <row r="88" spans="1:22" x14ac:dyDescent="0.2">
      <c r="A88" s="33"/>
      <c r="B88" s="31">
        <v>29999</v>
      </c>
      <c r="C88" s="20"/>
      <c r="D88" s="263" t="s">
        <v>589</v>
      </c>
      <c r="E88" s="5">
        <v>0</v>
      </c>
      <c r="F88" s="5">
        <v>0</v>
      </c>
      <c r="G88" s="5">
        <v>0</v>
      </c>
      <c r="H88" s="5">
        <v>0</v>
      </c>
      <c r="I88" s="5">
        <v>7500</v>
      </c>
      <c r="J88" s="5">
        <v>900</v>
      </c>
      <c r="K88" s="5">
        <v>1500</v>
      </c>
      <c r="L88" s="5">
        <v>3600</v>
      </c>
      <c r="M88" s="5">
        <v>3000</v>
      </c>
      <c r="N88" s="5">
        <v>3300</v>
      </c>
      <c r="O88" s="5">
        <v>3600</v>
      </c>
      <c r="P88" s="5">
        <v>3700</v>
      </c>
      <c r="Q88" s="5">
        <f t="shared" si="5"/>
        <v>27100</v>
      </c>
      <c r="S88" s="313" t="e">
        <f>VLOOKUP(B88,BDDF!$B$5:$BX$102,75,FALSE)</f>
        <v>#N/A</v>
      </c>
      <c r="T88" s="313" t="e">
        <f>VLOOKUP(B88,BDFD!$B$5:$BY$100,76,FALSE)</f>
        <v>#N/A</v>
      </c>
      <c r="U88" s="313">
        <v>0.35</v>
      </c>
      <c r="V88" s="312">
        <f t="shared" si="4"/>
        <v>9485</v>
      </c>
    </row>
    <row r="89" spans="1:22" x14ac:dyDescent="0.2">
      <c r="A89" s="33"/>
      <c r="B89" s="31">
        <v>39999</v>
      </c>
      <c r="C89" s="20"/>
      <c r="D89" s="263" t="s">
        <v>590</v>
      </c>
      <c r="E89" s="5">
        <v>0</v>
      </c>
      <c r="F89" s="5">
        <v>0</v>
      </c>
      <c r="G89" s="5">
        <v>0</v>
      </c>
      <c r="H89" s="5">
        <v>0</v>
      </c>
      <c r="I89" s="5">
        <v>8400</v>
      </c>
      <c r="J89" s="5">
        <v>1000</v>
      </c>
      <c r="K89" s="5">
        <v>1700</v>
      </c>
      <c r="L89" s="5">
        <v>4000</v>
      </c>
      <c r="M89" s="5">
        <v>3300</v>
      </c>
      <c r="N89" s="5">
        <v>3700</v>
      </c>
      <c r="O89" s="5">
        <v>4000</v>
      </c>
      <c r="P89" s="5">
        <v>4150</v>
      </c>
      <c r="Q89" s="5">
        <f t="shared" si="5"/>
        <v>30250</v>
      </c>
      <c r="S89" s="313" t="e">
        <f>VLOOKUP(B89,BDDF!$B$5:$BX$102,75,FALSE)</f>
        <v>#N/A</v>
      </c>
      <c r="T89" s="313" t="e">
        <f>VLOOKUP(B89,BDFD!$B$5:$BY$100,76,FALSE)</f>
        <v>#N/A</v>
      </c>
      <c r="U89" s="313">
        <v>0.35</v>
      </c>
      <c r="V89" s="312">
        <f t="shared" si="4"/>
        <v>10587.5</v>
      </c>
    </row>
    <row r="90" spans="1:22" x14ac:dyDescent="0.2">
      <c r="A90" s="33"/>
      <c r="B90" s="31">
        <v>49999</v>
      </c>
      <c r="C90" s="20"/>
      <c r="D90" s="263" t="s">
        <v>591</v>
      </c>
      <c r="E90" s="5">
        <v>0</v>
      </c>
      <c r="F90" s="5">
        <v>0</v>
      </c>
      <c r="G90" s="5">
        <v>0</v>
      </c>
      <c r="H90" s="5">
        <v>0</v>
      </c>
      <c r="I90" s="5">
        <v>5600</v>
      </c>
      <c r="J90" s="5">
        <v>700</v>
      </c>
      <c r="K90" s="5">
        <v>1100</v>
      </c>
      <c r="L90" s="5">
        <v>2700</v>
      </c>
      <c r="M90" s="5">
        <v>2200</v>
      </c>
      <c r="N90" s="5">
        <v>2500</v>
      </c>
      <c r="O90" s="5">
        <v>2700</v>
      </c>
      <c r="P90" s="5">
        <v>2800</v>
      </c>
      <c r="Q90" s="5">
        <f t="shared" si="5"/>
        <v>20300</v>
      </c>
      <c r="S90" s="313" t="e">
        <f>VLOOKUP(B90,BDDF!$B$5:$BX$102,75,FALSE)</f>
        <v>#N/A</v>
      </c>
      <c r="T90" s="313" t="e">
        <f>VLOOKUP(B90,BDFD!$B$5:$BY$100,76,FALSE)</f>
        <v>#N/A</v>
      </c>
      <c r="U90" s="313">
        <v>0.35</v>
      </c>
      <c r="V90" s="312">
        <f t="shared" si="4"/>
        <v>7105</v>
      </c>
    </row>
    <row r="91" spans="1:22" x14ac:dyDescent="0.2">
      <c r="A91" s="33"/>
      <c r="B91" s="31">
        <v>13015</v>
      </c>
      <c r="C91" s="9" t="s">
        <v>103</v>
      </c>
      <c r="D91" s="47" t="s">
        <v>104</v>
      </c>
      <c r="E91" s="5">
        <v>878</v>
      </c>
      <c r="F91" s="5">
        <v>916</v>
      </c>
      <c r="G91" s="5">
        <v>990</v>
      </c>
      <c r="H91" s="5">
        <v>1064</v>
      </c>
      <c r="I91" s="5">
        <v>1114</v>
      </c>
      <c r="J91" s="5">
        <v>1089</v>
      </c>
      <c r="K91" s="5">
        <v>1076</v>
      </c>
      <c r="L91" s="5">
        <v>990</v>
      </c>
      <c r="M91" s="5">
        <v>1114</v>
      </c>
      <c r="N91" s="5">
        <v>1138</v>
      </c>
      <c r="O91" s="5">
        <v>1039</v>
      </c>
      <c r="P91" s="5">
        <v>965</v>
      </c>
      <c r="Q91" s="5">
        <f t="shared" si="5"/>
        <v>12373</v>
      </c>
      <c r="R91" s="1" t="s">
        <v>598</v>
      </c>
      <c r="S91" s="313">
        <f>VLOOKUP(B91,BDDF!$B$5:$BX$102,75,FALSE)</f>
        <v>0.12727802886718181</v>
      </c>
      <c r="T91" s="313">
        <f>VLOOKUP(B91,BDFD!$B$5:$BY$100,76,FALSE)</f>
        <v>0.14689749742886526</v>
      </c>
      <c r="U91" s="313">
        <v>0.15</v>
      </c>
      <c r="V91" s="312">
        <f t="shared" si="4"/>
        <v>1855.9499999999998</v>
      </c>
    </row>
    <row r="92" spans="1:22" x14ac:dyDescent="0.2">
      <c r="A92" s="33"/>
      <c r="B92" s="31">
        <v>13023</v>
      </c>
      <c r="C92" s="8"/>
      <c r="D92" s="263" t="s">
        <v>105</v>
      </c>
      <c r="E92" s="5">
        <v>997</v>
      </c>
      <c r="F92" s="5">
        <v>1039</v>
      </c>
      <c r="G92" s="5">
        <v>1123</v>
      </c>
      <c r="H92" s="5">
        <v>1207</v>
      </c>
      <c r="I92" s="5">
        <v>1263</v>
      </c>
      <c r="J92" s="5">
        <v>1235</v>
      </c>
      <c r="K92" s="5">
        <v>1221</v>
      </c>
      <c r="L92" s="5">
        <v>1123</v>
      </c>
      <c r="M92" s="5">
        <v>1263</v>
      </c>
      <c r="N92" s="5">
        <v>1291</v>
      </c>
      <c r="O92" s="5">
        <v>1179</v>
      </c>
      <c r="P92" s="5">
        <v>1095</v>
      </c>
      <c r="Q92" s="5">
        <f t="shared" si="5"/>
        <v>14036</v>
      </c>
      <c r="R92" s="1" t="s">
        <v>598</v>
      </c>
      <c r="S92" s="313">
        <f>VLOOKUP(B92,BDDF!$B$5:$BX$102,75,FALSE)</f>
        <v>0.15903131266389017</v>
      </c>
      <c r="T92" s="313">
        <f>VLOOKUP(B92,BDFD!$B$5:$BY$100,76,FALSE)</f>
        <v>0.13991510768747054</v>
      </c>
      <c r="U92" s="313">
        <v>0.15</v>
      </c>
      <c r="V92" s="312">
        <f t="shared" si="4"/>
        <v>2105.4</v>
      </c>
    </row>
    <row r="93" spans="1:22" x14ac:dyDescent="0.2">
      <c r="A93" s="33"/>
      <c r="B93" s="32">
        <v>13145</v>
      </c>
      <c r="C93" s="14" t="s">
        <v>106</v>
      </c>
      <c r="D93" s="49" t="s">
        <v>107</v>
      </c>
      <c r="E93" s="5">
        <v>2189</v>
      </c>
      <c r="F93" s="5">
        <v>2282</v>
      </c>
      <c r="G93" s="5">
        <v>2467</v>
      </c>
      <c r="H93" s="5">
        <v>2652</v>
      </c>
      <c r="I93" s="5">
        <v>2775</v>
      </c>
      <c r="J93" s="5">
        <v>2713</v>
      </c>
      <c r="K93" s="5">
        <v>2683</v>
      </c>
      <c r="L93" s="5">
        <v>2467</v>
      </c>
      <c r="M93" s="5">
        <v>2775</v>
      </c>
      <c r="N93" s="5">
        <v>2837</v>
      </c>
      <c r="O93" s="5">
        <v>2590</v>
      </c>
      <c r="P93" s="5">
        <v>2405</v>
      </c>
      <c r="Q93" s="5">
        <f t="shared" si="5"/>
        <v>30835</v>
      </c>
      <c r="R93" s="1" t="s">
        <v>596</v>
      </c>
      <c r="S93" s="313">
        <f>VLOOKUP(B93,BDDF!$B$5:$BX$102,75,FALSE)</f>
        <v>0.14434322294718699</v>
      </c>
      <c r="T93" s="313">
        <f>VLOOKUP(B93,BDFD!$B$5:$BY$100,76,FALSE)</f>
        <v>0.30945925591203494</v>
      </c>
      <c r="U93" s="313">
        <v>0.4</v>
      </c>
      <c r="V93" s="312">
        <f t="shared" si="4"/>
        <v>12334</v>
      </c>
    </row>
    <row r="94" spans="1:22" x14ac:dyDescent="0.2">
      <c r="A94" s="33"/>
      <c r="B94" s="31">
        <v>13087</v>
      </c>
      <c r="C94" s="9" t="s">
        <v>108</v>
      </c>
      <c r="D94" s="49" t="s">
        <v>109</v>
      </c>
      <c r="E94" s="5">
        <v>1621</v>
      </c>
      <c r="F94" s="5">
        <v>1689</v>
      </c>
      <c r="G94" s="5">
        <v>1826</v>
      </c>
      <c r="H94" s="5">
        <v>1963</v>
      </c>
      <c r="I94" s="5">
        <v>2055</v>
      </c>
      <c r="J94" s="5">
        <v>2009</v>
      </c>
      <c r="K94" s="5">
        <v>1986</v>
      </c>
      <c r="L94" s="5">
        <v>1826</v>
      </c>
      <c r="M94" s="5">
        <v>2055</v>
      </c>
      <c r="N94" s="5">
        <v>2100</v>
      </c>
      <c r="O94" s="5">
        <v>1918</v>
      </c>
      <c r="P94" s="5">
        <v>1781</v>
      </c>
      <c r="Q94" s="5">
        <f t="shared" si="5"/>
        <v>22829</v>
      </c>
      <c r="R94" s="1" t="s">
        <v>592</v>
      </c>
      <c r="S94" s="313">
        <f>VLOOKUP(B94,BDDF!$B$5:$BX$102,75,FALSE)</f>
        <v>0.17024066646096883</v>
      </c>
      <c r="T94" s="313">
        <f>VLOOKUP(B94,BDFD!$B$5:$BY$100,76,FALSE)</f>
        <v>0.27861355157058609</v>
      </c>
      <c r="U94" s="313">
        <v>0.25</v>
      </c>
      <c r="V94" s="312">
        <f t="shared" si="4"/>
        <v>5707.25</v>
      </c>
    </row>
    <row r="95" spans="1:22" x14ac:dyDescent="0.2">
      <c r="A95" s="33"/>
      <c r="B95" s="31">
        <v>13085</v>
      </c>
      <c r="C95" s="10"/>
      <c r="D95" s="51" t="s">
        <v>110</v>
      </c>
      <c r="E95" s="5">
        <v>845</v>
      </c>
      <c r="F95" s="5">
        <v>881</v>
      </c>
      <c r="G95" s="5">
        <v>952</v>
      </c>
      <c r="H95" s="5">
        <v>1024</v>
      </c>
      <c r="I95" s="5">
        <v>1072</v>
      </c>
      <c r="J95" s="5">
        <v>1048</v>
      </c>
      <c r="K95" s="5">
        <v>1036</v>
      </c>
      <c r="L95" s="5">
        <v>952</v>
      </c>
      <c r="M95" s="5">
        <v>1072</v>
      </c>
      <c r="N95" s="5">
        <v>1095</v>
      </c>
      <c r="O95" s="5">
        <v>1000</v>
      </c>
      <c r="P95" s="5">
        <v>929</v>
      </c>
      <c r="Q95" s="5">
        <f t="shared" si="5"/>
        <v>11906</v>
      </c>
      <c r="R95" s="1" t="s">
        <v>596</v>
      </c>
      <c r="S95" s="313">
        <f>VLOOKUP(B95,BDDF!$B$5:$BX$102,75,FALSE)</f>
        <v>0.13531832486080853</v>
      </c>
      <c r="T95" s="313">
        <f>VLOOKUP(B95,BDFD!$B$5:$BY$100,76,FALSE)</f>
        <v>0.29301075268817206</v>
      </c>
      <c r="U95" s="313">
        <v>0.25</v>
      </c>
      <c r="V95" s="312">
        <f t="shared" si="4"/>
        <v>2976.5</v>
      </c>
    </row>
    <row r="96" spans="1:22" x14ac:dyDescent="0.2">
      <c r="A96" s="33"/>
      <c r="B96" s="3"/>
      <c r="C96" s="279"/>
      <c r="D96" s="280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V96" s="58"/>
    </row>
    <row r="97" spans="1:22" x14ac:dyDescent="0.2">
      <c r="A97" s="33"/>
      <c r="B97" s="3"/>
      <c r="C97" s="281"/>
      <c r="D97" s="282" t="s">
        <v>150</v>
      </c>
      <c r="E97" s="58">
        <f>SUM(E59:E95)</f>
        <v>91811</v>
      </c>
      <c r="F97" s="58">
        <f t="shared" ref="F97:Q97" si="6">SUM(F59:F95)</f>
        <v>95694</v>
      </c>
      <c r="G97" s="58">
        <f t="shared" si="6"/>
        <v>103451</v>
      </c>
      <c r="H97" s="58">
        <f t="shared" si="6"/>
        <v>111206</v>
      </c>
      <c r="I97" s="58">
        <f t="shared" si="6"/>
        <v>140382</v>
      </c>
      <c r="J97" s="58">
        <f t="shared" si="6"/>
        <v>117895</v>
      </c>
      <c r="K97" s="58">
        <f t="shared" si="6"/>
        <v>117303</v>
      </c>
      <c r="L97" s="58">
        <f t="shared" si="6"/>
        <v>114951</v>
      </c>
      <c r="M97" s="58">
        <f t="shared" si="6"/>
        <v>125882</v>
      </c>
      <c r="N97" s="58">
        <f t="shared" si="6"/>
        <v>129566</v>
      </c>
      <c r="O97" s="58">
        <f t="shared" si="6"/>
        <v>120121</v>
      </c>
      <c r="P97" s="58">
        <f t="shared" si="6"/>
        <v>112751</v>
      </c>
      <c r="Q97" s="58">
        <f t="shared" si="6"/>
        <v>1381013</v>
      </c>
      <c r="V97" s="58">
        <f t="shared" ref="V97" si="7">SUM(V59:V95)</f>
        <v>421641.7</v>
      </c>
    </row>
    <row r="98" spans="1:22" s="33" customFormat="1" x14ac:dyDescent="0.2">
      <c r="B98" s="35"/>
      <c r="C98" s="283"/>
      <c r="D98" s="284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V98" s="58"/>
    </row>
    <row r="99" spans="1:22" ht="13.5" thickBot="1" x14ac:dyDescent="0.25">
      <c r="A99" s="33"/>
      <c r="B99" s="3"/>
      <c r="C99" s="275"/>
      <c r="D99" s="276"/>
      <c r="E99" s="273"/>
      <c r="F99" s="273"/>
      <c r="G99" s="273"/>
      <c r="H99" s="273"/>
      <c r="I99" s="273"/>
      <c r="J99" s="273"/>
      <c r="K99" s="273"/>
      <c r="L99" s="273"/>
      <c r="M99" s="273"/>
      <c r="N99" s="273"/>
      <c r="O99" s="273"/>
      <c r="P99" s="273"/>
      <c r="Q99" s="273"/>
      <c r="V99" s="273"/>
    </row>
    <row r="100" spans="1:22" x14ac:dyDescent="0.2">
      <c r="A100" s="33"/>
      <c r="B100" s="3"/>
      <c r="C100" s="27"/>
      <c r="D100" s="55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V100" s="58"/>
    </row>
    <row r="101" spans="1:22" s="53" customFormat="1" x14ac:dyDescent="0.2">
      <c r="C101" s="490" t="s">
        <v>151</v>
      </c>
      <c r="D101" s="491"/>
      <c r="E101" s="58">
        <f>SUM(E50,E97)</f>
        <v>168406</v>
      </c>
      <c r="F101" s="58">
        <f t="shared" ref="F101:Q101" si="8">SUM(F50,F97)</f>
        <v>184196</v>
      </c>
      <c r="G101" s="58">
        <f t="shared" si="8"/>
        <v>196090</v>
      </c>
      <c r="H101" s="58">
        <f t="shared" si="8"/>
        <v>208920</v>
      </c>
      <c r="I101" s="58">
        <f t="shared" si="8"/>
        <v>244600</v>
      </c>
      <c r="J101" s="58">
        <f t="shared" si="8"/>
        <v>222295</v>
      </c>
      <c r="K101" s="58">
        <f t="shared" si="8"/>
        <v>218280</v>
      </c>
      <c r="L101" s="58">
        <f t="shared" si="8"/>
        <v>210842</v>
      </c>
      <c r="M101" s="58">
        <f t="shared" si="8"/>
        <v>237535</v>
      </c>
      <c r="N101" s="58">
        <f t="shared" si="8"/>
        <v>243464</v>
      </c>
      <c r="O101" s="58">
        <f t="shared" si="8"/>
        <v>223703</v>
      </c>
      <c r="P101" s="58">
        <f t="shared" si="8"/>
        <v>204180</v>
      </c>
      <c r="Q101" s="58">
        <f t="shared" si="8"/>
        <v>2562511</v>
      </c>
      <c r="V101" s="58">
        <f t="shared" ref="V101" si="9">SUM(V50,V97)</f>
        <v>853308.19000000018</v>
      </c>
    </row>
    <row r="102" spans="1:22" s="53" customFormat="1" ht="13.5" thickBot="1" x14ac:dyDescent="0.25">
      <c r="C102" s="29"/>
      <c r="D102" s="57"/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V102" s="321">
        <f>+V101/Q101</f>
        <v>0.33299688859872217</v>
      </c>
    </row>
    <row r="103" spans="1:22" s="53" customFormat="1" x14ac:dyDescent="0.2">
      <c r="C103" s="274"/>
      <c r="D103" s="277"/>
      <c r="E103" s="274"/>
      <c r="F103" s="274"/>
      <c r="G103" s="274"/>
      <c r="H103" s="274"/>
      <c r="I103" s="274"/>
      <c r="J103" s="274"/>
      <c r="K103" s="274"/>
      <c r="L103" s="274"/>
      <c r="M103" s="274"/>
      <c r="N103" s="274"/>
      <c r="O103" s="274"/>
      <c r="P103" s="274"/>
      <c r="Q103" s="273"/>
    </row>
    <row r="104" spans="1:22" s="53" customFormat="1" x14ac:dyDescent="0.2">
      <c r="D104" s="54"/>
    </row>
    <row r="105" spans="1:22" s="53" customFormat="1" x14ac:dyDescent="0.2">
      <c r="D105" s="54"/>
    </row>
    <row r="106" spans="1:22" s="53" customFormat="1" x14ac:dyDescent="0.2">
      <c r="D106" s="54"/>
    </row>
    <row r="107" spans="1:22" s="53" customFormat="1" x14ac:dyDescent="0.2">
      <c r="D107" s="54"/>
    </row>
    <row r="108" spans="1:22" s="53" customFormat="1" x14ac:dyDescent="0.2">
      <c r="D108" s="54"/>
    </row>
    <row r="109" spans="1:22" s="53" customFormat="1" x14ac:dyDescent="0.2">
      <c r="D109" s="54"/>
    </row>
    <row r="110" spans="1:22" x14ac:dyDescent="0.2">
      <c r="Q110" s="53"/>
    </row>
    <row r="111" spans="1:22" x14ac:dyDescent="0.2">
      <c r="Q111" s="53"/>
    </row>
    <row r="112" spans="1:22" x14ac:dyDescent="0.2">
      <c r="Q112" s="53"/>
    </row>
    <row r="2043" spans="5:18" x14ac:dyDescent="0.2">
      <c r="E2043" s="1">
        <v>0</v>
      </c>
      <c r="F2043" s="1">
        <v>0</v>
      </c>
      <c r="G2043" s="1">
        <v>0</v>
      </c>
      <c r="H2043" s="1">
        <v>0</v>
      </c>
      <c r="I2043" s="1">
        <v>0</v>
      </c>
      <c r="J2043" s="1">
        <v>0</v>
      </c>
      <c r="K2043" s="1">
        <v>0</v>
      </c>
      <c r="L2043" s="1">
        <v>0</v>
      </c>
      <c r="M2043" s="1">
        <v>0</v>
      </c>
      <c r="N2043" s="1">
        <v>0</v>
      </c>
      <c r="O2043" s="1">
        <v>0</v>
      </c>
      <c r="P2043" s="1">
        <v>0</v>
      </c>
      <c r="R2043" s="1" t="s">
        <v>624</v>
      </c>
    </row>
  </sheetData>
  <mergeCells count="2">
    <mergeCell ref="C101:D101"/>
    <mergeCell ref="S2:T2"/>
  </mergeCells>
  <pageMargins left="0.7" right="0.7" top="0.75" bottom="0.75" header="0.3" footer="0.3"/>
  <pageSetup paperSize="9" scale="65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93"/>
  <sheetViews>
    <sheetView zoomScale="90" zoomScaleNormal="90" workbookViewId="0">
      <selection activeCell="E4" sqref="E4"/>
    </sheetView>
  </sheetViews>
  <sheetFormatPr baseColWidth="10" defaultRowHeight="12.75" x14ac:dyDescent="0.2"/>
  <cols>
    <col min="1" max="1" width="0.7109375" style="53" customWidth="1"/>
    <col min="2" max="2" width="7.42578125" style="1" customWidth="1"/>
    <col min="3" max="3" width="11.42578125" style="1"/>
    <col min="4" max="4" width="33.5703125" style="52" customWidth="1"/>
    <col min="5" max="5" width="11.42578125" style="1"/>
    <col min="6" max="6" width="16.28515625" style="1" bestFit="1" customWidth="1"/>
    <col min="7" max="16384" width="11.42578125" style="1"/>
  </cols>
  <sheetData>
    <row r="1" spans="1:17" s="33" customFormat="1" x14ac:dyDescent="0.2">
      <c r="D1" s="40"/>
      <c r="E1" s="34" t="s">
        <v>556</v>
      </c>
    </row>
    <row r="2" spans="1:17" x14ac:dyDescent="0.2">
      <c r="A2" s="33"/>
      <c r="B2" s="33"/>
      <c r="C2" s="33"/>
      <c r="D2" s="40"/>
      <c r="E2" s="2" t="s">
        <v>133</v>
      </c>
      <c r="F2" s="2" t="s">
        <v>134</v>
      </c>
      <c r="G2" s="2" t="s">
        <v>135</v>
      </c>
      <c r="H2" s="2" t="s">
        <v>136</v>
      </c>
      <c r="I2" s="2" t="s">
        <v>137</v>
      </c>
      <c r="J2" s="2" t="s">
        <v>138</v>
      </c>
      <c r="K2" s="2" t="s">
        <v>139</v>
      </c>
      <c r="L2" s="2" t="s">
        <v>140</v>
      </c>
      <c r="M2" s="2" t="s">
        <v>141</v>
      </c>
      <c r="N2" s="2" t="s">
        <v>142</v>
      </c>
      <c r="O2" s="2" t="s">
        <v>143</v>
      </c>
      <c r="P2" s="2" t="s">
        <v>144</v>
      </c>
      <c r="Q2" s="2" t="s">
        <v>146</v>
      </c>
    </row>
    <row r="3" spans="1:17" s="33" customFormat="1" x14ac:dyDescent="0.2">
      <c r="D3" s="40"/>
    </row>
    <row r="4" spans="1:17" x14ac:dyDescent="0.2">
      <c r="A4" s="33"/>
      <c r="B4" s="31">
        <v>13017</v>
      </c>
      <c r="C4" s="4" t="s">
        <v>5</v>
      </c>
      <c r="D4" s="41" t="s">
        <v>6</v>
      </c>
      <c r="E4" s="250">
        <v>3.6</v>
      </c>
      <c r="F4" s="250"/>
      <c r="G4" s="250"/>
      <c r="H4" s="250"/>
      <c r="I4" s="250"/>
      <c r="J4" s="250"/>
      <c r="K4" s="250"/>
      <c r="L4" s="250"/>
      <c r="M4" s="250"/>
      <c r="N4" s="250"/>
      <c r="O4" s="250"/>
      <c r="P4" s="250"/>
      <c r="Q4" s="250">
        <f>SUM(E4:P4)</f>
        <v>3.6</v>
      </c>
    </row>
    <row r="5" spans="1:17" x14ac:dyDescent="0.2">
      <c r="A5" s="33"/>
      <c r="B5" s="31">
        <v>13016</v>
      </c>
      <c r="C5" s="6"/>
      <c r="D5" s="41" t="s">
        <v>7</v>
      </c>
      <c r="E5" s="250">
        <v>3.1</v>
      </c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250"/>
      <c r="Q5" s="250">
        <f t="shared" ref="Q5:Q37" si="0">SUM(E5:P5)</f>
        <v>3.1</v>
      </c>
    </row>
    <row r="6" spans="1:17" x14ac:dyDescent="0.2">
      <c r="A6" s="33"/>
      <c r="B6" s="32">
        <v>13078</v>
      </c>
      <c r="C6" s="9" t="s">
        <v>8</v>
      </c>
      <c r="D6" s="41" t="s">
        <v>9</v>
      </c>
      <c r="E6" s="250">
        <v>32.1</v>
      </c>
      <c r="F6" s="250"/>
      <c r="G6" s="250"/>
      <c r="H6" s="250"/>
      <c r="I6" s="250"/>
      <c r="J6" s="250"/>
      <c r="K6" s="250"/>
      <c r="L6" s="250"/>
      <c r="M6" s="250"/>
      <c r="N6" s="250"/>
      <c r="O6" s="250"/>
      <c r="P6" s="250"/>
      <c r="Q6" s="250">
        <f t="shared" si="0"/>
        <v>32.1</v>
      </c>
    </row>
    <row r="7" spans="1:17" x14ac:dyDescent="0.2">
      <c r="A7" s="33"/>
      <c r="B7" s="31">
        <v>13120</v>
      </c>
      <c r="C7" s="10"/>
      <c r="D7" s="41" t="s">
        <v>10</v>
      </c>
      <c r="E7" s="250">
        <v>33.159999999999997</v>
      </c>
      <c r="F7" s="250"/>
      <c r="G7" s="250"/>
      <c r="H7" s="250"/>
      <c r="I7" s="250"/>
      <c r="J7" s="250"/>
      <c r="K7" s="250"/>
      <c r="L7" s="250"/>
      <c r="M7" s="250"/>
      <c r="N7" s="250"/>
      <c r="O7" s="250"/>
      <c r="P7" s="250"/>
      <c r="Q7" s="250">
        <f t="shared" si="0"/>
        <v>33.159999999999997</v>
      </c>
    </row>
    <row r="8" spans="1:17" x14ac:dyDescent="0.2">
      <c r="A8" s="33"/>
      <c r="B8" s="31">
        <v>13053</v>
      </c>
      <c r="C8" s="11"/>
      <c r="D8" s="41" t="s">
        <v>11</v>
      </c>
      <c r="E8" s="250">
        <v>43.59</v>
      </c>
      <c r="F8" s="250"/>
      <c r="G8" s="250"/>
      <c r="H8" s="250"/>
      <c r="I8" s="250"/>
      <c r="J8" s="250"/>
      <c r="K8" s="250"/>
      <c r="L8" s="250"/>
      <c r="M8" s="250"/>
      <c r="N8" s="250"/>
      <c r="O8" s="250"/>
      <c r="P8" s="250"/>
      <c r="Q8" s="250">
        <f t="shared" si="0"/>
        <v>43.59</v>
      </c>
    </row>
    <row r="9" spans="1:17" x14ac:dyDescent="0.2">
      <c r="A9" s="33"/>
      <c r="B9" s="31">
        <v>13022</v>
      </c>
      <c r="C9" s="4" t="s">
        <v>12</v>
      </c>
      <c r="D9" s="41" t="s">
        <v>13</v>
      </c>
      <c r="E9" s="250">
        <v>6.81</v>
      </c>
      <c r="F9" s="250"/>
      <c r="G9" s="250"/>
      <c r="H9" s="250"/>
      <c r="I9" s="250"/>
      <c r="J9" s="250"/>
      <c r="K9" s="250"/>
      <c r="L9" s="250"/>
      <c r="M9" s="250"/>
      <c r="N9" s="250"/>
      <c r="O9" s="250"/>
      <c r="P9" s="250"/>
      <c r="Q9" s="250">
        <f t="shared" si="0"/>
        <v>6.81</v>
      </c>
    </row>
    <row r="10" spans="1:17" x14ac:dyDescent="0.2">
      <c r="A10" s="33"/>
      <c r="B10" s="31">
        <v>15523</v>
      </c>
      <c r="C10" s="4" t="s">
        <v>14</v>
      </c>
      <c r="D10" s="41" t="s">
        <v>14</v>
      </c>
      <c r="E10" s="251">
        <v>0</v>
      </c>
      <c r="F10" s="250"/>
      <c r="G10" s="250"/>
      <c r="H10" s="250"/>
      <c r="I10" s="250"/>
      <c r="J10" s="250"/>
      <c r="K10" s="250"/>
      <c r="L10" s="250"/>
      <c r="M10" s="250"/>
      <c r="N10" s="250"/>
      <c r="O10" s="250"/>
      <c r="P10" s="250"/>
      <c r="Q10" s="250">
        <f t="shared" si="0"/>
        <v>0</v>
      </c>
    </row>
    <row r="11" spans="1:17" x14ac:dyDescent="0.2">
      <c r="A11" s="33"/>
      <c r="B11" s="31">
        <v>13133</v>
      </c>
      <c r="C11" s="252" t="s">
        <v>15</v>
      </c>
      <c r="D11" s="42" t="s">
        <v>16</v>
      </c>
      <c r="E11" s="251">
        <v>24.5</v>
      </c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Q11" s="250">
        <f t="shared" si="0"/>
        <v>24.5</v>
      </c>
    </row>
    <row r="12" spans="1:17" x14ac:dyDescent="0.2">
      <c r="A12" s="33"/>
      <c r="B12" s="31">
        <v>13134</v>
      </c>
      <c r="C12" s="258"/>
      <c r="D12" s="42" t="s">
        <v>17</v>
      </c>
      <c r="E12" s="251">
        <v>18.45</v>
      </c>
      <c r="F12" s="250"/>
      <c r="G12" s="250"/>
      <c r="H12" s="250"/>
      <c r="I12" s="250"/>
      <c r="J12" s="250"/>
      <c r="K12" s="250"/>
      <c r="L12" s="250"/>
      <c r="M12" s="250"/>
      <c r="N12" s="250"/>
      <c r="O12" s="250"/>
      <c r="P12" s="250"/>
      <c r="Q12" s="250">
        <f t="shared" si="0"/>
        <v>18.45</v>
      </c>
    </row>
    <row r="13" spans="1:17" x14ac:dyDescent="0.2">
      <c r="A13" s="33"/>
      <c r="B13" s="31">
        <v>13142</v>
      </c>
      <c r="C13" s="259" t="s">
        <v>18</v>
      </c>
      <c r="D13" s="42" t="s">
        <v>19</v>
      </c>
      <c r="E13" s="251">
        <v>15.36</v>
      </c>
      <c r="F13" s="250"/>
      <c r="G13" s="250"/>
      <c r="H13" s="250"/>
      <c r="I13" s="250"/>
      <c r="J13" s="250"/>
      <c r="K13" s="250"/>
      <c r="L13" s="250"/>
      <c r="M13" s="250"/>
      <c r="N13" s="250"/>
      <c r="O13" s="250"/>
      <c r="P13" s="250"/>
      <c r="Q13" s="250">
        <f t="shared" si="0"/>
        <v>15.36</v>
      </c>
    </row>
    <row r="14" spans="1:17" x14ac:dyDescent="0.2">
      <c r="A14" s="33"/>
      <c r="B14" s="31">
        <v>13141</v>
      </c>
      <c r="C14" s="15"/>
      <c r="D14" s="42" t="s">
        <v>20</v>
      </c>
      <c r="E14" s="250">
        <v>15.36</v>
      </c>
      <c r="F14" s="250"/>
      <c r="G14" s="250"/>
      <c r="H14" s="250"/>
      <c r="I14" s="250"/>
      <c r="J14" s="250"/>
      <c r="K14" s="250"/>
      <c r="L14" s="250"/>
      <c r="M14" s="250"/>
      <c r="N14" s="250"/>
      <c r="O14" s="250"/>
      <c r="P14" s="250"/>
      <c r="Q14" s="250">
        <f t="shared" si="0"/>
        <v>15.36</v>
      </c>
    </row>
    <row r="15" spans="1:17" x14ac:dyDescent="0.2">
      <c r="A15" s="33"/>
      <c r="B15" s="31">
        <v>13068</v>
      </c>
      <c r="C15" s="6" t="s">
        <v>21</v>
      </c>
      <c r="D15" s="41" t="s">
        <v>22</v>
      </c>
      <c r="E15" s="251">
        <v>14.35</v>
      </c>
      <c r="F15" s="250"/>
      <c r="G15" s="250"/>
      <c r="H15" s="250"/>
      <c r="I15" s="250"/>
      <c r="J15" s="250"/>
      <c r="K15" s="250"/>
      <c r="L15" s="250"/>
      <c r="M15" s="250"/>
      <c r="N15" s="250"/>
      <c r="O15" s="250"/>
      <c r="P15" s="250"/>
      <c r="Q15" s="250">
        <f t="shared" si="0"/>
        <v>14.35</v>
      </c>
    </row>
    <row r="16" spans="1:17" x14ac:dyDescent="0.2">
      <c r="A16" s="33"/>
      <c r="B16" s="31">
        <v>13067</v>
      </c>
      <c r="C16" s="6"/>
      <c r="D16" s="41" t="s">
        <v>23</v>
      </c>
      <c r="E16" s="251">
        <v>14.35</v>
      </c>
      <c r="F16" s="250"/>
      <c r="G16" s="250"/>
      <c r="H16" s="250"/>
      <c r="I16" s="250"/>
      <c r="J16" s="250"/>
      <c r="K16" s="250"/>
      <c r="L16" s="250"/>
      <c r="M16" s="250"/>
      <c r="N16" s="250"/>
      <c r="O16" s="250"/>
      <c r="P16" s="250"/>
      <c r="Q16" s="250">
        <f t="shared" si="0"/>
        <v>14.35</v>
      </c>
    </row>
    <row r="17" spans="1:17" x14ac:dyDescent="0.2">
      <c r="A17" s="33"/>
      <c r="B17" s="31">
        <v>13146</v>
      </c>
      <c r="C17" s="6"/>
      <c r="D17" s="41" t="s">
        <v>24</v>
      </c>
      <c r="E17" s="251">
        <v>16.5</v>
      </c>
      <c r="F17" s="250"/>
      <c r="G17" s="250"/>
      <c r="H17" s="250"/>
      <c r="I17" s="250"/>
      <c r="J17" s="250"/>
      <c r="K17" s="250"/>
      <c r="L17" s="250"/>
      <c r="M17" s="250"/>
      <c r="N17" s="250"/>
      <c r="O17" s="250"/>
      <c r="P17" s="250"/>
      <c r="Q17" s="250">
        <f t="shared" si="0"/>
        <v>16.5</v>
      </c>
    </row>
    <row r="18" spans="1:17" x14ac:dyDescent="0.2">
      <c r="A18" s="33"/>
      <c r="B18" s="31">
        <v>13054</v>
      </c>
      <c r="C18" s="8"/>
      <c r="D18" s="41" t="s">
        <v>25</v>
      </c>
      <c r="E18" s="251">
        <v>18.510000000000002</v>
      </c>
      <c r="F18" s="250"/>
      <c r="G18" s="250"/>
      <c r="H18" s="250"/>
      <c r="I18" s="250"/>
      <c r="J18" s="250"/>
      <c r="K18" s="250"/>
      <c r="L18" s="250"/>
      <c r="M18" s="250"/>
      <c r="N18" s="250"/>
      <c r="O18" s="250"/>
      <c r="P18" s="250"/>
      <c r="Q18" s="250">
        <f t="shared" si="0"/>
        <v>18.510000000000002</v>
      </c>
    </row>
    <row r="19" spans="1:17" x14ac:dyDescent="0.2">
      <c r="A19" s="33"/>
      <c r="B19" s="31">
        <v>13137</v>
      </c>
      <c r="C19" s="16" t="s">
        <v>29</v>
      </c>
      <c r="D19" s="41" t="s">
        <v>30</v>
      </c>
      <c r="E19" s="251">
        <v>18</v>
      </c>
      <c r="F19" s="250"/>
      <c r="G19" s="250"/>
      <c r="H19" s="250"/>
      <c r="I19" s="250"/>
      <c r="J19" s="250"/>
      <c r="K19" s="250"/>
      <c r="L19" s="250"/>
      <c r="M19" s="250"/>
      <c r="N19" s="250"/>
      <c r="O19" s="250"/>
      <c r="P19" s="250"/>
      <c r="Q19" s="250">
        <f t="shared" si="0"/>
        <v>18</v>
      </c>
    </row>
    <row r="20" spans="1:17" x14ac:dyDescent="0.2">
      <c r="A20" s="33"/>
      <c r="B20" s="31">
        <v>13138</v>
      </c>
      <c r="C20" s="16"/>
      <c r="D20" s="41" t="s">
        <v>31</v>
      </c>
      <c r="E20" s="251">
        <v>22.5</v>
      </c>
      <c r="F20" s="250"/>
      <c r="G20" s="250"/>
      <c r="H20" s="250"/>
      <c r="I20" s="250"/>
      <c r="J20" s="250"/>
      <c r="K20" s="250"/>
      <c r="L20" s="250"/>
      <c r="M20" s="250"/>
      <c r="N20" s="250"/>
      <c r="O20" s="250"/>
      <c r="P20" s="250"/>
      <c r="Q20" s="250">
        <f t="shared" si="0"/>
        <v>22.5</v>
      </c>
    </row>
    <row r="21" spans="1:17" x14ac:dyDescent="0.2">
      <c r="A21" s="33"/>
      <c r="B21" s="31">
        <v>15514</v>
      </c>
      <c r="C21" s="4" t="s">
        <v>33</v>
      </c>
      <c r="D21" s="43" t="s">
        <v>34</v>
      </c>
      <c r="E21" s="250">
        <v>0</v>
      </c>
      <c r="F21" s="250"/>
      <c r="G21" s="250"/>
      <c r="H21" s="250"/>
      <c r="I21" s="250"/>
      <c r="J21" s="250"/>
      <c r="K21" s="250"/>
      <c r="L21" s="250"/>
      <c r="M21" s="250"/>
      <c r="N21" s="250"/>
      <c r="O21" s="250"/>
      <c r="P21" s="250"/>
      <c r="Q21" s="250">
        <f t="shared" si="0"/>
        <v>0</v>
      </c>
    </row>
    <row r="22" spans="1:17" x14ac:dyDescent="0.2">
      <c r="A22" s="33"/>
      <c r="B22" s="31">
        <v>15524</v>
      </c>
      <c r="C22" s="6"/>
      <c r="D22" s="255" t="s">
        <v>35</v>
      </c>
      <c r="E22" s="250">
        <v>0</v>
      </c>
      <c r="F22" s="250"/>
      <c r="G22" s="250"/>
      <c r="H22" s="250"/>
      <c r="I22" s="250"/>
      <c r="J22" s="250"/>
      <c r="K22" s="250"/>
      <c r="L22" s="250"/>
      <c r="M22" s="250"/>
      <c r="N22" s="250"/>
      <c r="O22" s="250"/>
      <c r="P22" s="250"/>
      <c r="Q22" s="250">
        <f t="shared" si="0"/>
        <v>0</v>
      </c>
    </row>
    <row r="23" spans="1:17" x14ac:dyDescent="0.2">
      <c r="A23" s="33"/>
      <c r="B23" s="260">
        <v>13122</v>
      </c>
      <c r="C23" s="252" t="s">
        <v>36</v>
      </c>
      <c r="D23" s="42" t="s">
        <v>37</v>
      </c>
      <c r="E23" s="250">
        <v>17.899999999999999</v>
      </c>
      <c r="F23" s="250"/>
      <c r="G23" s="250"/>
      <c r="H23" s="250"/>
      <c r="I23" s="250"/>
      <c r="J23" s="250"/>
      <c r="K23" s="250"/>
      <c r="L23" s="250"/>
      <c r="M23" s="250"/>
      <c r="N23" s="250"/>
      <c r="O23" s="250"/>
      <c r="P23" s="250"/>
      <c r="Q23" s="250">
        <f t="shared" si="0"/>
        <v>17.899999999999999</v>
      </c>
    </row>
    <row r="24" spans="1:17" x14ac:dyDescent="0.2">
      <c r="A24" s="33"/>
      <c r="B24" s="261">
        <v>13158</v>
      </c>
      <c r="C24" s="18"/>
      <c r="D24" s="42" t="s">
        <v>552</v>
      </c>
      <c r="E24" s="250">
        <v>23.9</v>
      </c>
      <c r="F24" s="250"/>
      <c r="G24" s="250"/>
      <c r="H24" s="250"/>
      <c r="I24" s="250"/>
      <c r="J24" s="250"/>
      <c r="K24" s="250"/>
      <c r="L24" s="250"/>
      <c r="M24" s="250"/>
      <c r="N24" s="250"/>
      <c r="O24" s="250"/>
      <c r="P24" s="250"/>
      <c r="Q24" s="250">
        <f t="shared" si="0"/>
        <v>23.9</v>
      </c>
    </row>
    <row r="25" spans="1:17" x14ac:dyDescent="0.2">
      <c r="A25" s="33"/>
      <c r="B25" s="31">
        <v>13110</v>
      </c>
      <c r="C25" s="19" t="s">
        <v>38</v>
      </c>
      <c r="D25" s="41" t="s">
        <v>39</v>
      </c>
      <c r="E25" s="250">
        <v>4.95</v>
      </c>
      <c r="F25" s="250"/>
      <c r="G25" s="250"/>
      <c r="H25" s="250"/>
      <c r="I25" s="250"/>
      <c r="J25" s="250"/>
      <c r="K25" s="250"/>
      <c r="L25" s="250"/>
      <c r="M25" s="250"/>
      <c r="N25" s="250"/>
      <c r="O25" s="250"/>
      <c r="P25" s="250"/>
      <c r="Q25" s="250">
        <f t="shared" si="0"/>
        <v>4.95</v>
      </c>
    </row>
    <row r="26" spans="1:17" x14ac:dyDescent="0.2">
      <c r="A26" s="33"/>
      <c r="B26" s="31">
        <v>13074</v>
      </c>
      <c r="C26" s="20" t="s">
        <v>40</v>
      </c>
      <c r="D26" s="41" t="s">
        <v>41</v>
      </c>
      <c r="E26" s="250">
        <v>8.4700000000000006</v>
      </c>
      <c r="F26" s="250"/>
      <c r="G26" s="250"/>
      <c r="H26" s="250"/>
      <c r="I26" s="250"/>
      <c r="J26" s="250"/>
      <c r="K26" s="250"/>
      <c r="L26" s="250"/>
      <c r="M26" s="250"/>
      <c r="N26" s="250"/>
      <c r="O26" s="250"/>
      <c r="P26" s="250"/>
      <c r="Q26" s="250">
        <f t="shared" si="0"/>
        <v>8.4700000000000006</v>
      </c>
    </row>
    <row r="27" spans="1:17" x14ac:dyDescent="0.2">
      <c r="A27" s="33"/>
      <c r="B27" s="31">
        <v>13072</v>
      </c>
      <c r="C27" s="20"/>
      <c r="D27" s="41" t="s">
        <v>42</v>
      </c>
      <c r="E27" s="250">
        <v>8.4700000000000006</v>
      </c>
      <c r="F27" s="250"/>
      <c r="G27" s="250"/>
      <c r="H27" s="250"/>
      <c r="I27" s="250"/>
      <c r="J27" s="250"/>
      <c r="K27" s="250"/>
      <c r="L27" s="250"/>
      <c r="M27" s="250"/>
      <c r="N27" s="250"/>
      <c r="O27" s="250"/>
      <c r="P27" s="250"/>
      <c r="Q27" s="250">
        <f t="shared" si="0"/>
        <v>8.4700000000000006</v>
      </c>
    </row>
    <row r="28" spans="1:17" x14ac:dyDescent="0.2">
      <c r="A28" s="33"/>
      <c r="B28" s="31">
        <v>13071</v>
      </c>
      <c r="C28" s="21"/>
      <c r="D28" s="41" t="s">
        <v>43</v>
      </c>
      <c r="E28" s="250">
        <v>3.94</v>
      </c>
      <c r="F28" s="250"/>
      <c r="G28" s="250"/>
      <c r="H28" s="250"/>
      <c r="I28" s="250"/>
      <c r="J28" s="250"/>
      <c r="K28" s="250"/>
      <c r="L28" s="250"/>
      <c r="M28" s="250"/>
      <c r="N28" s="250"/>
      <c r="O28" s="250"/>
      <c r="P28" s="250"/>
      <c r="Q28" s="250">
        <f t="shared" si="0"/>
        <v>3.94</v>
      </c>
    </row>
    <row r="29" spans="1:17" x14ac:dyDescent="0.2">
      <c r="A29" s="33"/>
      <c r="B29" s="31">
        <v>13082</v>
      </c>
      <c r="C29" s="262" t="s">
        <v>44</v>
      </c>
      <c r="D29" s="41" t="s">
        <v>45</v>
      </c>
      <c r="E29" s="250">
        <v>39</v>
      </c>
      <c r="F29" s="250"/>
      <c r="G29" s="250"/>
      <c r="H29" s="250"/>
      <c r="I29" s="250"/>
      <c r="J29" s="250"/>
      <c r="K29" s="250"/>
      <c r="L29" s="250"/>
      <c r="M29" s="250"/>
      <c r="N29" s="250"/>
      <c r="O29" s="250"/>
      <c r="P29" s="250"/>
      <c r="Q29" s="250">
        <f t="shared" si="0"/>
        <v>39</v>
      </c>
    </row>
    <row r="30" spans="1:17" x14ac:dyDescent="0.2">
      <c r="A30" s="33"/>
      <c r="B30" s="31">
        <v>13040</v>
      </c>
      <c r="C30" s="9" t="s">
        <v>47</v>
      </c>
      <c r="D30" s="41" t="s">
        <v>48</v>
      </c>
      <c r="E30" s="250">
        <v>9.7200000000000006</v>
      </c>
      <c r="F30" s="250"/>
      <c r="G30" s="250"/>
      <c r="H30" s="250"/>
      <c r="I30" s="250"/>
      <c r="J30" s="250"/>
      <c r="K30" s="250"/>
      <c r="L30" s="250"/>
      <c r="M30" s="250"/>
      <c r="N30" s="250"/>
      <c r="O30" s="250"/>
      <c r="P30" s="250"/>
      <c r="Q30" s="250">
        <f t="shared" si="0"/>
        <v>9.7200000000000006</v>
      </c>
    </row>
    <row r="31" spans="1:17" x14ac:dyDescent="0.2">
      <c r="A31" s="33"/>
      <c r="B31" s="31">
        <v>13066</v>
      </c>
      <c r="C31" s="22"/>
      <c r="D31" s="41" t="s">
        <v>148</v>
      </c>
      <c r="E31" s="250">
        <v>9.51</v>
      </c>
      <c r="F31" s="250"/>
      <c r="G31" s="250"/>
      <c r="H31" s="250"/>
      <c r="I31" s="250"/>
      <c r="J31" s="250"/>
      <c r="K31" s="250"/>
      <c r="L31" s="250"/>
      <c r="M31" s="250"/>
      <c r="N31" s="250"/>
      <c r="O31" s="250"/>
      <c r="P31" s="250"/>
      <c r="Q31" s="250">
        <f t="shared" si="0"/>
        <v>9.51</v>
      </c>
    </row>
    <row r="32" spans="1:17" x14ac:dyDescent="0.2">
      <c r="A32" s="33"/>
      <c r="B32" s="31">
        <v>13140</v>
      </c>
      <c r="C32" s="16" t="s">
        <v>54</v>
      </c>
      <c r="D32" s="41" t="s">
        <v>55</v>
      </c>
      <c r="E32" s="250">
        <v>5.9</v>
      </c>
      <c r="F32" s="250"/>
      <c r="G32" s="250"/>
      <c r="H32" s="250"/>
      <c r="I32" s="250"/>
      <c r="J32" s="250"/>
      <c r="K32" s="250"/>
      <c r="L32" s="250"/>
      <c r="M32" s="250"/>
      <c r="N32" s="250"/>
      <c r="O32" s="250"/>
      <c r="P32" s="250"/>
      <c r="Q32" s="250">
        <f t="shared" si="0"/>
        <v>5.9</v>
      </c>
    </row>
    <row r="33" spans="1:17" x14ac:dyDescent="0.2">
      <c r="A33" s="33"/>
      <c r="B33" s="31">
        <v>13112</v>
      </c>
      <c r="C33" s="4" t="s">
        <v>56</v>
      </c>
      <c r="D33" s="41" t="s">
        <v>57</v>
      </c>
      <c r="E33" s="250">
        <v>18.5</v>
      </c>
      <c r="F33" s="250"/>
      <c r="G33" s="250"/>
      <c r="H33" s="250"/>
      <c r="I33" s="250"/>
      <c r="J33" s="250"/>
      <c r="K33" s="250"/>
      <c r="L33" s="250"/>
      <c r="M33" s="250"/>
      <c r="N33" s="250"/>
      <c r="O33" s="250"/>
      <c r="P33" s="250"/>
      <c r="Q33" s="250">
        <f t="shared" si="0"/>
        <v>18.5</v>
      </c>
    </row>
    <row r="34" spans="1:17" x14ac:dyDescent="0.2">
      <c r="A34" s="33"/>
      <c r="B34" s="31">
        <v>13081</v>
      </c>
      <c r="C34" s="23" t="s">
        <v>58</v>
      </c>
      <c r="D34" s="41" t="s">
        <v>59</v>
      </c>
      <c r="E34" s="250">
        <v>27.83</v>
      </c>
      <c r="F34" s="250"/>
      <c r="G34" s="250"/>
      <c r="H34" s="250"/>
      <c r="I34" s="250"/>
      <c r="J34" s="250"/>
      <c r="K34" s="250"/>
      <c r="L34" s="250"/>
      <c r="M34" s="250"/>
      <c r="N34" s="250"/>
      <c r="O34" s="250"/>
      <c r="P34" s="250"/>
      <c r="Q34" s="250">
        <f t="shared" si="0"/>
        <v>27.83</v>
      </c>
    </row>
    <row r="35" spans="1:17" x14ac:dyDescent="0.2">
      <c r="A35" s="33"/>
      <c r="B35" s="31">
        <v>13139</v>
      </c>
      <c r="C35" s="24" t="s">
        <v>60</v>
      </c>
      <c r="D35" s="41" t="s">
        <v>61</v>
      </c>
      <c r="E35" s="250">
        <v>22.92</v>
      </c>
      <c r="F35" s="250"/>
      <c r="G35" s="250"/>
      <c r="H35" s="250"/>
      <c r="I35" s="250"/>
      <c r="J35" s="250"/>
      <c r="K35" s="250"/>
      <c r="L35" s="250"/>
      <c r="M35" s="250"/>
      <c r="N35" s="250"/>
      <c r="O35" s="250"/>
      <c r="P35" s="250"/>
      <c r="Q35" s="250">
        <f t="shared" si="0"/>
        <v>22.92</v>
      </c>
    </row>
    <row r="36" spans="1:17" x14ac:dyDescent="0.2">
      <c r="A36" s="33"/>
      <c r="B36" s="31">
        <v>13051</v>
      </c>
      <c r="C36" s="25" t="s">
        <v>62</v>
      </c>
      <c r="D36" s="41" t="s">
        <v>63</v>
      </c>
      <c r="E36" s="250">
        <v>13</v>
      </c>
      <c r="F36" s="250"/>
      <c r="G36" s="250"/>
      <c r="H36" s="250"/>
      <c r="I36" s="250"/>
      <c r="J36" s="250"/>
      <c r="K36" s="250"/>
      <c r="L36" s="250"/>
      <c r="M36" s="250"/>
      <c r="N36" s="250"/>
      <c r="O36" s="250"/>
      <c r="P36" s="250"/>
      <c r="Q36" s="250">
        <f t="shared" si="0"/>
        <v>13</v>
      </c>
    </row>
    <row r="37" spans="1:17" ht="13.5" thickBot="1" x14ac:dyDescent="0.25">
      <c r="A37" s="33"/>
      <c r="B37" s="31">
        <v>13069</v>
      </c>
      <c r="C37" s="26" t="s">
        <v>64</v>
      </c>
      <c r="D37" s="44" t="s">
        <v>65</v>
      </c>
      <c r="E37" s="250">
        <v>34.75</v>
      </c>
      <c r="F37" s="250"/>
      <c r="G37" s="250"/>
      <c r="H37" s="250"/>
      <c r="I37" s="250"/>
      <c r="J37" s="250"/>
      <c r="K37" s="250"/>
      <c r="L37" s="250"/>
      <c r="M37" s="250"/>
      <c r="N37" s="250"/>
      <c r="O37" s="250"/>
      <c r="P37" s="250"/>
      <c r="Q37" s="250">
        <f t="shared" si="0"/>
        <v>34.75</v>
      </c>
    </row>
    <row r="38" spans="1:17" x14ac:dyDescent="0.2">
      <c r="A38" s="33"/>
      <c r="B38" s="3"/>
      <c r="C38" s="27"/>
      <c r="D38" s="55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</row>
    <row r="39" spans="1:17" x14ac:dyDescent="0.2">
      <c r="A39" s="33"/>
      <c r="B39" s="3"/>
      <c r="C39" s="28"/>
      <c r="D39" s="56" t="s">
        <v>149</v>
      </c>
      <c r="E39" s="58">
        <f t="shared" ref="E39:Q39" si="1">SUM(E4:E37)</f>
        <v>549</v>
      </c>
      <c r="F39" s="58">
        <f t="shared" si="1"/>
        <v>0</v>
      </c>
      <c r="G39" s="58">
        <f t="shared" si="1"/>
        <v>0</v>
      </c>
      <c r="H39" s="58">
        <f t="shared" si="1"/>
        <v>0</v>
      </c>
      <c r="I39" s="58">
        <f t="shared" si="1"/>
        <v>0</v>
      </c>
      <c r="J39" s="58">
        <f t="shared" si="1"/>
        <v>0</v>
      </c>
      <c r="K39" s="58">
        <f t="shared" si="1"/>
        <v>0</v>
      </c>
      <c r="L39" s="58">
        <f t="shared" si="1"/>
        <v>0</v>
      </c>
      <c r="M39" s="58">
        <f t="shared" si="1"/>
        <v>0</v>
      </c>
      <c r="N39" s="58">
        <f t="shared" si="1"/>
        <v>0</v>
      </c>
      <c r="O39" s="58">
        <f t="shared" si="1"/>
        <v>0</v>
      </c>
      <c r="P39" s="58">
        <f t="shared" si="1"/>
        <v>0</v>
      </c>
      <c r="Q39" s="58">
        <f t="shared" si="1"/>
        <v>549</v>
      </c>
    </row>
    <row r="40" spans="1:17" ht="13.5" thickBot="1" x14ac:dyDescent="0.25">
      <c r="A40" s="33"/>
      <c r="B40" s="3"/>
      <c r="C40" s="29"/>
      <c r="D40" s="57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</row>
    <row r="41" spans="1:17" s="33" customFormat="1" x14ac:dyDescent="0.2">
      <c r="B41" s="35"/>
      <c r="C41" s="36"/>
      <c r="D41" s="45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</row>
    <row r="42" spans="1:17" s="33" customFormat="1" x14ac:dyDescent="0.2">
      <c r="B42" s="35"/>
      <c r="C42" s="36"/>
      <c r="D42" s="45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</row>
    <row r="43" spans="1:17" s="33" customFormat="1" x14ac:dyDescent="0.2">
      <c r="B43" s="35"/>
      <c r="C43" s="36"/>
      <c r="D43" s="45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</row>
    <row r="44" spans="1:17" s="33" customFormat="1" x14ac:dyDescent="0.2">
      <c r="B44" s="35"/>
      <c r="C44" s="36"/>
      <c r="D44" s="45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</row>
    <row r="45" spans="1:17" s="33" customFormat="1" x14ac:dyDescent="0.2">
      <c r="B45" s="35"/>
      <c r="C45" s="36"/>
      <c r="D45" s="45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</row>
    <row r="46" spans="1:17" s="33" customFormat="1" x14ac:dyDescent="0.2">
      <c r="B46" s="35"/>
      <c r="C46" s="36"/>
      <c r="D46" s="45"/>
      <c r="E46" s="34" t="s">
        <v>147</v>
      </c>
    </row>
    <row r="47" spans="1:17" s="33" customFormat="1" x14ac:dyDescent="0.2">
      <c r="B47" s="35"/>
      <c r="C47" s="38"/>
      <c r="D47" s="46"/>
      <c r="E47" s="39" t="s">
        <v>133</v>
      </c>
      <c r="F47" s="39" t="s">
        <v>134</v>
      </c>
      <c r="G47" s="39" t="s">
        <v>135</v>
      </c>
      <c r="H47" s="39" t="s">
        <v>136</v>
      </c>
      <c r="I47" s="39" t="s">
        <v>137</v>
      </c>
      <c r="J47" s="39" t="s">
        <v>138</v>
      </c>
      <c r="K47" s="39" t="s">
        <v>139</v>
      </c>
      <c r="L47" s="39" t="s">
        <v>140</v>
      </c>
      <c r="M47" s="39" t="s">
        <v>141</v>
      </c>
      <c r="N47" s="39" t="s">
        <v>142</v>
      </c>
      <c r="O47" s="39" t="s">
        <v>143</v>
      </c>
      <c r="P47" s="39" t="s">
        <v>144</v>
      </c>
      <c r="Q47" s="39" t="s">
        <v>146</v>
      </c>
    </row>
    <row r="48" spans="1:17" x14ac:dyDescent="0.2">
      <c r="A48" s="33"/>
      <c r="B48" s="31">
        <v>13035</v>
      </c>
      <c r="C48" s="30" t="s">
        <v>67</v>
      </c>
      <c r="D48" s="47" t="s">
        <v>68</v>
      </c>
      <c r="E48" s="256">
        <v>7.34</v>
      </c>
      <c r="F48" s="256"/>
      <c r="G48" s="256">
        <v>0</v>
      </c>
      <c r="H48" s="256">
        <v>0</v>
      </c>
      <c r="I48" s="256">
        <v>0</v>
      </c>
      <c r="J48" s="256">
        <v>0</v>
      </c>
      <c r="K48" s="256">
        <v>0</v>
      </c>
      <c r="L48" s="256">
        <v>0</v>
      </c>
      <c r="M48" s="256">
        <v>0</v>
      </c>
      <c r="N48" s="256">
        <v>0</v>
      </c>
      <c r="O48" s="256">
        <v>0</v>
      </c>
      <c r="P48" s="256">
        <v>0</v>
      </c>
      <c r="Q48" s="256">
        <f>SUM(E48:P48)</f>
        <v>7.34</v>
      </c>
    </row>
    <row r="49" spans="1:17" x14ac:dyDescent="0.2">
      <c r="A49" s="33"/>
      <c r="B49" s="31">
        <v>13060</v>
      </c>
      <c r="C49" s="4" t="s">
        <v>69</v>
      </c>
      <c r="D49" s="48" t="s">
        <v>70</v>
      </c>
      <c r="E49" s="251">
        <v>17.579999999999998</v>
      </c>
      <c r="F49" s="256"/>
      <c r="G49" s="256"/>
      <c r="H49" s="256"/>
      <c r="I49" s="256"/>
      <c r="J49" s="256"/>
      <c r="K49" s="256"/>
      <c r="L49" s="256"/>
      <c r="M49" s="256"/>
      <c r="N49" s="256"/>
      <c r="O49" s="256"/>
      <c r="P49" s="256"/>
      <c r="Q49" s="256">
        <f t="shared" ref="Q49:Q77" si="2">SUM(E49:P49)</f>
        <v>17.579999999999998</v>
      </c>
    </row>
    <row r="50" spans="1:17" x14ac:dyDescent="0.2">
      <c r="A50" s="33"/>
      <c r="B50" s="31">
        <v>13061</v>
      </c>
      <c r="C50" s="6"/>
      <c r="D50" s="48" t="s">
        <v>71</v>
      </c>
      <c r="E50" s="251">
        <v>4.3899999999999997</v>
      </c>
      <c r="F50" s="256"/>
      <c r="G50" s="256"/>
      <c r="H50" s="256"/>
      <c r="I50" s="256"/>
      <c r="J50" s="256"/>
      <c r="K50" s="256"/>
      <c r="L50" s="256"/>
      <c r="M50" s="256"/>
      <c r="N50" s="256"/>
      <c r="O50" s="256"/>
      <c r="P50" s="256"/>
      <c r="Q50" s="256">
        <f t="shared" si="2"/>
        <v>4.3899999999999997</v>
      </c>
    </row>
    <row r="51" spans="1:17" x14ac:dyDescent="0.2">
      <c r="A51" s="33"/>
      <c r="B51" s="31">
        <v>13062</v>
      </c>
      <c r="C51" s="6"/>
      <c r="D51" s="48" t="s">
        <v>72</v>
      </c>
      <c r="E51" s="251">
        <v>5.61</v>
      </c>
      <c r="F51" s="256"/>
      <c r="G51" s="256"/>
      <c r="H51" s="256"/>
      <c r="I51" s="256"/>
      <c r="J51" s="256"/>
      <c r="K51" s="256"/>
      <c r="L51" s="256"/>
      <c r="M51" s="256"/>
      <c r="N51" s="256"/>
      <c r="O51" s="256"/>
      <c r="P51" s="256"/>
      <c r="Q51" s="256">
        <f t="shared" si="2"/>
        <v>5.61</v>
      </c>
    </row>
    <row r="52" spans="1:17" x14ac:dyDescent="0.2">
      <c r="A52" s="33"/>
      <c r="B52" s="31">
        <v>13063</v>
      </c>
      <c r="C52" s="8"/>
      <c r="D52" s="48" t="s">
        <v>73</v>
      </c>
      <c r="E52" s="251">
        <v>28.05</v>
      </c>
      <c r="F52" s="256"/>
      <c r="G52" s="256"/>
      <c r="H52" s="256"/>
      <c r="I52" s="256"/>
      <c r="J52" s="256"/>
      <c r="K52" s="256"/>
      <c r="L52" s="256"/>
      <c r="M52" s="256"/>
      <c r="N52" s="256"/>
      <c r="O52" s="256"/>
      <c r="P52" s="256"/>
      <c r="Q52" s="256">
        <f t="shared" si="2"/>
        <v>28.05</v>
      </c>
    </row>
    <row r="53" spans="1:17" x14ac:dyDescent="0.2">
      <c r="A53" s="33"/>
      <c r="B53" s="32">
        <v>13159</v>
      </c>
      <c r="C53" s="23" t="s">
        <v>75</v>
      </c>
      <c r="D53" s="48" t="s">
        <v>497</v>
      </c>
      <c r="E53" s="251">
        <v>13.49</v>
      </c>
      <c r="F53" s="256"/>
      <c r="G53" s="256"/>
      <c r="H53" s="256"/>
      <c r="I53" s="256"/>
      <c r="J53" s="256"/>
      <c r="K53" s="256"/>
      <c r="L53" s="256"/>
      <c r="M53" s="256"/>
      <c r="N53" s="256"/>
      <c r="O53" s="256"/>
      <c r="P53" s="256"/>
      <c r="Q53" s="256">
        <f t="shared" si="2"/>
        <v>13.49</v>
      </c>
    </row>
    <row r="54" spans="1:17" x14ac:dyDescent="0.2">
      <c r="A54" s="33"/>
      <c r="B54" s="32">
        <v>13121</v>
      </c>
      <c r="C54" s="16" t="s">
        <v>555</v>
      </c>
      <c r="D54" s="48" t="s">
        <v>76</v>
      </c>
      <c r="E54" s="251">
        <v>25.51</v>
      </c>
      <c r="F54" s="256"/>
      <c r="G54" s="256"/>
      <c r="H54" s="256"/>
      <c r="I54" s="256"/>
      <c r="J54" s="256"/>
      <c r="K54" s="256"/>
      <c r="L54" s="256"/>
      <c r="M54" s="256"/>
      <c r="N54" s="256"/>
      <c r="O54" s="256"/>
      <c r="P54" s="256"/>
      <c r="Q54" s="256">
        <f t="shared" si="2"/>
        <v>25.51</v>
      </c>
    </row>
    <row r="55" spans="1:17" x14ac:dyDescent="0.2">
      <c r="A55" s="33"/>
      <c r="B55" s="31">
        <v>13143</v>
      </c>
      <c r="C55" s="4" t="s">
        <v>77</v>
      </c>
      <c r="D55" s="48" t="s">
        <v>78</v>
      </c>
      <c r="E55" s="251">
        <v>12.71</v>
      </c>
      <c r="F55" s="256"/>
      <c r="G55" s="256"/>
      <c r="H55" s="256"/>
      <c r="I55" s="256"/>
      <c r="J55" s="256"/>
      <c r="K55" s="256"/>
      <c r="L55" s="256"/>
      <c r="M55" s="256"/>
      <c r="N55" s="256"/>
      <c r="O55" s="256"/>
      <c r="P55" s="256"/>
      <c r="Q55" s="256">
        <f t="shared" si="2"/>
        <v>12.71</v>
      </c>
    </row>
    <row r="56" spans="1:17" x14ac:dyDescent="0.2">
      <c r="A56" s="33"/>
      <c r="B56" s="31">
        <v>13144</v>
      </c>
      <c r="C56" s="8"/>
      <c r="D56" s="48" t="s">
        <v>79</v>
      </c>
      <c r="E56" s="251">
        <v>20.95</v>
      </c>
      <c r="F56" s="256"/>
      <c r="G56" s="256"/>
      <c r="H56" s="256"/>
      <c r="I56" s="256"/>
      <c r="J56" s="256"/>
      <c r="K56" s="256"/>
      <c r="L56" s="256"/>
      <c r="M56" s="256"/>
      <c r="N56" s="256"/>
      <c r="O56" s="256"/>
      <c r="P56" s="256"/>
      <c r="Q56" s="256">
        <f t="shared" si="2"/>
        <v>20.95</v>
      </c>
    </row>
    <row r="57" spans="1:17" x14ac:dyDescent="0.2">
      <c r="A57" s="33"/>
      <c r="B57" s="31">
        <v>13079</v>
      </c>
      <c r="C57" s="23" t="s">
        <v>80</v>
      </c>
      <c r="D57" s="48" t="s">
        <v>81</v>
      </c>
      <c r="E57" s="251">
        <v>17.95</v>
      </c>
      <c r="F57" s="256"/>
      <c r="G57" s="256"/>
      <c r="H57" s="256"/>
      <c r="I57" s="256"/>
      <c r="J57" s="256"/>
      <c r="K57" s="256"/>
      <c r="L57" s="256"/>
      <c r="M57" s="256"/>
      <c r="N57" s="256"/>
      <c r="O57" s="256"/>
      <c r="P57" s="256"/>
      <c r="Q57" s="256">
        <f t="shared" si="2"/>
        <v>17.95</v>
      </c>
    </row>
    <row r="58" spans="1:17" x14ac:dyDescent="0.2">
      <c r="A58" s="33"/>
      <c r="B58" s="31">
        <v>13038</v>
      </c>
      <c r="C58" s="257" t="s">
        <v>82</v>
      </c>
      <c r="D58" s="48" t="s">
        <v>83</v>
      </c>
      <c r="E58" s="251">
        <v>43.24</v>
      </c>
      <c r="F58" s="256"/>
      <c r="G58" s="256"/>
      <c r="H58" s="256"/>
      <c r="I58" s="256"/>
      <c r="J58" s="256"/>
      <c r="K58" s="256"/>
      <c r="L58" s="256"/>
      <c r="M58" s="256"/>
      <c r="N58" s="256"/>
      <c r="O58" s="256"/>
      <c r="P58" s="256"/>
      <c r="Q58" s="256">
        <f t="shared" si="2"/>
        <v>43.24</v>
      </c>
    </row>
    <row r="59" spans="1:17" x14ac:dyDescent="0.2">
      <c r="A59" s="33"/>
      <c r="B59" s="31">
        <v>13032</v>
      </c>
      <c r="C59" s="10" t="s">
        <v>557</v>
      </c>
      <c r="D59" s="48" t="s">
        <v>85</v>
      </c>
      <c r="E59" s="251">
        <v>18.03</v>
      </c>
      <c r="F59" s="256"/>
      <c r="G59" s="256"/>
      <c r="H59" s="256"/>
      <c r="I59" s="256"/>
      <c r="J59" s="256"/>
      <c r="K59" s="256"/>
      <c r="L59" s="256"/>
      <c r="M59" s="256"/>
      <c r="N59" s="256"/>
      <c r="O59" s="256"/>
      <c r="P59" s="256"/>
      <c r="Q59" s="256">
        <f t="shared" si="2"/>
        <v>18.03</v>
      </c>
    </row>
    <row r="60" spans="1:17" x14ac:dyDescent="0.2">
      <c r="A60" s="33"/>
      <c r="B60" s="31">
        <v>13037</v>
      </c>
      <c r="C60" s="22"/>
      <c r="D60" s="48" t="s">
        <v>86</v>
      </c>
      <c r="E60" s="251">
        <v>18.03</v>
      </c>
      <c r="F60" s="256"/>
      <c r="G60" s="256"/>
      <c r="H60" s="256"/>
      <c r="I60" s="256"/>
      <c r="J60" s="256"/>
      <c r="K60" s="256"/>
      <c r="L60" s="256"/>
      <c r="M60" s="256"/>
      <c r="N60" s="256"/>
      <c r="O60" s="256"/>
      <c r="P60" s="256"/>
      <c r="Q60" s="256">
        <f t="shared" si="2"/>
        <v>18.03</v>
      </c>
    </row>
    <row r="61" spans="1:17" x14ac:dyDescent="0.2">
      <c r="A61" s="33"/>
      <c r="B61" s="32">
        <v>13154</v>
      </c>
      <c r="C61" s="13" t="s">
        <v>87</v>
      </c>
      <c r="D61" s="48" t="s">
        <v>88</v>
      </c>
      <c r="E61" s="251">
        <v>3.2</v>
      </c>
      <c r="F61" s="256"/>
      <c r="G61" s="256"/>
      <c r="H61" s="256"/>
      <c r="I61" s="256"/>
      <c r="J61" s="256"/>
      <c r="K61" s="256"/>
      <c r="L61" s="256"/>
      <c r="M61" s="256"/>
      <c r="N61" s="256"/>
      <c r="O61" s="256"/>
      <c r="P61" s="256"/>
      <c r="Q61" s="256">
        <f t="shared" si="2"/>
        <v>3.2</v>
      </c>
    </row>
    <row r="62" spans="1:17" x14ac:dyDescent="0.2">
      <c r="A62" s="33"/>
      <c r="B62" s="32">
        <v>13155</v>
      </c>
      <c r="C62" s="253"/>
      <c r="D62" s="48" t="s">
        <v>89</v>
      </c>
      <c r="E62" s="251">
        <v>2.2799999999999998</v>
      </c>
      <c r="F62" s="256"/>
      <c r="G62" s="256"/>
      <c r="H62" s="256"/>
      <c r="I62" s="256"/>
      <c r="J62" s="256"/>
      <c r="K62" s="256"/>
      <c r="L62" s="256"/>
      <c r="M62" s="256"/>
      <c r="N62" s="256"/>
      <c r="O62" s="256"/>
      <c r="P62" s="256"/>
      <c r="Q62" s="256">
        <f t="shared" si="2"/>
        <v>2.2799999999999998</v>
      </c>
    </row>
    <row r="63" spans="1:17" x14ac:dyDescent="0.2">
      <c r="A63" s="33"/>
      <c r="B63" s="32">
        <v>13152</v>
      </c>
      <c r="C63" s="253"/>
      <c r="D63" s="48" t="s">
        <v>90</v>
      </c>
      <c r="E63" s="251">
        <v>3.2</v>
      </c>
      <c r="F63" s="256"/>
      <c r="G63" s="256"/>
      <c r="H63" s="256"/>
      <c r="I63" s="256"/>
      <c r="J63" s="256"/>
      <c r="K63" s="256"/>
      <c r="L63" s="256"/>
      <c r="M63" s="256"/>
      <c r="N63" s="256"/>
      <c r="O63" s="256"/>
      <c r="P63" s="256"/>
      <c r="Q63" s="256">
        <f t="shared" si="2"/>
        <v>3.2</v>
      </c>
    </row>
    <row r="64" spans="1:17" x14ac:dyDescent="0.2">
      <c r="A64" s="33"/>
      <c r="B64" s="32">
        <v>13153</v>
      </c>
      <c r="C64" s="253"/>
      <c r="D64" s="48" t="s">
        <v>91</v>
      </c>
      <c r="E64" s="251">
        <v>2.2799999999999998</v>
      </c>
      <c r="F64" s="256"/>
      <c r="G64" s="256"/>
      <c r="H64" s="256"/>
      <c r="I64" s="256"/>
      <c r="J64" s="256"/>
      <c r="K64" s="256"/>
      <c r="L64" s="256"/>
      <c r="M64" s="256"/>
      <c r="N64" s="256"/>
      <c r="O64" s="256"/>
      <c r="P64" s="256"/>
      <c r="Q64" s="256">
        <f t="shared" si="2"/>
        <v>2.2799999999999998</v>
      </c>
    </row>
    <row r="65" spans="1:17" x14ac:dyDescent="0.2">
      <c r="A65" s="33"/>
      <c r="B65" s="32">
        <v>13157</v>
      </c>
      <c r="C65" s="253"/>
      <c r="D65" s="48" t="s">
        <v>92</v>
      </c>
      <c r="E65" s="251">
        <v>3.2</v>
      </c>
      <c r="F65" s="256"/>
      <c r="G65" s="256"/>
      <c r="H65" s="256"/>
      <c r="I65" s="256"/>
      <c r="J65" s="256"/>
      <c r="K65" s="256"/>
      <c r="L65" s="256"/>
      <c r="M65" s="256"/>
      <c r="N65" s="256"/>
      <c r="O65" s="256"/>
      <c r="P65" s="256"/>
      <c r="Q65" s="256">
        <f t="shared" si="2"/>
        <v>3.2</v>
      </c>
    </row>
    <row r="66" spans="1:17" x14ac:dyDescent="0.2">
      <c r="A66" s="33"/>
      <c r="B66" s="32">
        <v>13149</v>
      </c>
      <c r="C66" s="253"/>
      <c r="D66" s="48" t="s">
        <v>93</v>
      </c>
      <c r="E66" s="251">
        <v>3.58</v>
      </c>
      <c r="F66" s="256"/>
      <c r="G66" s="256"/>
      <c r="H66" s="256"/>
      <c r="I66" s="256"/>
      <c r="J66" s="256"/>
      <c r="K66" s="256"/>
      <c r="L66" s="256"/>
      <c r="M66" s="256"/>
      <c r="N66" s="256"/>
      <c r="O66" s="256"/>
      <c r="P66" s="256"/>
      <c r="Q66" s="256">
        <f t="shared" si="2"/>
        <v>3.58</v>
      </c>
    </row>
    <row r="67" spans="1:17" x14ac:dyDescent="0.2">
      <c r="A67" s="33"/>
      <c r="B67" s="32">
        <v>13150</v>
      </c>
      <c r="C67" s="253"/>
      <c r="D67" s="48" t="s">
        <v>94</v>
      </c>
      <c r="E67" s="251">
        <v>3.58</v>
      </c>
      <c r="F67" s="256"/>
      <c r="G67" s="256"/>
      <c r="H67" s="256"/>
      <c r="I67" s="256"/>
      <c r="J67" s="256"/>
      <c r="K67" s="256"/>
      <c r="L67" s="256"/>
      <c r="M67" s="256"/>
      <c r="N67" s="256"/>
      <c r="O67" s="256"/>
      <c r="P67" s="256"/>
      <c r="Q67" s="256">
        <f t="shared" si="2"/>
        <v>3.58</v>
      </c>
    </row>
    <row r="68" spans="1:17" x14ac:dyDescent="0.2">
      <c r="A68" s="33"/>
      <c r="B68" s="32">
        <v>13108</v>
      </c>
      <c r="C68" s="253"/>
      <c r="D68" s="48" t="s">
        <v>95</v>
      </c>
      <c r="E68" s="251">
        <v>2.5499999999999998</v>
      </c>
      <c r="F68" s="256"/>
      <c r="G68" s="256"/>
      <c r="H68" s="256"/>
      <c r="I68" s="256"/>
      <c r="J68" s="256"/>
      <c r="K68" s="256"/>
      <c r="L68" s="256"/>
      <c r="M68" s="256"/>
      <c r="N68" s="256"/>
      <c r="O68" s="256"/>
      <c r="P68" s="256"/>
      <c r="Q68" s="256">
        <f t="shared" si="2"/>
        <v>2.5499999999999998</v>
      </c>
    </row>
    <row r="69" spans="1:17" x14ac:dyDescent="0.2">
      <c r="A69" s="33"/>
      <c r="B69" s="32">
        <v>13151</v>
      </c>
      <c r="C69" s="13"/>
      <c r="D69" s="48" t="s">
        <v>96</v>
      </c>
      <c r="E69" s="251">
        <v>2.5499999999999998</v>
      </c>
      <c r="F69" s="256"/>
      <c r="G69" s="256"/>
      <c r="H69" s="256"/>
      <c r="I69" s="256"/>
      <c r="J69" s="256"/>
      <c r="K69" s="256"/>
      <c r="L69" s="256"/>
      <c r="M69" s="256"/>
      <c r="N69" s="256"/>
      <c r="O69" s="256"/>
      <c r="P69" s="256"/>
      <c r="Q69" s="256">
        <f t="shared" si="2"/>
        <v>2.5499999999999998</v>
      </c>
    </row>
    <row r="70" spans="1:17" x14ac:dyDescent="0.2">
      <c r="A70" s="33"/>
      <c r="B70" s="31">
        <v>13093</v>
      </c>
      <c r="C70" s="10"/>
      <c r="D70" s="49" t="s">
        <v>97</v>
      </c>
      <c r="E70" s="251">
        <v>7.2</v>
      </c>
      <c r="F70" s="256"/>
      <c r="G70" s="256"/>
      <c r="H70" s="256"/>
      <c r="I70" s="256"/>
      <c r="J70" s="256"/>
      <c r="K70" s="256"/>
      <c r="L70" s="256"/>
      <c r="M70" s="256"/>
      <c r="N70" s="256"/>
      <c r="O70" s="256"/>
      <c r="P70" s="256"/>
      <c r="Q70" s="256">
        <f t="shared" si="2"/>
        <v>7.2</v>
      </c>
    </row>
    <row r="71" spans="1:17" x14ac:dyDescent="0.2">
      <c r="A71" s="33"/>
      <c r="B71" s="31">
        <v>13091</v>
      </c>
      <c r="C71" s="10"/>
      <c r="D71" s="49" t="s">
        <v>98</v>
      </c>
      <c r="E71" s="251">
        <v>7.2</v>
      </c>
      <c r="F71" s="256"/>
      <c r="G71" s="256"/>
      <c r="H71" s="256"/>
      <c r="I71" s="256"/>
      <c r="J71" s="256"/>
      <c r="K71" s="256"/>
      <c r="L71" s="256"/>
      <c r="M71" s="256"/>
      <c r="N71" s="256"/>
      <c r="O71" s="256"/>
      <c r="P71" s="256"/>
      <c r="Q71" s="256">
        <f t="shared" si="2"/>
        <v>7.2</v>
      </c>
    </row>
    <row r="72" spans="1:17" x14ac:dyDescent="0.2">
      <c r="A72" s="33"/>
      <c r="B72" s="31">
        <v>13089</v>
      </c>
      <c r="C72" s="22"/>
      <c r="D72" s="49" t="s">
        <v>99</v>
      </c>
      <c r="E72" s="251">
        <v>7.2</v>
      </c>
      <c r="F72" s="256"/>
      <c r="G72" s="256"/>
      <c r="H72" s="256"/>
      <c r="I72" s="256"/>
      <c r="J72" s="256"/>
      <c r="K72" s="256"/>
      <c r="L72" s="256"/>
      <c r="M72" s="256"/>
      <c r="N72" s="256"/>
      <c r="O72" s="256"/>
      <c r="P72" s="256"/>
      <c r="Q72" s="256">
        <f t="shared" si="2"/>
        <v>7.2</v>
      </c>
    </row>
    <row r="73" spans="1:17" x14ac:dyDescent="0.2">
      <c r="A73" s="33"/>
      <c r="B73" s="31">
        <v>13015</v>
      </c>
      <c r="C73" s="20" t="s">
        <v>103</v>
      </c>
      <c r="D73" s="47" t="s">
        <v>104</v>
      </c>
      <c r="E73" s="251">
        <v>6.73</v>
      </c>
      <c r="F73" s="256"/>
      <c r="G73" s="256"/>
      <c r="H73" s="256"/>
      <c r="I73" s="256"/>
      <c r="J73" s="256"/>
      <c r="K73" s="256"/>
      <c r="L73" s="256"/>
      <c r="M73" s="256"/>
      <c r="N73" s="256"/>
      <c r="O73" s="256"/>
      <c r="P73" s="256"/>
      <c r="Q73" s="256">
        <f t="shared" si="2"/>
        <v>6.73</v>
      </c>
    </row>
    <row r="74" spans="1:17" x14ac:dyDescent="0.2">
      <c r="A74" s="33"/>
      <c r="B74" s="31">
        <v>13023</v>
      </c>
      <c r="C74" s="17"/>
      <c r="D74" s="263" t="s">
        <v>105</v>
      </c>
      <c r="E74" s="251">
        <v>7.93</v>
      </c>
      <c r="F74" s="256"/>
      <c r="G74" s="256"/>
      <c r="H74" s="256"/>
      <c r="I74" s="256"/>
      <c r="J74" s="256"/>
      <c r="K74" s="256"/>
      <c r="L74" s="256"/>
      <c r="M74" s="256"/>
      <c r="N74" s="256"/>
      <c r="O74" s="256"/>
      <c r="P74" s="256"/>
      <c r="Q74" s="256">
        <f t="shared" si="2"/>
        <v>7.93</v>
      </c>
    </row>
    <row r="75" spans="1:17" x14ac:dyDescent="0.2">
      <c r="A75" s="33"/>
      <c r="B75" s="31">
        <v>13145</v>
      </c>
      <c r="C75" s="4" t="s">
        <v>106</v>
      </c>
      <c r="D75" s="49" t="s">
        <v>107</v>
      </c>
      <c r="E75" s="251">
        <v>9.19</v>
      </c>
      <c r="F75" s="256"/>
      <c r="G75" s="256"/>
      <c r="H75" s="256"/>
      <c r="I75" s="256"/>
      <c r="J75" s="256"/>
      <c r="K75" s="256"/>
      <c r="L75" s="256"/>
      <c r="M75" s="256"/>
      <c r="N75" s="256"/>
      <c r="O75" s="256"/>
      <c r="P75" s="256"/>
      <c r="Q75" s="256">
        <f t="shared" si="2"/>
        <v>9.19</v>
      </c>
    </row>
    <row r="76" spans="1:17" x14ac:dyDescent="0.2">
      <c r="A76" s="33"/>
      <c r="B76" s="31">
        <v>13087</v>
      </c>
      <c r="C76" s="9" t="s">
        <v>108</v>
      </c>
      <c r="D76" s="49" t="s">
        <v>109</v>
      </c>
      <c r="E76" s="251">
        <v>4.25</v>
      </c>
      <c r="F76" s="256"/>
      <c r="G76" s="256"/>
      <c r="H76" s="256"/>
      <c r="I76" s="256"/>
      <c r="J76" s="256"/>
      <c r="K76" s="256"/>
      <c r="L76" s="256"/>
      <c r="M76" s="256"/>
      <c r="N76" s="256"/>
      <c r="O76" s="256"/>
      <c r="P76" s="256"/>
      <c r="Q76" s="256">
        <f t="shared" si="2"/>
        <v>4.25</v>
      </c>
    </row>
    <row r="77" spans="1:17" ht="13.5" thickBot="1" x14ac:dyDescent="0.25">
      <c r="A77" s="33"/>
      <c r="B77" s="31">
        <v>13085</v>
      </c>
      <c r="C77" s="10"/>
      <c r="D77" s="51" t="s">
        <v>110</v>
      </c>
      <c r="E77" s="251">
        <v>12.75</v>
      </c>
      <c r="F77" s="256"/>
      <c r="G77" s="256"/>
      <c r="H77" s="256"/>
      <c r="I77" s="256"/>
      <c r="J77" s="256"/>
      <c r="K77" s="256"/>
      <c r="L77" s="256"/>
      <c r="M77" s="256"/>
      <c r="N77" s="256"/>
      <c r="O77" s="256"/>
      <c r="P77" s="256"/>
      <c r="Q77" s="256">
        <f t="shared" si="2"/>
        <v>12.75</v>
      </c>
    </row>
    <row r="78" spans="1:17" x14ac:dyDescent="0.2">
      <c r="A78" s="33"/>
      <c r="B78" s="3"/>
      <c r="C78" s="27"/>
      <c r="D78" s="55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</row>
    <row r="79" spans="1:17" x14ac:dyDescent="0.2">
      <c r="A79" s="33"/>
      <c r="B79" s="3"/>
      <c r="C79" s="28"/>
      <c r="D79" s="56" t="s">
        <v>150</v>
      </c>
      <c r="E79" s="58">
        <f t="shared" ref="E79:Q79" si="3">SUM(E48:E77)</f>
        <v>321.75</v>
      </c>
      <c r="F79" s="58">
        <f t="shared" si="3"/>
        <v>0</v>
      </c>
      <c r="G79" s="58">
        <f t="shared" si="3"/>
        <v>0</v>
      </c>
      <c r="H79" s="58">
        <f t="shared" si="3"/>
        <v>0</v>
      </c>
      <c r="I79" s="58">
        <f t="shared" si="3"/>
        <v>0</v>
      </c>
      <c r="J79" s="58">
        <f t="shared" si="3"/>
        <v>0</v>
      </c>
      <c r="K79" s="58">
        <f t="shared" si="3"/>
        <v>0</v>
      </c>
      <c r="L79" s="58">
        <f t="shared" si="3"/>
        <v>0</v>
      </c>
      <c r="M79" s="58">
        <f t="shared" si="3"/>
        <v>0</v>
      </c>
      <c r="N79" s="58">
        <f t="shared" si="3"/>
        <v>0</v>
      </c>
      <c r="O79" s="58">
        <f t="shared" si="3"/>
        <v>0</v>
      </c>
      <c r="P79" s="58">
        <f t="shared" si="3"/>
        <v>0</v>
      </c>
      <c r="Q79" s="58">
        <f t="shared" si="3"/>
        <v>321.75</v>
      </c>
    </row>
    <row r="80" spans="1:17" ht="13.5" thickBot="1" x14ac:dyDescent="0.25">
      <c r="A80" s="33"/>
      <c r="B80" s="3"/>
      <c r="C80" s="29"/>
      <c r="D80" s="57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58"/>
    </row>
    <row r="81" spans="1:17" s="33" customFormat="1" ht="13.5" thickBot="1" x14ac:dyDescent="0.25">
      <c r="B81" s="35"/>
      <c r="C81" s="36"/>
      <c r="D81" s="45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</row>
    <row r="82" spans="1:17" x14ac:dyDescent="0.2">
      <c r="A82" s="33"/>
      <c r="B82" s="3"/>
      <c r="C82" s="27"/>
      <c r="D82" s="55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</row>
    <row r="83" spans="1:17" x14ac:dyDescent="0.2">
      <c r="A83" s="33"/>
      <c r="B83" s="3"/>
      <c r="C83" s="490" t="s">
        <v>151</v>
      </c>
      <c r="D83" s="491"/>
      <c r="E83" s="58">
        <f t="shared" ref="E83:Q83" si="4">SUM(E39,E79)</f>
        <v>870.75</v>
      </c>
      <c r="F83" s="58">
        <f t="shared" si="4"/>
        <v>0</v>
      </c>
      <c r="G83" s="58">
        <f t="shared" si="4"/>
        <v>0</v>
      </c>
      <c r="H83" s="58">
        <f t="shared" si="4"/>
        <v>0</v>
      </c>
      <c r="I83" s="58">
        <f t="shared" si="4"/>
        <v>0</v>
      </c>
      <c r="J83" s="58">
        <f t="shared" si="4"/>
        <v>0</v>
      </c>
      <c r="K83" s="58">
        <f t="shared" si="4"/>
        <v>0</v>
      </c>
      <c r="L83" s="58">
        <f t="shared" si="4"/>
        <v>0</v>
      </c>
      <c r="M83" s="58">
        <f t="shared" si="4"/>
        <v>0</v>
      </c>
      <c r="N83" s="58">
        <f t="shared" si="4"/>
        <v>0</v>
      </c>
      <c r="O83" s="58">
        <f t="shared" si="4"/>
        <v>0</v>
      </c>
      <c r="P83" s="58">
        <f t="shared" si="4"/>
        <v>0</v>
      </c>
      <c r="Q83" s="58">
        <f t="shared" si="4"/>
        <v>870.75</v>
      </c>
    </row>
    <row r="84" spans="1:17" ht="13.5" thickBot="1" x14ac:dyDescent="0.25">
      <c r="A84" s="33"/>
      <c r="B84" s="3"/>
      <c r="C84" s="29"/>
      <c r="D84" s="57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</row>
    <row r="85" spans="1:17" s="53" customFormat="1" x14ac:dyDescent="0.2">
      <c r="D85" s="54"/>
    </row>
    <row r="86" spans="1:17" s="53" customFormat="1" x14ac:dyDescent="0.2">
      <c r="D86" s="54"/>
    </row>
    <row r="87" spans="1:17" s="53" customFormat="1" x14ac:dyDescent="0.2">
      <c r="D87" s="54"/>
    </row>
    <row r="88" spans="1:17" s="53" customFormat="1" x14ac:dyDescent="0.2">
      <c r="D88" s="54"/>
    </row>
    <row r="89" spans="1:17" s="53" customFormat="1" x14ac:dyDescent="0.2">
      <c r="D89" s="54"/>
    </row>
    <row r="90" spans="1:17" s="53" customFormat="1" x14ac:dyDescent="0.2">
      <c r="D90" s="54"/>
    </row>
    <row r="91" spans="1:17" s="53" customFormat="1" x14ac:dyDescent="0.2">
      <c r="D91" s="54"/>
    </row>
    <row r="92" spans="1:17" s="53" customFormat="1" x14ac:dyDescent="0.2">
      <c r="D92" s="54"/>
    </row>
    <row r="93" spans="1:17" s="53" customFormat="1" x14ac:dyDescent="0.2">
      <c r="D93" s="54"/>
    </row>
  </sheetData>
  <mergeCells count="1">
    <mergeCell ref="C83:D8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fitToPage="1"/>
  </sheetPr>
  <dimension ref="A1:Q111"/>
  <sheetViews>
    <sheetView topLeftCell="A52" zoomScale="90" zoomScaleNormal="90" workbookViewId="0">
      <selection activeCell="G98" sqref="G98"/>
    </sheetView>
  </sheetViews>
  <sheetFormatPr baseColWidth="10" defaultRowHeight="12.75" x14ac:dyDescent="0.2"/>
  <cols>
    <col min="1" max="1" width="0.7109375" style="53" customWidth="1"/>
    <col min="2" max="2" width="7.42578125" style="1" customWidth="1"/>
    <col min="3" max="3" width="11.42578125" style="1"/>
    <col min="4" max="4" width="33.5703125" style="52" customWidth="1"/>
    <col min="5" max="5" width="11.42578125" style="1"/>
    <col min="6" max="6" width="10.5703125" style="1" customWidth="1"/>
    <col min="7" max="16384" width="11.42578125" style="1"/>
  </cols>
  <sheetData>
    <row r="1" spans="1:17" s="33" customFormat="1" x14ac:dyDescent="0.2">
      <c r="D1" s="40"/>
      <c r="E1" s="34" t="s">
        <v>145</v>
      </c>
    </row>
    <row r="2" spans="1:17" x14ac:dyDescent="0.2">
      <c r="A2" s="33"/>
      <c r="B2" s="33"/>
      <c r="C2" s="33"/>
      <c r="D2" s="40"/>
      <c r="E2" s="286">
        <v>1</v>
      </c>
      <c r="F2" s="286">
        <v>2</v>
      </c>
      <c r="G2" s="286">
        <v>3</v>
      </c>
      <c r="H2" s="286">
        <v>4</v>
      </c>
      <c r="I2" s="286">
        <v>5</v>
      </c>
      <c r="J2" s="286">
        <v>6</v>
      </c>
      <c r="K2" s="286">
        <v>7</v>
      </c>
      <c r="L2" s="286">
        <v>8</v>
      </c>
      <c r="M2" s="286">
        <v>9</v>
      </c>
      <c r="N2" s="286">
        <v>10</v>
      </c>
      <c r="O2" s="286">
        <v>11</v>
      </c>
      <c r="P2" s="286">
        <v>12</v>
      </c>
      <c r="Q2" s="2" t="s">
        <v>146</v>
      </c>
    </row>
    <row r="3" spans="1:17" s="33" customFormat="1" x14ac:dyDescent="0.2">
      <c r="D3" s="40"/>
    </row>
    <row r="4" spans="1:17" x14ac:dyDescent="0.2">
      <c r="A4" s="33"/>
      <c r="B4" s="31">
        <v>13017</v>
      </c>
      <c r="C4" s="4" t="s">
        <v>5</v>
      </c>
      <c r="D4" s="41" t="s">
        <v>6</v>
      </c>
      <c r="E4" s="250">
        <v>2.4060000000000001</v>
      </c>
      <c r="F4" s="250">
        <v>2.4060000000000001</v>
      </c>
      <c r="G4" s="250">
        <v>2.4060000000000001</v>
      </c>
      <c r="H4" s="250">
        <v>2.4060000000000001</v>
      </c>
      <c r="I4" s="250">
        <v>2.4060000000000001</v>
      </c>
      <c r="J4" s="250">
        <v>2.4060000000000001</v>
      </c>
      <c r="K4" s="250">
        <v>2.4060000000000001</v>
      </c>
      <c r="L4" s="250">
        <v>2.4060000000000001</v>
      </c>
      <c r="M4" s="250">
        <v>2.4060000000000001</v>
      </c>
      <c r="N4" s="250">
        <v>2.4060000000000001</v>
      </c>
      <c r="O4" s="250">
        <v>2.4060000000000001</v>
      </c>
      <c r="P4" s="250">
        <v>2.4060000000000001</v>
      </c>
      <c r="Q4" s="256">
        <f t="shared" ref="Q4:Q48" si="0">SUM(E4:P4)</f>
        <v>28.871999999999996</v>
      </c>
    </row>
    <row r="5" spans="1:17" x14ac:dyDescent="0.2">
      <c r="A5" s="33"/>
      <c r="B5" s="31">
        <v>13016</v>
      </c>
      <c r="C5" s="6"/>
      <c r="D5" s="41" t="s">
        <v>7</v>
      </c>
      <c r="E5" s="250">
        <v>2.0718000000000001</v>
      </c>
      <c r="F5" s="250">
        <v>2.0718000000000001</v>
      </c>
      <c r="G5" s="250">
        <v>2.0718000000000001</v>
      </c>
      <c r="H5" s="250">
        <v>2.0718000000000001</v>
      </c>
      <c r="I5" s="250">
        <v>2.0718000000000001</v>
      </c>
      <c r="J5" s="250">
        <v>2.0718000000000001</v>
      </c>
      <c r="K5" s="250">
        <v>2.0718000000000001</v>
      </c>
      <c r="L5" s="250">
        <v>2.0718000000000001</v>
      </c>
      <c r="M5" s="250">
        <v>2.0718000000000001</v>
      </c>
      <c r="N5" s="250">
        <v>2.0718000000000001</v>
      </c>
      <c r="O5" s="250">
        <v>2.0718000000000001</v>
      </c>
      <c r="P5" s="250">
        <v>2.0718000000000001</v>
      </c>
      <c r="Q5" s="256">
        <f t="shared" si="0"/>
        <v>24.861599999999999</v>
      </c>
    </row>
    <row r="6" spans="1:17" x14ac:dyDescent="0.2">
      <c r="A6" s="33"/>
      <c r="B6" s="32">
        <v>13078</v>
      </c>
      <c r="C6" s="9" t="s">
        <v>8</v>
      </c>
      <c r="D6" s="41" t="s">
        <v>9</v>
      </c>
      <c r="E6" s="250">
        <v>20.060600000000001</v>
      </c>
      <c r="F6" s="250">
        <v>20.060600000000001</v>
      </c>
      <c r="G6" s="250">
        <v>20.060600000000001</v>
      </c>
      <c r="H6" s="250">
        <v>20.060600000000001</v>
      </c>
      <c r="I6" s="250">
        <v>20.060600000000001</v>
      </c>
      <c r="J6" s="250">
        <v>20.060600000000001</v>
      </c>
      <c r="K6" s="250">
        <v>20.060600000000001</v>
      </c>
      <c r="L6" s="250">
        <v>20.060600000000001</v>
      </c>
      <c r="M6" s="250">
        <v>20.060600000000001</v>
      </c>
      <c r="N6" s="250">
        <v>20.060600000000001</v>
      </c>
      <c r="O6" s="250">
        <v>20.060600000000001</v>
      </c>
      <c r="P6" s="250">
        <v>20.060600000000001</v>
      </c>
      <c r="Q6" s="256">
        <f t="shared" si="0"/>
        <v>240.72719999999995</v>
      </c>
    </row>
    <row r="7" spans="1:17" x14ac:dyDescent="0.2">
      <c r="A7" s="33"/>
      <c r="B7" s="31">
        <v>13120</v>
      </c>
      <c r="C7" s="10"/>
      <c r="D7" s="41" t="s">
        <v>10</v>
      </c>
      <c r="E7" s="250">
        <v>21.0899</v>
      </c>
      <c r="F7" s="250">
        <v>21.0899</v>
      </c>
      <c r="G7" s="250">
        <v>21.0899</v>
      </c>
      <c r="H7" s="250">
        <v>21.0899</v>
      </c>
      <c r="I7" s="250">
        <v>21.0899</v>
      </c>
      <c r="J7" s="250">
        <v>21.0899</v>
      </c>
      <c r="K7" s="250">
        <v>21.0899</v>
      </c>
      <c r="L7" s="250">
        <v>21.0899</v>
      </c>
      <c r="M7" s="250">
        <v>21.0899</v>
      </c>
      <c r="N7" s="250">
        <v>21.0899</v>
      </c>
      <c r="O7" s="250">
        <v>21.0899</v>
      </c>
      <c r="P7" s="250">
        <v>21.0899</v>
      </c>
      <c r="Q7" s="256">
        <f t="shared" si="0"/>
        <v>253.0788</v>
      </c>
    </row>
    <row r="8" spans="1:17" x14ac:dyDescent="0.2">
      <c r="A8" s="33"/>
      <c r="B8" s="31">
        <v>13053</v>
      </c>
      <c r="C8" s="11"/>
      <c r="D8" s="41" t="s">
        <v>11</v>
      </c>
      <c r="E8" s="250">
        <v>29.9421</v>
      </c>
      <c r="F8" s="250">
        <v>29.9421</v>
      </c>
      <c r="G8" s="250">
        <v>29.9421</v>
      </c>
      <c r="H8" s="250">
        <v>29.9421</v>
      </c>
      <c r="I8" s="250">
        <v>29.9421</v>
      </c>
      <c r="J8" s="250">
        <v>29.9421</v>
      </c>
      <c r="K8" s="250">
        <v>29.9421</v>
      </c>
      <c r="L8" s="250">
        <v>29.9421</v>
      </c>
      <c r="M8" s="250">
        <v>29.9421</v>
      </c>
      <c r="N8" s="250">
        <v>29.9421</v>
      </c>
      <c r="O8" s="250">
        <v>29.9421</v>
      </c>
      <c r="P8" s="250">
        <v>29.9421</v>
      </c>
      <c r="Q8" s="256">
        <f t="shared" si="0"/>
        <v>359.30519999999996</v>
      </c>
    </row>
    <row r="9" spans="1:17" x14ac:dyDescent="0.2">
      <c r="A9" s="33"/>
      <c r="B9" s="31">
        <v>13022</v>
      </c>
      <c r="C9" s="4" t="s">
        <v>12</v>
      </c>
      <c r="D9" s="41" t="s">
        <v>13</v>
      </c>
      <c r="E9" s="250">
        <v>4.6424279999999998</v>
      </c>
      <c r="F9" s="250">
        <v>4.6424279999999998</v>
      </c>
      <c r="G9" s="250">
        <v>4.6424279999999998</v>
      </c>
      <c r="H9" s="250">
        <v>4.6424279999999998</v>
      </c>
      <c r="I9" s="250">
        <v>4.6424279999999998</v>
      </c>
      <c r="J9" s="250">
        <v>4.6424279999999998</v>
      </c>
      <c r="K9" s="250">
        <v>4.6424279999999998</v>
      </c>
      <c r="L9" s="250">
        <v>4.6424279999999998</v>
      </c>
      <c r="M9" s="250">
        <v>4.6424279999999998</v>
      </c>
      <c r="N9" s="250">
        <v>4.6424279999999998</v>
      </c>
      <c r="O9" s="250">
        <v>4.6424279999999998</v>
      </c>
      <c r="P9" s="250">
        <v>4.6424279999999998</v>
      </c>
      <c r="Q9" s="256">
        <f t="shared" si="0"/>
        <v>55.709136000000008</v>
      </c>
    </row>
    <row r="10" spans="1:17" x14ac:dyDescent="0.2">
      <c r="A10" s="33"/>
      <c r="B10" s="260">
        <v>13163</v>
      </c>
      <c r="C10" s="4" t="s">
        <v>14</v>
      </c>
      <c r="D10" s="42" t="s">
        <v>573</v>
      </c>
      <c r="E10" s="250">
        <v>10.52</v>
      </c>
      <c r="F10" s="250">
        <v>10.52</v>
      </c>
      <c r="G10" s="250">
        <v>10.52</v>
      </c>
      <c r="H10" s="250">
        <v>10.52</v>
      </c>
      <c r="I10" s="250">
        <v>10.52</v>
      </c>
      <c r="J10" s="250">
        <v>10.52</v>
      </c>
      <c r="K10" s="250">
        <v>10.52</v>
      </c>
      <c r="L10" s="250">
        <v>10.52</v>
      </c>
      <c r="M10" s="250">
        <v>10.52</v>
      </c>
      <c r="N10" s="250">
        <v>10.52</v>
      </c>
      <c r="O10" s="250">
        <v>10.52</v>
      </c>
      <c r="P10" s="250">
        <v>10.52</v>
      </c>
      <c r="Q10" s="256">
        <f t="shared" si="0"/>
        <v>126.23999999999997</v>
      </c>
    </row>
    <row r="11" spans="1:17" x14ac:dyDescent="0.2">
      <c r="A11" s="33"/>
      <c r="B11" s="260">
        <v>13164</v>
      </c>
      <c r="C11" s="8"/>
      <c r="D11" s="42" t="s">
        <v>574</v>
      </c>
      <c r="E11" s="250">
        <v>11.99</v>
      </c>
      <c r="F11" s="250">
        <v>11.99</v>
      </c>
      <c r="G11" s="250">
        <v>11.99</v>
      </c>
      <c r="H11" s="250">
        <v>11.99</v>
      </c>
      <c r="I11" s="250">
        <v>11.99</v>
      </c>
      <c r="J11" s="250">
        <v>11.99</v>
      </c>
      <c r="K11" s="250">
        <v>11.99</v>
      </c>
      <c r="L11" s="250">
        <v>11.99</v>
      </c>
      <c r="M11" s="250">
        <v>11.99</v>
      </c>
      <c r="N11" s="250">
        <v>11.99</v>
      </c>
      <c r="O11" s="250">
        <v>11.99</v>
      </c>
      <c r="P11" s="250">
        <v>11.99</v>
      </c>
      <c r="Q11" s="256">
        <f t="shared" si="0"/>
        <v>143.88</v>
      </c>
    </row>
    <row r="12" spans="1:17" x14ac:dyDescent="0.2">
      <c r="A12" s="33"/>
      <c r="B12" s="31">
        <v>13133</v>
      </c>
      <c r="C12" s="253" t="s">
        <v>15</v>
      </c>
      <c r="D12" s="42" t="s">
        <v>16</v>
      </c>
      <c r="E12" s="250">
        <v>16.832000000000001</v>
      </c>
      <c r="F12" s="250">
        <v>16.832000000000001</v>
      </c>
      <c r="G12" s="250">
        <v>16.832000000000001</v>
      </c>
      <c r="H12" s="250">
        <v>16.832000000000001</v>
      </c>
      <c r="I12" s="250">
        <v>16.832000000000001</v>
      </c>
      <c r="J12" s="250">
        <v>16.832000000000001</v>
      </c>
      <c r="K12" s="250">
        <v>16.832000000000001</v>
      </c>
      <c r="L12" s="250">
        <v>16.832000000000001</v>
      </c>
      <c r="M12" s="250">
        <v>16.832000000000001</v>
      </c>
      <c r="N12" s="250">
        <v>16.832000000000001</v>
      </c>
      <c r="O12" s="250">
        <v>16.832000000000001</v>
      </c>
      <c r="P12" s="250">
        <v>16.832000000000001</v>
      </c>
      <c r="Q12" s="256">
        <f t="shared" si="0"/>
        <v>201.98399999999995</v>
      </c>
    </row>
    <row r="13" spans="1:17" x14ac:dyDescent="0.2">
      <c r="A13" s="33"/>
      <c r="B13" s="31">
        <v>13134</v>
      </c>
      <c r="C13" s="258"/>
      <c r="D13" s="42" t="s">
        <v>17</v>
      </c>
      <c r="E13" s="250">
        <v>12.101599999999999</v>
      </c>
      <c r="F13" s="250">
        <v>12.101599999999999</v>
      </c>
      <c r="G13" s="250">
        <v>12.101599999999999</v>
      </c>
      <c r="H13" s="250">
        <v>12.101599999999999</v>
      </c>
      <c r="I13" s="250">
        <v>12.101599999999999</v>
      </c>
      <c r="J13" s="250">
        <v>12.101599999999999</v>
      </c>
      <c r="K13" s="250">
        <v>12.101599999999999</v>
      </c>
      <c r="L13" s="250">
        <v>12.101599999999999</v>
      </c>
      <c r="M13" s="250">
        <v>12.101599999999999</v>
      </c>
      <c r="N13" s="250">
        <v>12.101599999999999</v>
      </c>
      <c r="O13" s="250">
        <v>12.101599999999999</v>
      </c>
      <c r="P13" s="250">
        <v>12.101599999999999</v>
      </c>
      <c r="Q13" s="256">
        <f t="shared" si="0"/>
        <v>145.2192</v>
      </c>
    </row>
    <row r="14" spans="1:17" x14ac:dyDescent="0.2">
      <c r="A14" s="33"/>
      <c r="B14" s="31">
        <v>13142</v>
      </c>
      <c r="C14" s="254" t="s">
        <v>18</v>
      </c>
      <c r="D14" s="42" t="s">
        <v>19</v>
      </c>
      <c r="E14" s="250">
        <v>10.8667</v>
      </c>
      <c r="F14" s="250">
        <v>10.8667</v>
      </c>
      <c r="G14" s="250">
        <v>10.8667</v>
      </c>
      <c r="H14" s="250">
        <v>10.8667</v>
      </c>
      <c r="I14" s="250">
        <v>10.8667</v>
      </c>
      <c r="J14" s="250">
        <v>10.8667</v>
      </c>
      <c r="K14" s="250">
        <v>10.8667</v>
      </c>
      <c r="L14" s="250">
        <v>10.8667</v>
      </c>
      <c r="M14" s="250">
        <v>10.8667</v>
      </c>
      <c r="N14" s="250">
        <v>10.8667</v>
      </c>
      <c r="O14" s="250">
        <v>10.8667</v>
      </c>
      <c r="P14" s="250">
        <v>10.8667</v>
      </c>
      <c r="Q14" s="256">
        <f t="shared" si="0"/>
        <v>130.40039999999996</v>
      </c>
    </row>
    <row r="15" spans="1:17" x14ac:dyDescent="0.2">
      <c r="A15" s="33"/>
      <c r="B15" s="31">
        <v>13141</v>
      </c>
      <c r="C15" s="254"/>
      <c r="D15" s="42" t="s">
        <v>20</v>
      </c>
      <c r="E15" s="250">
        <v>10.612500000000001</v>
      </c>
      <c r="F15" s="250">
        <v>10.612500000000001</v>
      </c>
      <c r="G15" s="250">
        <v>10.612500000000001</v>
      </c>
      <c r="H15" s="250">
        <v>10.612500000000001</v>
      </c>
      <c r="I15" s="250">
        <v>10.612500000000001</v>
      </c>
      <c r="J15" s="250">
        <v>10.612500000000001</v>
      </c>
      <c r="K15" s="250">
        <v>10.612500000000001</v>
      </c>
      <c r="L15" s="250">
        <v>10.612500000000001</v>
      </c>
      <c r="M15" s="250">
        <v>10.612500000000001</v>
      </c>
      <c r="N15" s="250">
        <v>10.612500000000001</v>
      </c>
      <c r="O15" s="250">
        <v>10.612500000000001</v>
      </c>
      <c r="P15" s="250">
        <v>10.612500000000001</v>
      </c>
      <c r="Q15" s="256">
        <f t="shared" si="0"/>
        <v>127.34999999999998</v>
      </c>
    </row>
    <row r="16" spans="1:17" x14ac:dyDescent="0.2">
      <c r="A16" s="33"/>
      <c r="B16" s="31">
        <v>33333</v>
      </c>
      <c r="C16" s="254"/>
      <c r="D16" s="42" t="s">
        <v>587</v>
      </c>
      <c r="E16" s="250">
        <v>0</v>
      </c>
      <c r="F16" s="250">
        <v>0</v>
      </c>
      <c r="G16" s="250">
        <v>0</v>
      </c>
      <c r="H16" s="250">
        <v>0</v>
      </c>
      <c r="I16" s="250">
        <v>0</v>
      </c>
      <c r="J16" s="250">
        <v>0</v>
      </c>
      <c r="K16" s="250">
        <v>0</v>
      </c>
      <c r="L16" s="250">
        <v>0</v>
      </c>
      <c r="M16" s="250">
        <v>0</v>
      </c>
      <c r="N16" s="250">
        <v>0</v>
      </c>
      <c r="O16" s="250">
        <v>0</v>
      </c>
      <c r="P16" s="250">
        <v>0</v>
      </c>
      <c r="Q16" s="256">
        <f t="shared" si="0"/>
        <v>0</v>
      </c>
    </row>
    <row r="17" spans="1:17" x14ac:dyDescent="0.2">
      <c r="A17" s="33"/>
      <c r="B17" s="31">
        <v>22222</v>
      </c>
      <c r="C17" s="254"/>
      <c r="D17" s="42" t="s">
        <v>586</v>
      </c>
      <c r="E17" s="250">
        <v>0</v>
      </c>
      <c r="F17" s="250">
        <v>0</v>
      </c>
      <c r="G17" s="250">
        <v>0</v>
      </c>
      <c r="H17" s="250">
        <v>0</v>
      </c>
      <c r="I17" s="250">
        <v>0</v>
      </c>
      <c r="J17" s="250">
        <v>0</v>
      </c>
      <c r="K17" s="250">
        <v>0</v>
      </c>
      <c r="L17" s="250">
        <v>0</v>
      </c>
      <c r="M17" s="250">
        <v>0</v>
      </c>
      <c r="N17" s="250">
        <v>0</v>
      </c>
      <c r="O17" s="250">
        <v>0</v>
      </c>
      <c r="P17" s="250">
        <v>0</v>
      </c>
      <c r="Q17" s="256">
        <f t="shared" si="0"/>
        <v>0</v>
      </c>
    </row>
    <row r="18" spans="1:17" x14ac:dyDescent="0.2">
      <c r="A18" s="33"/>
      <c r="B18" s="31">
        <v>13068</v>
      </c>
      <c r="C18" s="4" t="s">
        <v>21</v>
      </c>
      <c r="D18" s="41" t="s">
        <v>113</v>
      </c>
      <c r="E18" s="250">
        <v>9.7824120000000008</v>
      </c>
      <c r="F18" s="250">
        <v>9.7824120000000008</v>
      </c>
      <c r="G18" s="250">
        <v>9.7824120000000008</v>
      </c>
      <c r="H18" s="250">
        <v>9.7824120000000008</v>
      </c>
      <c r="I18" s="250">
        <v>9.7824120000000008</v>
      </c>
      <c r="J18" s="250">
        <v>9.7824120000000008</v>
      </c>
      <c r="K18" s="250">
        <v>9.7824120000000008</v>
      </c>
      <c r="L18" s="250">
        <v>9.7824120000000008</v>
      </c>
      <c r="M18" s="250">
        <v>9.7824120000000008</v>
      </c>
      <c r="N18" s="250">
        <v>9.7824120000000008</v>
      </c>
      <c r="O18" s="250">
        <v>9.7824120000000008</v>
      </c>
      <c r="P18" s="250">
        <v>9.7824120000000008</v>
      </c>
      <c r="Q18" s="256">
        <f t="shared" si="0"/>
        <v>117.38894399999998</v>
      </c>
    </row>
    <row r="19" spans="1:17" x14ac:dyDescent="0.2">
      <c r="A19" s="33"/>
      <c r="B19" s="31">
        <v>13067</v>
      </c>
      <c r="C19" s="6"/>
      <c r="D19" s="41" t="s">
        <v>114</v>
      </c>
      <c r="E19" s="250">
        <v>9.8783180000000002</v>
      </c>
      <c r="F19" s="250">
        <v>9.8783180000000002</v>
      </c>
      <c r="G19" s="250">
        <v>9.8783180000000002</v>
      </c>
      <c r="H19" s="250">
        <v>9.8783180000000002</v>
      </c>
      <c r="I19" s="250">
        <v>9.8783180000000002</v>
      </c>
      <c r="J19" s="250">
        <v>9.8783180000000002</v>
      </c>
      <c r="K19" s="250">
        <v>9.8783180000000002</v>
      </c>
      <c r="L19" s="250">
        <v>9.8783180000000002</v>
      </c>
      <c r="M19" s="250">
        <v>9.8783180000000002</v>
      </c>
      <c r="N19" s="250">
        <v>9.8783180000000002</v>
      </c>
      <c r="O19" s="250">
        <v>9.8783180000000002</v>
      </c>
      <c r="P19" s="250">
        <v>9.8783180000000002</v>
      </c>
      <c r="Q19" s="256">
        <f t="shared" si="0"/>
        <v>118.53981600000003</v>
      </c>
    </row>
    <row r="20" spans="1:17" x14ac:dyDescent="0.2">
      <c r="A20" s="33"/>
      <c r="B20" s="31">
        <v>13146</v>
      </c>
      <c r="C20" s="6"/>
      <c r="D20" s="41" t="s">
        <v>24</v>
      </c>
      <c r="E20" s="250">
        <v>11.0275</v>
      </c>
      <c r="F20" s="250">
        <v>11.0275</v>
      </c>
      <c r="G20" s="250">
        <v>11.0275</v>
      </c>
      <c r="H20" s="250">
        <v>11.0275</v>
      </c>
      <c r="I20" s="250">
        <v>11.0275</v>
      </c>
      <c r="J20" s="250">
        <v>11.0275</v>
      </c>
      <c r="K20" s="250">
        <v>11.0275</v>
      </c>
      <c r="L20" s="250">
        <v>11.0275</v>
      </c>
      <c r="M20" s="250">
        <v>11.0275</v>
      </c>
      <c r="N20" s="250">
        <v>11.0275</v>
      </c>
      <c r="O20" s="250">
        <v>11.0275</v>
      </c>
      <c r="P20" s="250">
        <v>11.0275</v>
      </c>
      <c r="Q20" s="256">
        <f t="shared" si="0"/>
        <v>132.33000000000001</v>
      </c>
    </row>
    <row r="21" spans="1:17" x14ac:dyDescent="0.2">
      <c r="A21" s="33"/>
      <c r="B21" s="31">
        <v>13054</v>
      </c>
      <c r="C21" s="8"/>
      <c r="D21" s="41" t="s">
        <v>115</v>
      </c>
      <c r="E21" s="250">
        <v>13.292299999999999</v>
      </c>
      <c r="F21" s="250">
        <v>13.292299999999999</v>
      </c>
      <c r="G21" s="250">
        <v>13.292299999999999</v>
      </c>
      <c r="H21" s="250">
        <v>13.292299999999999</v>
      </c>
      <c r="I21" s="250">
        <v>13.292299999999999</v>
      </c>
      <c r="J21" s="250">
        <v>13.292299999999999</v>
      </c>
      <c r="K21" s="250">
        <v>13.292299999999999</v>
      </c>
      <c r="L21" s="250">
        <v>13.292299999999999</v>
      </c>
      <c r="M21" s="250">
        <v>13.292299999999999</v>
      </c>
      <c r="N21" s="250">
        <v>13.292299999999999</v>
      </c>
      <c r="O21" s="250">
        <v>13.292299999999999</v>
      </c>
      <c r="P21" s="250">
        <v>13.292299999999999</v>
      </c>
      <c r="Q21" s="256">
        <f t="shared" si="0"/>
        <v>159.50760000000002</v>
      </c>
    </row>
    <row r="22" spans="1:17" x14ac:dyDescent="0.2">
      <c r="A22" s="33"/>
      <c r="B22" s="31">
        <v>13137</v>
      </c>
      <c r="C22" s="16" t="s">
        <v>29</v>
      </c>
      <c r="D22" s="41" t="s">
        <v>116</v>
      </c>
      <c r="E22" s="250">
        <v>0</v>
      </c>
      <c r="F22" s="250">
        <v>0</v>
      </c>
      <c r="G22" s="250">
        <v>0</v>
      </c>
      <c r="H22" s="250">
        <v>0</v>
      </c>
      <c r="I22" s="250">
        <v>0</v>
      </c>
      <c r="J22" s="250">
        <v>0</v>
      </c>
      <c r="K22" s="250">
        <v>0</v>
      </c>
      <c r="L22" s="250">
        <v>0</v>
      </c>
      <c r="M22" s="250">
        <v>0</v>
      </c>
      <c r="N22" s="250">
        <v>0</v>
      </c>
      <c r="O22" s="250">
        <v>0</v>
      </c>
      <c r="P22" s="250">
        <v>0</v>
      </c>
      <c r="Q22" s="256">
        <f t="shared" si="0"/>
        <v>0</v>
      </c>
    </row>
    <row r="23" spans="1:17" x14ac:dyDescent="0.2">
      <c r="A23" s="33"/>
      <c r="B23" s="31">
        <v>13138</v>
      </c>
      <c r="C23" s="16"/>
      <c r="D23" s="41" t="s">
        <v>117</v>
      </c>
      <c r="E23" s="250">
        <v>15.170199999999999</v>
      </c>
      <c r="F23" s="250">
        <v>15.170199999999999</v>
      </c>
      <c r="G23" s="250">
        <v>15.170199999999999</v>
      </c>
      <c r="H23" s="250">
        <v>15.170199999999999</v>
      </c>
      <c r="I23" s="250">
        <v>15.170199999999999</v>
      </c>
      <c r="J23" s="250">
        <v>15.170199999999999</v>
      </c>
      <c r="K23" s="250">
        <v>15.170199999999999</v>
      </c>
      <c r="L23" s="250">
        <v>15.170199999999999</v>
      </c>
      <c r="M23" s="250">
        <v>15.170199999999999</v>
      </c>
      <c r="N23" s="250">
        <v>15.170199999999999</v>
      </c>
      <c r="O23" s="250">
        <v>15.170199999999999</v>
      </c>
      <c r="P23" s="250">
        <v>15.170199999999999</v>
      </c>
      <c r="Q23" s="256">
        <f t="shared" si="0"/>
        <v>182.04239999999996</v>
      </c>
    </row>
    <row r="24" spans="1:17" x14ac:dyDescent="0.2">
      <c r="A24" s="33"/>
      <c r="B24" s="31">
        <v>15514</v>
      </c>
      <c r="C24" s="4" t="s">
        <v>33</v>
      </c>
      <c r="D24" s="255" t="s">
        <v>34</v>
      </c>
      <c r="E24" s="250">
        <v>0</v>
      </c>
      <c r="F24" s="250">
        <v>0</v>
      </c>
      <c r="G24" s="250">
        <v>0</v>
      </c>
      <c r="H24" s="250">
        <v>0</v>
      </c>
      <c r="I24" s="250">
        <v>0</v>
      </c>
      <c r="J24" s="250">
        <v>0</v>
      </c>
      <c r="K24" s="250">
        <v>0</v>
      </c>
      <c r="L24" s="250">
        <v>0</v>
      </c>
      <c r="M24" s="250">
        <v>0</v>
      </c>
      <c r="N24" s="250">
        <v>0</v>
      </c>
      <c r="O24" s="250">
        <v>0</v>
      </c>
      <c r="P24" s="250">
        <v>0</v>
      </c>
      <c r="Q24" s="256">
        <f t="shared" si="0"/>
        <v>0</v>
      </c>
    </row>
    <row r="25" spans="1:17" x14ac:dyDescent="0.2">
      <c r="A25" s="33"/>
      <c r="B25" s="31">
        <v>15524</v>
      </c>
      <c r="C25" s="8"/>
      <c r="D25" s="255" t="s">
        <v>35</v>
      </c>
      <c r="E25" s="250">
        <v>0</v>
      </c>
      <c r="F25" s="250">
        <v>0</v>
      </c>
      <c r="G25" s="250">
        <v>0</v>
      </c>
      <c r="H25" s="250">
        <v>0</v>
      </c>
      <c r="I25" s="250">
        <v>0</v>
      </c>
      <c r="J25" s="250">
        <v>0</v>
      </c>
      <c r="K25" s="250">
        <v>0</v>
      </c>
      <c r="L25" s="250">
        <v>0</v>
      </c>
      <c r="M25" s="250">
        <v>0</v>
      </c>
      <c r="N25" s="250">
        <v>0</v>
      </c>
      <c r="O25" s="250">
        <v>0</v>
      </c>
      <c r="P25" s="250">
        <v>0</v>
      </c>
      <c r="Q25" s="256">
        <f t="shared" si="0"/>
        <v>0</v>
      </c>
    </row>
    <row r="26" spans="1:17" x14ac:dyDescent="0.2">
      <c r="A26" s="33"/>
      <c r="B26" s="31">
        <v>13122</v>
      </c>
      <c r="C26" s="18" t="s">
        <v>36</v>
      </c>
      <c r="D26" s="255" t="s">
        <v>118</v>
      </c>
      <c r="E26" s="250">
        <v>11.1226</v>
      </c>
      <c r="F26" s="250">
        <v>11.1226</v>
      </c>
      <c r="G26" s="250">
        <v>11.1226</v>
      </c>
      <c r="H26" s="250">
        <v>11.1226</v>
      </c>
      <c r="I26" s="250">
        <v>11.1226</v>
      </c>
      <c r="J26" s="250">
        <v>11.1226</v>
      </c>
      <c r="K26" s="250">
        <v>11.1226</v>
      </c>
      <c r="L26" s="250">
        <v>11.1226</v>
      </c>
      <c r="M26" s="250">
        <v>11.1226</v>
      </c>
      <c r="N26" s="250">
        <v>11.1226</v>
      </c>
      <c r="O26" s="250">
        <v>11.1226</v>
      </c>
      <c r="P26" s="250">
        <v>11.1226</v>
      </c>
      <c r="Q26" s="256">
        <f t="shared" si="0"/>
        <v>133.47120000000004</v>
      </c>
    </row>
    <row r="27" spans="1:17" x14ac:dyDescent="0.2">
      <c r="A27" s="33"/>
      <c r="B27" s="32">
        <v>13158</v>
      </c>
      <c r="C27" s="18"/>
      <c r="D27" s="255" t="s">
        <v>552</v>
      </c>
      <c r="E27" s="250">
        <v>14.4871</v>
      </c>
      <c r="F27" s="250">
        <v>14.4871</v>
      </c>
      <c r="G27" s="250">
        <v>14.4871</v>
      </c>
      <c r="H27" s="250">
        <v>14.4871</v>
      </c>
      <c r="I27" s="250">
        <v>14.4871</v>
      </c>
      <c r="J27" s="250">
        <v>14.4871</v>
      </c>
      <c r="K27" s="250">
        <v>14.4871</v>
      </c>
      <c r="L27" s="250">
        <v>14.4871</v>
      </c>
      <c r="M27" s="250">
        <v>14.4871</v>
      </c>
      <c r="N27" s="250">
        <v>14.4871</v>
      </c>
      <c r="O27" s="250">
        <v>14.4871</v>
      </c>
      <c r="P27" s="250">
        <v>14.4871</v>
      </c>
      <c r="Q27" s="256">
        <f t="shared" si="0"/>
        <v>173.84520000000001</v>
      </c>
    </row>
    <row r="28" spans="1:17" x14ac:dyDescent="0.2">
      <c r="A28" s="33"/>
      <c r="B28" s="31">
        <v>13110</v>
      </c>
      <c r="C28" s="19" t="s">
        <v>38</v>
      </c>
      <c r="D28" s="41" t="s">
        <v>39</v>
      </c>
      <c r="E28" s="250">
        <v>3.5087000000000002</v>
      </c>
      <c r="F28" s="250">
        <v>3.5087000000000002</v>
      </c>
      <c r="G28" s="250">
        <v>3.5087000000000002</v>
      </c>
      <c r="H28" s="250">
        <v>3.5087000000000002</v>
      </c>
      <c r="I28" s="250">
        <v>3.5087000000000002</v>
      </c>
      <c r="J28" s="250">
        <v>3.5087000000000002</v>
      </c>
      <c r="K28" s="250">
        <v>3.5087000000000002</v>
      </c>
      <c r="L28" s="250">
        <v>3.5087000000000002</v>
      </c>
      <c r="M28" s="250">
        <v>3.5087000000000002</v>
      </c>
      <c r="N28" s="250">
        <v>3.5087000000000002</v>
      </c>
      <c r="O28" s="250">
        <v>3.5087000000000002</v>
      </c>
      <c r="P28" s="250">
        <v>3.5087000000000002</v>
      </c>
      <c r="Q28" s="256">
        <f t="shared" si="0"/>
        <v>42.104399999999998</v>
      </c>
    </row>
    <row r="29" spans="1:17" x14ac:dyDescent="0.2">
      <c r="A29" s="33"/>
      <c r="B29" s="31">
        <v>13074</v>
      </c>
      <c r="C29" s="20" t="s">
        <v>40</v>
      </c>
      <c r="D29" s="41" t="s">
        <v>41</v>
      </c>
      <c r="E29" s="250">
        <v>5.8545999999999996</v>
      </c>
      <c r="F29" s="250">
        <v>5.8545999999999996</v>
      </c>
      <c r="G29" s="250">
        <v>5.8545999999999996</v>
      </c>
      <c r="H29" s="250">
        <v>5.8545999999999996</v>
      </c>
      <c r="I29" s="250">
        <v>5.8545999999999996</v>
      </c>
      <c r="J29" s="250">
        <v>5.8545999999999996</v>
      </c>
      <c r="K29" s="250">
        <v>5.8545999999999996</v>
      </c>
      <c r="L29" s="250">
        <v>5.8545999999999996</v>
      </c>
      <c r="M29" s="250">
        <v>5.8545999999999996</v>
      </c>
      <c r="N29" s="250">
        <v>5.8545999999999996</v>
      </c>
      <c r="O29" s="250">
        <v>5.8545999999999996</v>
      </c>
      <c r="P29" s="250">
        <v>5.8545999999999996</v>
      </c>
      <c r="Q29" s="256">
        <f t="shared" si="0"/>
        <v>70.255199999999988</v>
      </c>
    </row>
    <row r="30" spans="1:17" x14ac:dyDescent="0.2">
      <c r="A30" s="33"/>
      <c r="B30" s="31">
        <v>13072</v>
      </c>
      <c r="C30" s="20"/>
      <c r="D30" s="41" t="s">
        <v>42</v>
      </c>
      <c r="E30" s="250">
        <v>5.6608000000000001</v>
      </c>
      <c r="F30" s="250">
        <v>5.6608000000000001</v>
      </c>
      <c r="G30" s="250">
        <v>5.6608000000000001</v>
      </c>
      <c r="H30" s="250">
        <v>5.6608000000000001</v>
      </c>
      <c r="I30" s="250">
        <v>5.6608000000000001</v>
      </c>
      <c r="J30" s="250">
        <v>5.6608000000000001</v>
      </c>
      <c r="K30" s="250">
        <v>5.6608000000000001</v>
      </c>
      <c r="L30" s="250">
        <v>5.6608000000000001</v>
      </c>
      <c r="M30" s="250">
        <v>5.6608000000000001</v>
      </c>
      <c r="N30" s="250">
        <v>5.6608000000000001</v>
      </c>
      <c r="O30" s="250">
        <v>5.6608000000000001</v>
      </c>
      <c r="P30" s="250">
        <v>5.6608000000000001</v>
      </c>
      <c r="Q30" s="256">
        <f t="shared" si="0"/>
        <v>67.929600000000008</v>
      </c>
    </row>
    <row r="31" spans="1:17" x14ac:dyDescent="0.2">
      <c r="A31" s="33"/>
      <c r="B31" s="31">
        <v>13071</v>
      </c>
      <c r="C31" s="21"/>
      <c r="D31" s="41" t="s">
        <v>43</v>
      </c>
      <c r="E31" s="250">
        <v>2.7643</v>
      </c>
      <c r="F31" s="250">
        <v>2.7643</v>
      </c>
      <c r="G31" s="250">
        <v>2.7643</v>
      </c>
      <c r="H31" s="250">
        <v>2.7643</v>
      </c>
      <c r="I31" s="250">
        <v>2.7643</v>
      </c>
      <c r="J31" s="250">
        <v>2.7643</v>
      </c>
      <c r="K31" s="250">
        <v>2.7643</v>
      </c>
      <c r="L31" s="250">
        <v>2.7643</v>
      </c>
      <c r="M31" s="250">
        <v>2.7643</v>
      </c>
      <c r="N31" s="250">
        <v>2.7643</v>
      </c>
      <c r="O31" s="250">
        <v>2.7643</v>
      </c>
      <c r="P31" s="250">
        <v>2.7643</v>
      </c>
      <c r="Q31" s="256">
        <f t="shared" si="0"/>
        <v>33.171599999999991</v>
      </c>
    </row>
    <row r="32" spans="1:17" x14ac:dyDescent="0.2">
      <c r="A32" s="33"/>
      <c r="B32" s="31">
        <v>13082</v>
      </c>
      <c r="C32" s="12" t="s">
        <v>44</v>
      </c>
      <c r="D32" s="41" t="s">
        <v>119</v>
      </c>
      <c r="E32" s="250">
        <v>23.458500000000001</v>
      </c>
      <c r="F32" s="250">
        <v>23.458500000000001</v>
      </c>
      <c r="G32" s="250">
        <v>23.458500000000001</v>
      </c>
      <c r="H32" s="250">
        <v>23.458500000000001</v>
      </c>
      <c r="I32" s="250">
        <v>23.458500000000001</v>
      </c>
      <c r="J32" s="250">
        <v>23.458500000000001</v>
      </c>
      <c r="K32" s="250">
        <v>23.458500000000001</v>
      </c>
      <c r="L32" s="250">
        <v>23.458500000000001</v>
      </c>
      <c r="M32" s="250">
        <v>23.458500000000001</v>
      </c>
      <c r="N32" s="250">
        <v>23.458500000000001</v>
      </c>
      <c r="O32" s="250">
        <v>23.458500000000001</v>
      </c>
      <c r="P32" s="250">
        <v>23.458500000000001</v>
      </c>
      <c r="Q32" s="256">
        <f t="shared" si="0"/>
        <v>281.50200000000007</v>
      </c>
    </row>
    <row r="33" spans="1:17" x14ac:dyDescent="0.2">
      <c r="A33" s="33"/>
      <c r="B33" s="31">
        <v>13040</v>
      </c>
      <c r="C33" s="9" t="s">
        <v>47</v>
      </c>
      <c r="D33" s="41" t="s">
        <v>48</v>
      </c>
      <c r="E33" s="250">
        <v>0</v>
      </c>
      <c r="F33" s="250">
        <v>0</v>
      </c>
      <c r="G33" s="250">
        <v>0</v>
      </c>
      <c r="H33" s="250">
        <v>0</v>
      </c>
      <c r="I33" s="250">
        <v>0</v>
      </c>
      <c r="J33" s="250">
        <v>0</v>
      </c>
      <c r="K33" s="250">
        <v>0</v>
      </c>
      <c r="L33" s="250">
        <v>0</v>
      </c>
      <c r="M33" s="250">
        <v>0</v>
      </c>
      <c r="N33" s="250">
        <v>0</v>
      </c>
      <c r="O33" s="250">
        <v>0</v>
      </c>
      <c r="P33" s="250">
        <v>0</v>
      </c>
      <c r="Q33" s="256">
        <f t="shared" si="0"/>
        <v>0</v>
      </c>
    </row>
    <row r="34" spans="1:17" x14ac:dyDescent="0.2">
      <c r="A34" s="33"/>
      <c r="B34" s="31">
        <v>13066</v>
      </c>
      <c r="C34" s="20"/>
      <c r="D34" s="41" t="s">
        <v>148</v>
      </c>
      <c r="E34" s="250">
        <v>6.6788999999999996</v>
      </c>
      <c r="F34" s="250">
        <v>6.6788999999999996</v>
      </c>
      <c r="G34" s="250">
        <v>6.6788999999999996</v>
      </c>
      <c r="H34" s="250">
        <v>6.6788999999999996</v>
      </c>
      <c r="I34" s="250">
        <v>6.6788999999999996</v>
      </c>
      <c r="J34" s="250">
        <v>6.6788999999999996</v>
      </c>
      <c r="K34" s="250">
        <v>6.6788999999999996</v>
      </c>
      <c r="L34" s="250">
        <v>6.6788999999999996</v>
      </c>
      <c r="M34" s="250">
        <v>6.6788999999999996</v>
      </c>
      <c r="N34" s="250">
        <v>6.6788999999999996</v>
      </c>
      <c r="O34" s="250">
        <v>6.6788999999999996</v>
      </c>
      <c r="P34" s="250">
        <v>6.6788999999999996</v>
      </c>
      <c r="Q34" s="256">
        <f t="shared" si="0"/>
        <v>80.146799999999999</v>
      </c>
    </row>
    <row r="35" spans="1:17" x14ac:dyDescent="0.2">
      <c r="A35" s="33"/>
      <c r="B35" s="31">
        <v>13140</v>
      </c>
      <c r="C35" s="19" t="s">
        <v>54</v>
      </c>
      <c r="D35" s="41" t="s">
        <v>120</v>
      </c>
      <c r="E35" s="250">
        <v>0</v>
      </c>
      <c r="F35" s="250">
        <v>0</v>
      </c>
      <c r="G35" s="250">
        <v>0</v>
      </c>
      <c r="H35" s="250">
        <v>0</v>
      </c>
      <c r="I35" s="250">
        <v>0</v>
      </c>
      <c r="J35" s="250">
        <v>0</v>
      </c>
      <c r="K35" s="250">
        <v>0</v>
      </c>
      <c r="L35" s="250">
        <v>0</v>
      </c>
      <c r="M35" s="250">
        <v>0</v>
      </c>
      <c r="N35" s="250">
        <v>0</v>
      </c>
      <c r="O35" s="250">
        <v>0</v>
      </c>
      <c r="P35" s="250">
        <v>0</v>
      </c>
      <c r="Q35" s="256">
        <f t="shared" si="0"/>
        <v>0</v>
      </c>
    </row>
    <row r="36" spans="1:17" x14ac:dyDescent="0.2">
      <c r="A36" s="33"/>
      <c r="B36" s="31">
        <v>13112</v>
      </c>
      <c r="C36" s="4" t="s">
        <v>56</v>
      </c>
      <c r="D36" s="41" t="s">
        <v>57</v>
      </c>
      <c r="E36" s="250">
        <v>11.12778</v>
      </c>
      <c r="F36" s="250">
        <v>11.12778</v>
      </c>
      <c r="G36" s="250">
        <v>11.12778</v>
      </c>
      <c r="H36" s="250">
        <v>11.12778</v>
      </c>
      <c r="I36" s="250">
        <v>11.12778</v>
      </c>
      <c r="J36" s="250">
        <v>11.12778</v>
      </c>
      <c r="K36" s="250">
        <v>11.12778</v>
      </c>
      <c r="L36" s="250">
        <v>11.12778</v>
      </c>
      <c r="M36" s="250">
        <v>11.12778</v>
      </c>
      <c r="N36" s="250">
        <v>11.12778</v>
      </c>
      <c r="O36" s="250">
        <v>11.12778</v>
      </c>
      <c r="P36" s="250">
        <v>11.12778</v>
      </c>
      <c r="Q36" s="256">
        <f t="shared" si="0"/>
        <v>133.53335999999999</v>
      </c>
    </row>
    <row r="37" spans="1:17" x14ac:dyDescent="0.2">
      <c r="A37" s="33"/>
      <c r="B37" s="31">
        <v>44444</v>
      </c>
      <c r="C37" s="4"/>
      <c r="D37" s="41" t="s">
        <v>585</v>
      </c>
      <c r="E37" s="250">
        <v>11.7</v>
      </c>
      <c r="F37" s="250">
        <v>11.7</v>
      </c>
      <c r="G37" s="250">
        <v>11.7</v>
      </c>
      <c r="H37" s="250">
        <v>11.7</v>
      </c>
      <c r="I37" s="250">
        <v>11.7</v>
      </c>
      <c r="J37" s="250">
        <v>11.7</v>
      </c>
      <c r="K37" s="250">
        <v>11.7</v>
      </c>
      <c r="L37" s="250">
        <v>11.7</v>
      </c>
      <c r="M37" s="250">
        <v>11.7</v>
      </c>
      <c r="N37" s="250">
        <v>11.7</v>
      </c>
      <c r="O37" s="250">
        <v>11.7</v>
      </c>
      <c r="P37" s="250">
        <v>11.7</v>
      </c>
      <c r="Q37" s="256">
        <f t="shared" si="0"/>
        <v>140.4</v>
      </c>
    </row>
    <row r="38" spans="1:17" x14ac:dyDescent="0.2">
      <c r="A38" s="33"/>
      <c r="B38" s="31">
        <v>13081</v>
      </c>
      <c r="C38" s="23" t="s">
        <v>58</v>
      </c>
      <c r="D38" s="41" t="s">
        <v>121</v>
      </c>
      <c r="E38" s="250">
        <v>19.467199999999998</v>
      </c>
      <c r="F38" s="250">
        <v>19.467199999999998</v>
      </c>
      <c r="G38" s="250">
        <v>19.467199999999998</v>
      </c>
      <c r="H38" s="250">
        <v>19.467199999999998</v>
      </c>
      <c r="I38" s="250">
        <v>19.467199999999998</v>
      </c>
      <c r="J38" s="250">
        <v>19.467199999999998</v>
      </c>
      <c r="K38" s="250">
        <v>19.467199999999998</v>
      </c>
      <c r="L38" s="250">
        <v>19.467199999999998</v>
      </c>
      <c r="M38" s="250">
        <v>19.467199999999998</v>
      </c>
      <c r="N38" s="250">
        <v>19.467199999999998</v>
      </c>
      <c r="O38" s="250">
        <v>19.467199999999998</v>
      </c>
      <c r="P38" s="250">
        <v>19.467199999999998</v>
      </c>
      <c r="Q38" s="256">
        <f t="shared" si="0"/>
        <v>233.60639999999992</v>
      </c>
    </row>
    <row r="39" spans="1:17" x14ac:dyDescent="0.2">
      <c r="A39" s="33"/>
      <c r="B39" s="31">
        <v>13139</v>
      </c>
      <c r="C39" s="24" t="s">
        <v>60</v>
      </c>
      <c r="D39" s="41" t="s">
        <v>122</v>
      </c>
      <c r="E39" s="250">
        <v>15.318199999999999</v>
      </c>
      <c r="F39" s="250">
        <v>15.318199999999999</v>
      </c>
      <c r="G39" s="250">
        <v>15.318199999999999</v>
      </c>
      <c r="H39" s="250">
        <v>15.318199999999999</v>
      </c>
      <c r="I39" s="250">
        <v>15.318199999999999</v>
      </c>
      <c r="J39" s="250">
        <v>15.318199999999999</v>
      </c>
      <c r="K39" s="250">
        <v>15.318199999999999</v>
      </c>
      <c r="L39" s="250">
        <v>15.318199999999999</v>
      </c>
      <c r="M39" s="250">
        <v>15.318199999999999</v>
      </c>
      <c r="N39" s="250">
        <v>15.318199999999999</v>
      </c>
      <c r="O39" s="250">
        <v>15.318199999999999</v>
      </c>
      <c r="P39" s="250">
        <v>15.318199999999999</v>
      </c>
      <c r="Q39" s="256">
        <f t="shared" si="0"/>
        <v>183.81839999999997</v>
      </c>
    </row>
    <row r="40" spans="1:17" x14ac:dyDescent="0.2">
      <c r="A40" s="33"/>
      <c r="B40" s="31">
        <v>13051</v>
      </c>
      <c r="C40" s="25" t="s">
        <v>62</v>
      </c>
      <c r="D40" s="41" t="s">
        <v>63</v>
      </c>
      <c r="E40" s="250">
        <v>8.6882999999999999</v>
      </c>
      <c r="F40" s="250">
        <v>8.6882999999999999</v>
      </c>
      <c r="G40" s="250">
        <v>8.6882999999999999</v>
      </c>
      <c r="H40" s="250">
        <v>8.6882999999999999</v>
      </c>
      <c r="I40" s="250">
        <v>8.6882999999999999</v>
      </c>
      <c r="J40" s="250">
        <v>8.6882999999999999</v>
      </c>
      <c r="K40" s="250">
        <v>8.6882999999999999</v>
      </c>
      <c r="L40" s="250">
        <v>8.6882999999999999</v>
      </c>
      <c r="M40" s="250">
        <v>8.6882999999999999</v>
      </c>
      <c r="N40" s="250">
        <v>8.6882999999999999</v>
      </c>
      <c r="O40" s="250">
        <v>8.6882999999999999</v>
      </c>
      <c r="P40" s="250">
        <v>8.6882999999999999</v>
      </c>
      <c r="Q40" s="256">
        <f t="shared" si="0"/>
        <v>104.25959999999999</v>
      </c>
    </row>
    <row r="41" spans="1:17" x14ac:dyDescent="0.2">
      <c r="A41" s="33"/>
      <c r="B41" s="31">
        <v>13069</v>
      </c>
      <c r="C41" s="26" t="s">
        <v>64</v>
      </c>
      <c r="D41" s="44" t="s">
        <v>65</v>
      </c>
      <c r="E41" s="250">
        <v>24.708600000000001</v>
      </c>
      <c r="F41" s="250">
        <v>24.708600000000001</v>
      </c>
      <c r="G41" s="250">
        <v>24.708600000000001</v>
      </c>
      <c r="H41" s="250">
        <v>24.708600000000001</v>
      </c>
      <c r="I41" s="250">
        <v>24.708600000000001</v>
      </c>
      <c r="J41" s="250">
        <v>24.708600000000001</v>
      </c>
      <c r="K41" s="250">
        <v>24.708600000000001</v>
      </c>
      <c r="L41" s="250">
        <v>24.708600000000001</v>
      </c>
      <c r="M41" s="250">
        <v>24.708600000000001</v>
      </c>
      <c r="N41" s="250">
        <v>24.708600000000001</v>
      </c>
      <c r="O41" s="250">
        <v>24.708600000000001</v>
      </c>
      <c r="P41" s="250">
        <v>24.708600000000001</v>
      </c>
      <c r="Q41" s="256">
        <f t="shared" si="0"/>
        <v>296.50319999999994</v>
      </c>
    </row>
    <row r="42" spans="1:17" x14ac:dyDescent="0.2">
      <c r="A42" s="33"/>
      <c r="B42" s="31">
        <v>77777</v>
      </c>
      <c r="C42" s="4" t="s">
        <v>583</v>
      </c>
      <c r="D42" s="292" t="s">
        <v>578</v>
      </c>
      <c r="E42" s="250">
        <v>7.02</v>
      </c>
      <c r="F42" s="250">
        <v>7.02</v>
      </c>
      <c r="G42" s="250">
        <v>7.02</v>
      </c>
      <c r="H42" s="250">
        <v>7.02</v>
      </c>
      <c r="I42" s="250">
        <v>7.02</v>
      </c>
      <c r="J42" s="250">
        <v>7.02</v>
      </c>
      <c r="K42" s="250">
        <v>7.02</v>
      </c>
      <c r="L42" s="250">
        <v>7.02</v>
      </c>
      <c r="M42" s="250">
        <v>7.02</v>
      </c>
      <c r="N42" s="250">
        <v>7.02</v>
      </c>
      <c r="O42" s="250">
        <v>7.02</v>
      </c>
      <c r="P42" s="250">
        <v>7.02</v>
      </c>
      <c r="Q42" s="256">
        <f t="shared" si="0"/>
        <v>84.239999999999966</v>
      </c>
    </row>
    <row r="43" spans="1:17" x14ac:dyDescent="0.2">
      <c r="A43" s="33"/>
      <c r="B43" s="31">
        <v>88888</v>
      </c>
      <c r="C43" s="6"/>
      <c r="D43" s="292" t="s">
        <v>576</v>
      </c>
      <c r="E43" s="250">
        <v>7.34</v>
      </c>
      <c r="F43" s="250">
        <v>7.34</v>
      </c>
      <c r="G43" s="250">
        <v>7.34</v>
      </c>
      <c r="H43" s="250">
        <v>7.34</v>
      </c>
      <c r="I43" s="250">
        <v>7.34</v>
      </c>
      <c r="J43" s="250">
        <v>7.34</v>
      </c>
      <c r="K43" s="250">
        <v>7.34</v>
      </c>
      <c r="L43" s="250">
        <v>7.34</v>
      </c>
      <c r="M43" s="250">
        <v>7.34</v>
      </c>
      <c r="N43" s="250">
        <v>7.34</v>
      </c>
      <c r="O43" s="250">
        <v>7.34</v>
      </c>
      <c r="P43" s="250">
        <v>7.34</v>
      </c>
      <c r="Q43" s="256">
        <f t="shared" si="0"/>
        <v>88.080000000000027</v>
      </c>
    </row>
    <row r="44" spans="1:17" x14ac:dyDescent="0.2">
      <c r="A44" s="33"/>
      <c r="B44" s="31">
        <v>99999</v>
      </c>
      <c r="C44" s="6"/>
      <c r="D44" s="292" t="s">
        <v>579</v>
      </c>
      <c r="E44" s="250">
        <v>8.69</v>
      </c>
      <c r="F44" s="250">
        <v>8.69</v>
      </c>
      <c r="G44" s="250">
        <v>8.69</v>
      </c>
      <c r="H44" s="250">
        <v>8.69</v>
      </c>
      <c r="I44" s="250">
        <v>8.69</v>
      </c>
      <c r="J44" s="250">
        <v>8.69</v>
      </c>
      <c r="K44" s="250">
        <v>8.69</v>
      </c>
      <c r="L44" s="250">
        <v>8.69</v>
      </c>
      <c r="M44" s="250">
        <v>8.69</v>
      </c>
      <c r="N44" s="250">
        <v>8.69</v>
      </c>
      <c r="O44" s="250">
        <v>8.69</v>
      </c>
      <c r="P44" s="250">
        <v>8.69</v>
      </c>
      <c r="Q44" s="256">
        <f t="shared" si="0"/>
        <v>104.27999999999999</v>
      </c>
    </row>
    <row r="45" spans="1:17" x14ac:dyDescent="0.2">
      <c r="A45" s="33"/>
      <c r="B45" s="31">
        <v>66666</v>
      </c>
      <c r="C45" s="6"/>
      <c r="D45" s="292" t="s">
        <v>577</v>
      </c>
      <c r="E45" s="250">
        <v>10.029999999999999</v>
      </c>
      <c r="F45" s="250">
        <v>10.029999999999999</v>
      </c>
      <c r="G45" s="250">
        <v>10.029999999999999</v>
      </c>
      <c r="H45" s="250">
        <v>10.029999999999999</v>
      </c>
      <c r="I45" s="250">
        <v>10.029999999999999</v>
      </c>
      <c r="J45" s="250">
        <v>10.029999999999999</v>
      </c>
      <c r="K45" s="250">
        <v>10.029999999999999</v>
      </c>
      <c r="L45" s="250">
        <v>10.029999999999999</v>
      </c>
      <c r="M45" s="250">
        <v>10.029999999999999</v>
      </c>
      <c r="N45" s="250">
        <v>10.029999999999999</v>
      </c>
      <c r="O45" s="250">
        <v>10.029999999999999</v>
      </c>
      <c r="P45" s="250">
        <v>10.029999999999999</v>
      </c>
      <c r="Q45" s="256">
        <f t="shared" si="0"/>
        <v>120.36</v>
      </c>
    </row>
    <row r="46" spans="1:17" x14ac:dyDescent="0.2">
      <c r="A46" s="33"/>
      <c r="B46" s="260">
        <v>13160</v>
      </c>
      <c r="C46" s="4" t="s">
        <v>437</v>
      </c>
      <c r="D46" s="293" t="s">
        <v>580</v>
      </c>
      <c r="E46" s="250">
        <v>9.43</v>
      </c>
      <c r="F46" s="250">
        <v>9.43</v>
      </c>
      <c r="G46" s="250">
        <v>9.43</v>
      </c>
      <c r="H46" s="250">
        <v>9.43</v>
      </c>
      <c r="I46" s="250">
        <v>9.43</v>
      </c>
      <c r="J46" s="250">
        <v>9.43</v>
      </c>
      <c r="K46" s="250">
        <v>9.43</v>
      </c>
      <c r="L46" s="250">
        <v>9.43</v>
      </c>
      <c r="M46" s="250">
        <v>9.43</v>
      </c>
      <c r="N46" s="250">
        <v>9.43</v>
      </c>
      <c r="O46" s="250">
        <v>9.43</v>
      </c>
      <c r="P46" s="250">
        <v>9.43</v>
      </c>
      <c r="Q46" s="256">
        <f t="shared" si="0"/>
        <v>113.16000000000003</v>
      </c>
    </row>
    <row r="47" spans="1:17" x14ac:dyDescent="0.2">
      <c r="A47" s="33"/>
      <c r="B47" s="260">
        <v>13161</v>
      </c>
      <c r="C47" s="6"/>
      <c r="D47" s="293" t="s">
        <v>581</v>
      </c>
      <c r="E47" s="250">
        <v>13.6</v>
      </c>
      <c r="F47" s="250">
        <v>13.6</v>
      </c>
      <c r="G47" s="250">
        <v>13.6</v>
      </c>
      <c r="H47" s="250">
        <v>13.6</v>
      </c>
      <c r="I47" s="250">
        <v>13.6</v>
      </c>
      <c r="J47" s="250">
        <v>13.6</v>
      </c>
      <c r="K47" s="250">
        <v>13.6</v>
      </c>
      <c r="L47" s="250">
        <v>13.6</v>
      </c>
      <c r="M47" s="250">
        <v>13.6</v>
      </c>
      <c r="N47" s="250">
        <v>13.6</v>
      </c>
      <c r="O47" s="250">
        <v>13.6</v>
      </c>
      <c r="P47" s="250">
        <v>13.6</v>
      </c>
      <c r="Q47" s="256">
        <f t="shared" si="0"/>
        <v>163.19999999999996</v>
      </c>
    </row>
    <row r="48" spans="1:17" ht="13.5" thickBot="1" x14ac:dyDescent="0.25">
      <c r="A48" s="33"/>
      <c r="B48" s="260">
        <v>13162</v>
      </c>
      <c r="C48" s="8"/>
      <c r="D48" s="293" t="s">
        <v>582</v>
      </c>
      <c r="E48" s="250">
        <v>15.59</v>
      </c>
      <c r="F48" s="250">
        <v>15.59</v>
      </c>
      <c r="G48" s="250">
        <v>15.59</v>
      </c>
      <c r="H48" s="250">
        <v>15.59</v>
      </c>
      <c r="I48" s="250">
        <v>15.59</v>
      </c>
      <c r="J48" s="250">
        <v>15.59</v>
      </c>
      <c r="K48" s="250">
        <v>15.59</v>
      </c>
      <c r="L48" s="250">
        <v>15.59</v>
      </c>
      <c r="M48" s="250">
        <v>15.59</v>
      </c>
      <c r="N48" s="250">
        <v>15.59</v>
      </c>
      <c r="O48" s="250">
        <v>15.59</v>
      </c>
      <c r="P48" s="250">
        <v>15.59</v>
      </c>
      <c r="Q48" s="256">
        <f t="shared" si="0"/>
        <v>187.08</v>
      </c>
    </row>
    <row r="49" spans="1:17" x14ac:dyDescent="0.2">
      <c r="A49" s="33"/>
      <c r="B49" s="3"/>
      <c r="C49" s="27"/>
      <c r="D49" s="55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</row>
    <row r="50" spans="1:17" x14ac:dyDescent="0.2">
      <c r="A50" s="33"/>
      <c r="B50" s="3"/>
      <c r="C50" s="28"/>
      <c r="D50" s="56" t="s">
        <v>149</v>
      </c>
      <c r="E50" s="287">
        <f t="shared" ref="E50:Q50" si="1">SUM(E4:E48)</f>
        <v>448.53193799999991</v>
      </c>
      <c r="F50" s="287">
        <f t="shared" si="1"/>
        <v>448.53193799999991</v>
      </c>
      <c r="G50" s="287">
        <f t="shared" si="1"/>
        <v>448.53193799999991</v>
      </c>
      <c r="H50" s="287">
        <f t="shared" si="1"/>
        <v>448.53193799999991</v>
      </c>
      <c r="I50" s="287">
        <f t="shared" si="1"/>
        <v>448.53193799999991</v>
      </c>
      <c r="J50" s="287">
        <f t="shared" si="1"/>
        <v>448.53193799999991</v>
      </c>
      <c r="K50" s="287">
        <f t="shared" si="1"/>
        <v>448.53193799999991</v>
      </c>
      <c r="L50" s="287">
        <f t="shared" si="1"/>
        <v>448.53193799999991</v>
      </c>
      <c r="M50" s="287">
        <f t="shared" si="1"/>
        <v>448.53193799999991</v>
      </c>
      <c r="N50" s="287">
        <f t="shared" si="1"/>
        <v>448.53193799999991</v>
      </c>
      <c r="O50" s="287">
        <f t="shared" si="1"/>
        <v>448.53193799999991</v>
      </c>
      <c r="P50" s="287">
        <f t="shared" si="1"/>
        <v>448.53193799999991</v>
      </c>
      <c r="Q50" s="58">
        <f t="shared" si="1"/>
        <v>5382.3832559999992</v>
      </c>
    </row>
    <row r="51" spans="1:17" ht="13.5" thickBot="1" x14ac:dyDescent="0.25">
      <c r="A51" s="33"/>
      <c r="B51" s="3"/>
      <c r="C51" s="29"/>
      <c r="D51" s="57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</row>
    <row r="52" spans="1:17" s="33" customFormat="1" x14ac:dyDescent="0.2">
      <c r="B52" s="35"/>
      <c r="C52" s="36"/>
      <c r="D52" s="45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</row>
    <row r="53" spans="1:17" s="33" customFormat="1" x14ac:dyDescent="0.2">
      <c r="B53" s="35"/>
      <c r="C53" s="36"/>
      <c r="D53" s="45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</row>
    <row r="54" spans="1:17" s="33" customFormat="1" x14ac:dyDescent="0.2">
      <c r="B54" s="35"/>
      <c r="C54" s="36"/>
      <c r="D54" s="45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</row>
    <row r="55" spans="1:17" s="33" customFormat="1" x14ac:dyDescent="0.2">
      <c r="B55" s="35"/>
      <c r="C55" s="36"/>
      <c r="D55" s="45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</row>
    <row r="56" spans="1:17" s="33" customFormat="1" x14ac:dyDescent="0.2">
      <c r="B56" s="35"/>
      <c r="C56" s="36"/>
      <c r="D56" s="45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</row>
    <row r="57" spans="1:17" s="33" customFormat="1" x14ac:dyDescent="0.2">
      <c r="B57" s="35"/>
      <c r="C57" s="36"/>
      <c r="D57" s="45"/>
      <c r="E57" s="34" t="s">
        <v>145</v>
      </c>
    </row>
    <row r="58" spans="1:17" s="33" customFormat="1" x14ac:dyDescent="0.2">
      <c r="B58" s="35"/>
      <c r="C58" s="38"/>
      <c r="D58" s="46"/>
      <c r="E58" s="286">
        <v>1</v>
      </c>
      <c r="F58" s="286">
        <v>2</v>
      </c>
      <c r="G58" s="286">
        <v>3</v>
      </c>
      <c r="H58" s="286">
        <v>4</v>
      </c>
      <c r="I58" s="286">
        <v>5</v>
      </c>
      <c r="J58" s="286">
        <v>6</v>
      </c>
      <c r="K58" s="286">
        <v>7</v>
      </c>
      <c r="L58" s="286">
        <v>8</v>
      </c>
      <c r="M58" s="286">
        <v>9</v>
      </c>
      <c r="N58" s="286">
        <v>10</v>
      </c>
      <c r="O58" s="286">
        <v>11</v>
      </c>
      <c r="P58" s="286">
        <v>12</v>
      </c>
      <c r="Q58" s="286" t="s">
        <v>146</v>
      </c>
    </row>
    <row r="59" spans="1:17" x14ac:dyDescent="0.2">
      <c r="A59" s="33"/>
      <c r="B59" s="31">
        <v>13035</v>
      </c>
      <c r="C59" s="30" t="s">
        <v>67</v>
      </c>
      <c r="D59" s="47" t="s">
        <v>68</v>
      </c>
      <c r="E59" s="256">
        <v>4.9055999999999997</v>
      </c>
      <c r="F59" s="256">
        <v>4.9055999999999997</v>
      </c>
      <c r="G59" s="256">
        <v>4.9055999999999997</v>
      </c>
      <c r="H59" s="256">
        <v>4.9055999999999997</v>
      </c>
      <c r="I59" s="256">
        <v>4.9055999999999997</v>
      </c>
      <c r="J59" s="256">
        <v>4.9055999999999997</v>
      </c>
      <c r="K59" s="256">
        <v>4.9055999999999997</v>
      </c>
      <c r="L59" s="256">
        <v>4.9055999999999997</v>
      </c>
      <c r="M59" s="256">
        <v>4.9055999999999997</v>
      </c>
      <c r="N59" s="256">
        <v>4.9055999999999997</v>
      </c>
      <c r="O59" s="256">
        <v>4.9055999999999997</v>
      </c>
      <c r="P59" s="256">
        <v>4.9055999999999997</v>
      </c>
      <c r="Q59" s="256">
        <f>SUM(E59:P59)</f>
        <v>58.867199999999997</v>
      </c>
    </row>
    <row r="60" spans="1:17" x14ac:dyDescent="0.2">
      <c r="A60" s="33"/>
      <c r="B60" s="260">
        <v>13060</v>
      </c>
      <c r="C60" s="4" t="s">
        <v>69</v>
      </c>
      <c r="D60" s="49" t="s">
        <v>70</v>
      </c>
      <c r="E60" s="256">
        <v>12.44955828</v>
      </c>
      <c r="F60" s="256">
        <v>12.44955828</v>
      </c>
      <c r="G60" s="256">
        <v>12.44955828</v>
      </c>
      <c r="H60" s="256">
        <v>12.44955828</v>
      </c>
      <c r="I60" s="256">
        <v>12.44955828</v>
      </c>
      <c r="J60" s="256">
        <v>12.44955828</v>
      </c>
      <c r="K60" s="256">
        <v>12.44955828</v>
      </c>
      <c r="L60" s="256">
        <v>12.44955828</v>
      </c>
      <c r="M60" s="256">
        <v>12.44955828</v>
      </c>
      <c r="N60" s="256">
        <v>12.44955828</v>
      </c>
      <c r="O60" s="256">
        <v>12.44955828</v>
      </c>
      <c r="P60" s="256">
        <v>12.44955828</v>
      </c>
      <c r="Q60" s="256">
        <f t="shared" ref="Q60:Q95" si="2">SUM(E60:P60)</f>
        <v>149.39469936</v>
      </c>
    </row>
    <row r="61" spans="1:17" x14ac:dyDescent="0.2">
      <c r="A61" s="33"/>
      <c r="B61" s="260">
        <v>13061</v>
      </c>
      <c r="C61" s="6"/>
      <c r="D61" s="49" t="s">
        <v>71</v>
      </c>
      <c r="E61" s="256">
        <v>2.5788000000000002</v>
      </c>
      <c r="F61" s="256">
        <v>2.5788000000000002</v>
      </c>
      <c r="G61" s="256">
        <v>2.5788000000000002</v>
      </c>
      <c r="H61" s="256">
        <v>2.5788000000000002</v>
      </c>
      <c r="I61" s="256">
        <v>2.5788000000000002</v>
      </c>
      <c r="J61" s="256">
        <v>2.5788000000000002</v>
      </c>
      <c r="K61" s="256">
        <v>2.5788000000000002</v>
      </c>
      <c r="L61" s="256">
        <v>2.5788000000000002</v>
      </c>
      <c r="M61" s="256">
        <v>2.5788000000000002</v>
      </c>
      <c r="N61" s="256">
        <v>2.5788000000000002</v>
      </c>
      <c r="O61" s="256">
        <v>2.5788000000000002</v>
      </c>
      <c r="P61" s="256">
        <v>2.5788000000000002</v>
      </c>
      <c r="Q61" s="256">
        <f t="shared" si="2"/>
        <v>30.94560000000001</v>
      </c>
    </row>
    <row r="62" spans="1:17" x14ac:dyDescent="0.2">
      <c r="A62" s="33"/>
      <c r="B62" s="260">
        <v>13062</v>
      </c>
      <c r="C62" s="6"/>
      <c r="D62" s="49" t="s">
        <v>72</v>
      </c>
      <c r="E62" s="256">
        <v>4.0140000000000002</v>
      </c>
      <c r="F62" s="256">
        <v>4.0140000000000002</v>
      </c>
      <c r="G62" s="256">
        <v>4.0140000000000002</v>
      </c>
      <c r="H62" s="256">
        <v>4.0140000000000002</v>
      </c>
      <c r="I62" s="256">
        <v>4.0140000000000002</v>
      </c>
      <c r="J62" s="256">
        <v>4.0140000000000002</v>
      </c>
      <c r="K62" s="256">
        <v>4.0140000000000002</v>
      </c>
      <c r="L62" s="256">
        <v>4.0140000000000002</v>
      </c>
      <c r="M62" s="256">
        <v>4.0140000000000002</v>
      </c>
      <c r="N62" s="256">
        <v>4.0140000000000002</v>
      </c>
      <c r="O62" s="256">
        <v>4.0140000000000002</v>
      </c>
      <c r="P62" s="256">
        <v>4.0140000000000002</v>
      </c>
      <c r="Q62" s="256">
        <f t="shared" si="2"/>
        <v>48.168000000000013</v>
      </c>
    </row>
    <row r="63" spans="1:17" x14ac:dyDescent="0.2">
      <c r="A63" s="33"/>
      <c r="B63" s="260">
        <v>13063</v>
      </c>
      <c r="C63" s="6"/>
      <c r="D63" s="49" t="s">
        <v>73</v>
      </c>
      <c r="E63" s="256">
        <v>19.446200000000001</v>
      </c>
      <c r="F63" s="256">
        <v>19.446200000000001</v>
      </c>
      <c r="G63" s="256">
        <v>19.446200000000001</v>
      </c>
      <c r="H63" s="256">
        <v>19.446200000000001</v>
      </c>
      <c r="I63" s="256">
        <v>19.446200000000001</v>
      </c>
      <c r="J63" s="256">
        <v>19.446200000000001</v>
      </c>
      <c r="K63" s="256">
        <v>19.446200000000001</v>
      </c>
      <c r="L63" s="256">
        <v>19.446200000000001</v>
      </c>
      <c r="M63" s="256">
        <v>19.446200000000001</v>
      </c>
      <c r="N63" s="256">
        <v>19.446200000000001</v>
      </c>
      <c r="O63" s="256">
        <v>19.446200000000001</v>
      </c>
      <c r="P63" s="256">
        <v>19.446200000000001</v>
      </c>
      <c r="Q63" s="256">
        <f t="shared" si="2"/>
        <v>233.35440000000003</v>
      </c>
    </row>
    <row r="64" spans="1:17" x14ac:dyDescent="0.2">
      <c r="A64" s="33"/>
      <c r="B64" s="260">
        <v>13165</v>
      </c>
      <c r="C64" s="6"/>
      <c r="D64" s="49" t="s">
        <v>570</v>
      </c>
      <c r="E64" s="256">
        <v>12.96</v>
      </c>
      <c r="F64" s="256">
        <v>12.96</v>
      </c>
      <c r="G64" s="256">
        <v>12.96</v>
      </c>
      <c r="H64" s="256">
        <v>12.96</v>
      </c>
      <c r="I64" s="256">
        <v>12.96</v>
      </c>
      <c r="J64" s="256">
        <v>12.96</v>
      </c>
      <c r="K64" s="256">
        <v>12.96</v>
      </c>
      <c r="L64" s="256">
        <v>12.96</v>
      </c>
      <c r="M64" s="256">
        <v>12.96</v>
      </c>
      <c r="N64" s="256">
        <v>12.96</v>
      </c>
      <c r="O64" s="256">
        <v>12.96</v>
      </c>
      <c r="P64" s="256">
        <v>12.96</v>
      </c>
      <c r="Q64" s="256">
        <f t="shared" si="2"/>
        <v>155.52000000000007</v>
      </c>
    </row>
    <row r="65" spans="1:17" x14ac:dyDescent="0.2">
      <c r="A65" s="33"/>
      <c r="B65" s="260">
        <v>13166</v>
      </c>
      <c r="C65" s="8"/>
      <c r="D65" s="49" t="s">
        <v>593</v>
      </c>
      <c r="E65" s="256">
        <v>2.15</v>
      </c>
      <c r="F65" s="256">
        <v>2.15</v>
      </c>
      <c r="G65" s="256">
        <v>2.15</v>
      </c>
      <c r="H65" s="256">
        <v>2.15</v>
      </c>
      <c r="I65" s="256">
        <v>2.15</v>
      </c>
      <c r="J65" s="256">
        <v>2.15</v>
      </c>
      <c r="K65" s="256">
        <v>2.15</v>
      </c>
      <c r="L65" s="256">
        <v>2.15</v>
      </c>
      <c r="M65" s="256">
        <v>2.15</v>
      </c>
      <c r="N65" s="256">
        <v>2.15</v>
      </c>
      <c r="O65" s="256">
        <v>2.15</v>
      </c>
      <c r="P65" s="256">
        <v>2.15</v>
      </c>
      <c r="Q65" s="256">
        <f t="shared" si="2"/>
        <v>25.799999999999994</v>
      </c>
    </row>
    <row r="66" spans="1:17" x14ac:dyDescent="0.2">
      <c r="A66" s="33"/>
      <c r="B66" s="32">
        <v>13159</v>
      </c>
      <c r="C66" s="15" t="s">
        <v>75</v>
      </c>
      <c r="D66" s="48" t="s">
        <v>497</v>
      </c>
      <c r="E66" s="256">
        <v>9.4665900000000001</v>
      </c>
      <c r="F66" s="256">
        <v>9.4665900000000001</v>
      </c>
      <c r="G66" s="256">
        <v>9.4665900000000001</v>
      </c>
      <c r="H66" s="256">
        <v>9.4665900000000001</v>
      </c>
      <c r="I66" s="256">
        <v>9.4665900000000001</v>
      </c>
      <c r="J66" s="256">
        <v>9.4665900000000001</v>
      </c>
      <c r="K66" s="256">
        <v>9.4665900000000001</v>
      </c>
      <c r="L66" s="256">
        <v>9.4665900000000001</v>
      </c>
      <c r="M66" s="256">
        <v>9.4665900000000001</v>
      </c>
      <c r="N66" s="256">
        <v>9.4665900000000001</v>
      </c>
      <c r="O66" s="256">
        <v>9.4665900000000001</v>
      </c>
      <c r="P66" s="256">
        <v>9.4665900000000001</v>
      </c>
      <c r="Q66" s="256">
        <f t="shared" si="2"/>
        <v>113.59907999999997</v>
      </c>
    </row>
    <row r="67" spans="1:17" x14ac:dyDescent="0.2">
      <c r="A67" s="33"/>
      <c r="B67" s="32">
        <v>13121</v>
      </c>
      <c r="C67" s="19" t="s">
        <v>555</v>
      </c>
      <c r="D67" s="48" t="s">
        <v>76</v>
      </c>
      <c r="E67" s="256">
        <v>17.916</v>
      </c>
      <c r="F67" s="256">
        <v>17.916</v>
      </c>
      <c r="G67" s="256">
        <v>17.916</v>
      </c>
      <c r="H67" s="256">
        <v>17.916</v>
      </c>
      <c r="I67" s="256">
        <v>17.916</v>
      </c>
      <c r="J67" s="256">
        <v>17.916</v>
      </c>
      <c r="K67" s="256">
        <v>17.916</v>
      </c>
      <c r="L67" s="256">
        <v>17.916</v>
      </c>
      <c r="M67" s="256">
        <v>17.916</v>
      </c>
      <c r="N67" s="256">
        <v>17.916</v>
      </c>
      <c r="O67" s="256">
        <v>17.916</v>
      </c>
      <c r="P67" s="256">
        <v>17.916</v>
      </c>
      <c r="Q67" s="256">
        <f t="shared" si="2"/>
        <v>214.99199999999999</v>
      </c>
    </row>
    <row r="68" spans="1:17" x14ac:dyDescent="0.2">
      <c r="A68" s="33"/>
      <c r="B68" s="31">
        <v>13143</v>
      </c>
      <c r="C68" s="4" t="s">
        <v>77</v>
      </c>
      <c r="D68" s="48" t="s">
        <v>78</v>
      </c>
      <c r="E68" s="256">
        <v>8.0036000000000005</v>
      </c>
      <c r="F68" s="256">
        <v>8.0036000000000005</v>
      </c>
      <c r="G68" s="256">
        <v>8.0036000000000005</v>
      </c>
      <c r="H68" s="256">
        <v>8.0036000000000005</v>
      </c>
      <c r="I68" s="256">
        <v>8.0036000000000005</v>
      </c>
      <c r="J68" s="256">
        <v>8.0036000000000005</v>
      </c>
      <c r="K68" s="256">
        <v>8.0036000000000005</v>
      </c>
      <c r="L68" s="256">
        <v>8.0036000000000005</v>
      </c>
      <c r="M68" s="256">
        <v>8.0036000000000005</v>
      </c>
      <c r="N68" s="256">
        <v>8.0036000000000005</v>
      </c>
      <c r="O68" s="256">
        <v>8.0036000000000005</v>
      </c>
      <c r="P68" s="256">
        <v>8.0036000000000005</v>
      </c>
      <c r="Q68" s="256">
        <f t="shared" si="2"/>
        <v>96.043200000000027</v>
      </c>
    </row>
    <row r="69" spans="1:17" x14ac:dyDescent="0.2">
      <c r="A69" s="33"/>
      <c r="B69" s="31">
        <v>13144</v>
      </c>
      <c r="C69" s="8"/>
      <c r="D69" s="48" t="s">
        <v>79</v>
      </c>
      <c r="E69" s="256">
        <v>13.6259</v>
      </c>
      <c r="F69" s="256">
        <v>13.6259</v>
      </c>
      <c r="G69" s="256">
        <v>13.6259</v>
      </c>
      <c r="H69" s="256">
        <v>13.6259</v>
      </c>
      <c r="I69" s="256">
        <v>13.6259</v>
      </c>
      <c r="J69" s="256">
        <v>13.6259</v>
      </c>
      <c r="K69" s="256">
        <v>13.6259</v>
      </c>
      <c r="L69" s="256">
        <v>13.6259</v>
      </c>
      <c r="M69" s="256">
        <v>13.6259</v>
      </c>
      <c r="N69" s="256">
        <v>13.6259</v>
      </c>
      <c r="O69" s="256">
        <v>13.6259</v>
      </c>
      <c r="P69" s="256">
        <v>13.6259</v>
      </c>
      <c r="Q69" s="256">
        <f t="shared" si="2"/>
        <v>163.51079999999999</v>
      </c>
    </row>
    <row r="70" spans="1:17" x14ac:dyDescent="0.2">
      <c r="A70" s="33"/>
      <c r="B70" s="31">
        <v>13079</v>
      </c>
      <c r="C70" s="24" t="s">
        <v>554</v>
      </c>
      <c r="D70" s="48" t="s">
        <v>553</v>
      </c>
      <c r="E70" s="256">
        <v>0</v>
      </c>
      <c r="F70" s="256">
        <v>0</v>
      </c>
      <c r="G70" s="256">
        <v>0</v>
      </c>
      <c r="H70" s="256">
        <v>0</v>
      </c>
      <c r="I70" s="256">
        <v>0</v>
      </c>
      <c r="J70" s="256">
        <v>0</v>
      </c>
      <c r="K70" s="256">
        <v>0</v>
      </c>
      <c r="L70" s="256">
        <v>0</v>
      </c>
      <c r="M70" s="256">
        <v>0</v>
      </c>
      <c r="N70" s="256">
        <v>0</v>
      </c>
      <c r="O70" s="256">
        <v>0</v>
      </c>
      <c r="P70" s="256">
        <v>0</v>
      </c>
      <c r="Q70" s="256">
        <f t="shared" si="2"/>
        <v>0</v>
      </c>
    </row>
    <row r="71" spans="1:17" x14ac:dyDescent="0.2">
      <c r="A71" s="33"/>
      <c r="B71" s="260">
        <v>13038</v>
      </c>
      <c r="C71" s="9" t="s">
        <v>82</v>
      </c>
      <c r="D71" s="49" t="s">
        <v>83</v>
      </c>
      <c r="E71" s="256">
        <v>29.996700000000001</v>
      </c>
      <c r="F71" s="256">
        <v>29.996700000000001</v>
      </c>
      <c r="G71" s="256">
        <v>29.996700000000001</v>
      </c>
      <c r="H71" s="256">
        <v>29.996700000000001</v>
      </c>
      <c r="I71" s="256">
        <v>29.996700000000001</v>
      </c>
      <c r="J71" s="256">
        <v>29.996700000000001</v>
      </c>
      <c r="K71" s="256">
        <v>29.996700000000001</v>
      </c>
      <c r="L71" s="256">
        <v>29.996700000000001</v>
      </c>
      <c r="M71" s="256">
        <v>29.996700000000001</v>
      </c>
      <c r="N71" s="256">
        <v>29.996700000000001</v>
      </c>
      <c r="O71" s="256">
        <v>29.996700000000001</v>
      </c>
      <c r="P71" s="256">
        <v>29.996700000000001</v>
      </c>
      <c r="Q71" s="256">
        <f t="shared" si="2"/>
        <v>359.96039999999994</v>
      </c>
    </row>
    <row r="72" spans="1:17" x14ac:dyDescent="0.2">
      <c r="A72" s="33"/>
      <c r="B72" s="260">
        <v>55555</v>
      </c>
      <c r="C72" s="22"/>
      <c r="D72" s="49" t="s">
        <v>584</v>
      </c>
      <c r="E72" s="256">
        <v>15.64</v>
      </c>
      <c r="F72" s="256">
        <v>15.64</v>
      </c>
      <c r="G72" s="256">
        <v>15.64</v>
      </c>
      <c r="H72" s="256">
        <v>15.64</v>
      </c>
      <c r="I72" s="256">
        <v>15.64</v>
      </c>
      <c r="J72" s="256">
        <v>15.64</v>
      </c>
      <c r="K72" s="256">
        <v>15.64</v>
      </c>
      <c r="L72" s="256">
        <v>15.64</v>
      </c>
      <c r="M72" s="256">
        <v>15.64</v>
      </c>
      <c r="N72" s="256">
        <v>15.64</v>
      </c>
      <c r="O72" s="256">
        <v>15.64</v>
      </c>
      <c r="P72" s="256">
        <v>15.64</v>
      </c>
      <c r="Q72" s="256">
        <f t="shared" si="2"/>
        <v>187.67999999999995</v>
      </c>
    </row>
    <row r="73" spans="1:17" x14ac:dyDescent="0.2">
      <c r="A73" s="33"/>
      <c r="B73" s="31">
        <v>13032</v>
      </c>
      <c r="C73" s="22" t="s">
        <v>84</v>
      </c>
      <c r="D73" s="48" t="s">
        <v>85</v>
      </c>
      <c r="E73" s="256">
        <v>12.4503</v>
      </c>
      <c r="F73" s="256">
        <v>12.4503</v>
      </c>
      <c r="G73" s="256">
        <v>12.4503</v>
      </c>
      <c r="H73" s="256">
        <v>12.4503</v>
      </c>
      <c r="I73" s="256">
        <v>12.4503</v>
      </c>
      <c r="J73" s="256">
        <v>12.4503</v>
      </c>
      <c r="K73" s="256">
        <v>12.4503</v>
      </c>
      <c r="L73" s="256">
        <v>12.4503</v>
      </c>
      <c r="M73" s="256">
        <v>12.4503</v>
      </c>
      <c r="N73" s="256">
        <v>12.4503</v>
      </c>
      <c r="O73" s="256">
        <v>12.4503</v>
      </c>
      <c r="P73" s="256">
        <v>12.4503</v>
      </c>
      <c r="Q73" s="256">
        <f t="shared" si="2"/>
        <v>149.40360000000001</v>
      </c>
    </row>
    <row r="74" spans="1:17" x14ac:dyDescent="0.2">
      <c r="A74" s="33"/>
      <c r="B74" s="31">
        <v>13037</v>
      </c>
      <c r="C74" s="22"/>
      <c r="D74" s="48" t="s">
        <v>86</v>
      </c>
      <c r="E74" s="256">
        <v>12.0501</v>
      </c>
      <c r="F74" s="256">
        <v>12.0501</v>
      </c>
      <c r="G74" s="256">
        <v>12.0501</v>
      </c>
      <c r="H74" s="256">
        <v>12.0501</v>
      </c>
      <c r="I74" s="256">
        <v>12.0501</v>
      </c>
      <c r="J74" s="256">
        <v>12.0501</v>
      </c>
      <c r="K74" s="256">
        <v>12.0501</v>
      </c>
      <c r="L74" s="256">
        <v>12.0501</v>
      </c>
      <c r="M74" s="256">
        <v>12.0501</v>
      </c>
      <c r="N74" s="256">
        <v>12.0501</v>
      </c>
      <c r="O74" s="256">
        <v>12.0501</v>
      </c>
      <c r="P74" s="256">
        <v>12.0501</v>
      </c>
      <c r="Q74" s="256">
        <f t="shared" si="2"/>
        <v>144.60120000000001</v>
      </c>
    </row>
    <row r="75" spans="1:17" x14ac:dyDescent="0.2">
      <c r="A75" s="33"/>
      <c r="B75" s="32">
        <v>13154</v>
      </c>
      <c r="C75" s="253" t="s">
        <v>87</v>
      </c>
      <c r="D75" s="50" t="s">
        <v>123</v>
      </c>
      <c r="E75" s="256">
        <v>1.9193</v>
      </c>
      <c r="F75" s="256">
        <v>1.9193</v>
      </c>
      <c r="G75" s="256">
        <v>1.9193</v>
      </c>
      <c r="H75" s="256">
        <v>1.9193</v>
      </c>
      <c r="I75" s="256">
        <v>1.9193</v>
      </c>
      <c r="J75" s="256">
        <v>1.9193</v>
      </c>
      <c r="K75" s="256">
        <v>1.9193</v>
      </c>
      <c r="L75" s="256">
        <v>1.9193</v>
      </c>
      <c r="M75" s="256">
        <v>1.9193</v>
      </c>
      <c r="N75" s="256">
        <v>1.9193</v>
      </c>
      <c r="O75" s="256">
        <v>1.9193</v>
      </c>
      <c r="P75" s="256">
        <v>1.9193</v>
      </c>
      <c r="Q75" s="256">
        <f t="shared" si="2"/>
        <v>23.031600000000001</v>
      </c>
    </row>
    <row r="76" spans="1:17" x14ac:dyDescent="0.2">
      <c r="A76" s="33"/>
      <c r="B76" s="32">
        <v>13155</v>
      </c>
      <c r="C76" s="253"/>
      <c r="D76" s="50" t="s">
        <v>124</v>
      </c>
      <c r="E76" s="256">
        <v>1.4948999999999999</v>
      </c>
      <c r="F76" s="256">
        <v>1.4948999999999999</v>
      </c>
      <c r="G76" s="256">
        <v>1.4948999999999999</v>
      </c>
      <c r="H76" s="256">
        <v>1.4948999999999999</v>
      </c>
      <c r="I76" s="256">
        <v>1.4948999999999999</v>
      </c>
      <c r="J76" s="256">
        <v>1.4948999999999999</v>
      </c>
      <c r="K76" s="256">
        <v>1.4948999999999999</v>
      </c>
      <c r="L76" s="256">
        <v>1.4948999999999999</v>
      </c>
      <c r="M76" s="256">
        <v>1.4948999999999999</v>
      </c>
      <c r="N76" s="256">
        <v>1.4948999999999999</v>
      </c>
      <c r="O76" s="256">
        <v>1.4948999999999999</v>
      </c>
      <c r="P76" s="256">
        <v>1.4948999999999999</v>
      </c>
      <c r="Q76" s="256">
        <f t="shared" si="2"/>
        <v>17.938799999999997</v>
      </c>
    </row>
    <row r="77" spans="1:17" x14ac:dyDescent="0.2">
      <c r="A77" s="33"/>
      <c r="B77" s="32">
        <v>13152</v>
      </c>
      <c r="C77" s="253"/>
      <c r="D77" s="50" t="s">
        <v>125</v>
      </c>
      <c r="E77" s="256">
        <v>1.9198999999999999</v>
      </c>
      <c r="F77" s="256">
        <v>1.9198999999999999</v>
      </c>
      <c r="G77" s="256">
        <v>1.9198999999999999</v>
      </c>
      <c r="H77" s="256">
        <v>1.9198999999999999</v>
      </c>
      <c r="I77" s="256">
        <v>1.9198999999999999</v>
      </c>
      <c r="J77" s="256">
        <v>1.9198999999999999</v>
      </c>
      <c r="K77" s="256">
        <v>1.9198999999999999</v>
      </c>
      <c r="L77" s="256">
        <v>1.9198999999999999</v>
      </c>
      <c r="M77" s="256">
        <v>1.9198999999999999</v>
      </c>
      <c r="N77" s="256">
        <v>1.9198999999999999</v>
      </c>
      <c r="O77" s="256">
        <v>1.9198999999999999</v>
      </c>
      <c r="P77" s="256">
        <v>1.9198999999999999</v>
      </c>
      <c r="Q77" s="256">
        <f t="shared" si="2"/>
        <v>23.038799999999995</v>
      </c>
    </row>
    <row r="78" spans="1:17" x14ac:dyDescent="0.2">
      <c r="A78" s="33"/>
      <c r="B78" s="32">
        <v>13153</v>
      </c>
      <c r="C78" s="253"/>
      <c r="D78" s="50" t="s">
        <v>126</v>
      </c>
      <c r="E78" s="256">
        <v>1.4278999999999999</v>
      </c>
      <c r="F78" s="256">
        <v>1.4278999999999999</v>
      </c>
      <c r="G78" s="256">
        <v>1.4278999999999999</v>
      </c>
      <c r="H78" s="256">
        <v>1.4278999999999999</v>
      </c>
      <c r="I78" s="256">
        <v>1.4278999999999999</v>
      </c>
      <c r="J78" s="256">
        <v>1.4278999999999999</v>
      </c>
      <c r="K78" s="256">
        <v>1.4278999999999999</v>
      </c>
      <c r="L78" s="256">
        <v>1.4278999999999999</v>
      </c>
      <c r="M78" s="256">
        <v>1.4278999999999999</v>
      </c>
      <c r="N78" s="256">
        <v>1.4278999999999999</v>
      </c>
      <c r="O78" s="256">
        <v>1.4278999999999999</v>
      </c>
      <c r="P78" s="256">
        <v>1.4278999999999999</v>
      </c>
      <c r="Q78" s="256">
        <f t="shared" si="2"/>
        <v>17.134799999999995</v>
      </c>
    </row>
    <row r="79" spans="1:17" x14ac:dyDescent="0.2">
      <c r="A79" s="33"/>
      <c r="B79" s="32">
        <v>13157</v>
      </c>
      <c r="C79" s="253"/>
      <c r="D79" s="50" t="s">
        <v>127</v>
      </c>
      <c r="E79" s="256">
        <v>2.1303999999999998</v>
      </c>
      <c r="F79" s="256">
        <v>2.1303999999999998</v>
      </c>
      <c r="G79" s="256">
        <v>2.1303999999999998</v>
      </c>
      <c r="H79" s="256">
        <v>2.1303999999999998</v>
      </c>
      <c r="I79" s="256">
        <v>2.1303999999999998</v>
      </c>
      <c r="J79" s="256">
        <v>2.1303999999999998</v>
      </c>
      <c r="K79" s="256">
        <v>2.1303999999999998</v>
      </c>
      <c r="L79" s="256">
        <v>2.1303999999999998</v>
      </c>
      <c r="M79" s="256">
        <v>2.1303999999999998</v>
      </c>
      <c r="N79" s="256">
        <v>2.1303999999999998</v>
      </c>
      <c r="O79" s="256">
        <v>2.1303999999999998</v>
      </c>
      <c r="P79" s="256">
        <v>2.1303999999999998</v>
      </c>
      <c r="Q79" s="256">
        <f t="shared" si="2"/>
        <v>25.564800000000005</v>
      </c>
    </row>
    <row r="80" spans="1:17" x14ac:dyDescent="0.2">
      <c r="A80" s="33"/>
      <c r="B80" s="32">
        <v>13149</v>
      </c>
      <c r="C80" s="253"/>
      <c r="D80" s="50" t="s">
        <v>128</v>
      </c>
      <c r="E80" s="256">
        <v>2.3883999999999999</v>
      </c>
      <c r="F80" s="256">
        <v>2.3883999999999999</v>
      </c>
      <c r="G80" s="256">
        <v>2.3883999999999999</v>
      </c>
      <c r="H80" s="256">
        <v>2.3883999999999999</v>
      </c>
      <c r="I80" s="256">
        <v>2.3883999999999999</v>
      </c>
      <c r="J80" s="256">
        <v>2.3883999999999999</v>
      </c>
      <c r="K80" s="256">
        <v>2.3883999999999999</v>
      </c>
      <c r="L80" s="256">
        <v>2.3883999999999999</v>
      </c>
      <c r="M80" s="256">
        <v>2.3883999999999999</v>
      </c>
      <c r="N80" s="256">
        <v>2.3883999999999999</v>
      </c>
      <c r="O80" s="256">
        <v>2.3883999999999999</v>
      </c>
      <c r="P80" s="256">
        <v>2.3883999999999999</v>
      </c>
      <c r="Q80" s="256">
        <f t="shared" si="2"/>
        <v>28.660800000000005</v>
      </c>
    </row>
    <row r="81" spans="1:17" x14ac:dyDescent="0.2">
      <c r="A81" s="33"/>
      <c r="B81" s="32">
        <v>13150</v>
      </c>
      <c r="C81" s="253"/>
      <c r="D81" s="50" t="s">
        <v>129</v>
      </c>
      <c r="E81" s="256">
        <v>2.5087999999999999</v>
      </c>
      <c r="F81" s="256">
        <v>2.5087999999999999</v>
      </c>
      <c r="G81" s="256">
        <v>2.5087999999999999</v>
      </c>
      <c r="H81" s="256">
        <v>2.5087999999999999</v>
      </c>
      <c r="I81" s="256">
        <v>2.5087999999999999</v>
      </c>
      <c r="J81" s="256">
        <v>2.5087999999999999</v>
      </c>
      <c r="K81" s="256">
        <v>2.5087999999999999</v>
      </c>
      <c r="L81" s="256">
        <v>2.5087999999999999</v>
      </c>
      <c r="M81" s="256">
        <v>2.5087999999999999</v>
      </c>
      <c r="N81" s="256">
        <v>2.5087999999999999</v>
      </c>
      <c r="O81" s="256">
        <v>2.5087999999999999</v>
      </c>
      <c r="P81" s="256">
        <v>2.5087999999999999</v>
      </c>
      <c r="Q81" s="256">
        <f t="shared" si="2"/>
        <v>30.105600000000006</v>
      </c>
    </row>
    <row r="82" spans="1:17" x14ac:dyDescent="0.2">
      <c r="A82" s="33"/>
      <c r="B82" s="32">
        <v>13108</v>
      </c>
      <c r="C82" s="253"/>
      <c r="D82" s="50" t="s">
        <v>130</v>
      </c>
      <c r="E82" s="256">
        <v>1.5136000000000001</v>
      </c>
      <c r="F82" s="256">
        <v>1.5136000000000001</v>
      </c>
      <c r="G82" s="256">
        <v>1.5136000000000001</v>
      </c>
      <c r="H82" s="256">
        <v>1.5136000000000001</v>
      </c>
      <c r="I82" s="256">
        <v>1.5136000000000001</v>
      </c>
      <c r="J82" s="256">
        <v>1.5136000000000001</v>
      </c>
      <c r="K82" s="256">
        <v>1.5136000000000001</v>
      </c>
      <c r="L82" s="256">
        <v>1.5136000000000001</v>
      </c>
      <c r="M82" s="256">
        <v>1.5136000000000001</v>
      </c>
      <c r="N82" s="256">
        <v>1.5136000000000001</v>
      </c>
      <c r="O82" s="256">
        <v>1.5136000000000001</v>
      </c>
      <c r="P82" s="256">
        <v>1.5136000000000001</v>
      </c>
      <c r="Q82" s="256">
        <f t="shared" si="2"/>
        <v>18.1632</v>
      </c>
    </row>
    <row r="83" spans="1:17" x14ac:dyDescent="0.2">
      <c r="A83" s="33"/>
      <c r="B83" s="32">
        <v>13151</v>
      </c>
      <c r="C83" s="253"/>
      <c r="D83" s="50" t="s">
        <v>131</v>
      </c>
      <c r="E83" s="256">
        <v>1.6924999999999999</v>
      </c>
      <c r="F83" s="256">
        <v>1.6924999999999999</v>
      </c>
      <c r="G83" s="256">
        <v>1.6924999999999999</v>
      </c>
      <c r="H83" s="256">
        <v>1.6924999999999999</v>
      </c>
      <c r="I83" s="256">
        <v>1.6924999999999999</v>
      </c>
      <c r="J83" s="256">
        <v>1.6924999999999999</v>
      </c>
      <c r="K83" s="256">
        <v>1.6924999999999999</v>
      </c>
      <c r="L83" s="256">
        <v>1.6924999999999999</v>
      </c>
      <c r="M83" s="256">
        <v>1.6924999999999999</v>
      </c>
      <c r="N83" s="256">
        <v>1.6924999999999999</v>
      </c>
      <c r="O83" s="256">
        <v>1.6924999999999999</v>
      </c>
      <c r="P83" s="256">
        <v>1.6924999999999999</v>
      </c>
      <c r="Q83" s="256">
        <f t="shared" si="2"/>
        <v>20.309999999999992</v>
      </c>
    </row>
    <row r="84" spans="1:17" x14ac:dyDescent="0.2">
      <c r="A84" s="33"/>
      <c r="B84" s="31">
        <v>13093</v>
      </c>
      <c r="C84" s="10"/>
      <c r="D84" s="49" t="s">
        <v>97</v>
      </c>
      <c r="E84" s="256">
        <v>5.0670999999999999</v>
      </c>
      <c r="F84" s="256">
        <v>5.0670999999999999</v>
      </c>
      <c r="G84" s="256">
        <v>5.0670999999999999</v>
      </c>
      <c r="H84" s="256">
        <v>5.0670999999999999</v>
      </c>
      <c r="I84" s="256">
        <v>5.0670999999999999</v>
      </c>
      <c r="J84" s="256">
        <v>5.0670999999999999</v>
      </c>
      <c r="K84" s="256">
        <v>5.0670999999999999</v>
      </c>
      <c r="L84" s="256">
        <v>5.0670999999999999</v>
      </c>
      <c r="M84" s="256">
        <v>5.0670999999999999</v>
      </c>
      <c r="N84" s="256">
        <v>5.0670999999999999</v>
      </c>
      <c r="O84" s="256">
        <v>5.0670999999999999</v>
      </c>
      <c r="P84" s="256">
        <v>5.0670999999999999</v>
      </c>
      <c r="Q84" s="256">
        <f t="shared" si="2"/>
        <v>60.805199999999985</v>
      </c>
    </row>
    <row r="85" spans="1:17" x14ac:dyDescent="0.2">
      <c r="A85" s="33"/>
      <c r="B85" s="31">
        <v>13091</v>
      </c>
      <c r="C85" s="10"/>
      <c r="D85" s="49" t="s">
        <v>98</v>
      </c>
      <c r="E85" s="256">
        <v>5.1840999999999999</v>
      </c>
      <c r="F85" s="256">
        <v>5.1840999999999999</v>
      </c>
      <c r="G85" s="256">
        <v>5.1840999999999999</v>
      </c>
      <c r="H85" s="256">
        <v>5.1840999999999999</v>
      </c>
      <c r="I85" s="256">
        <v>5.1840999999999999</v>
      </c>
      <c r="J85" s="256">
        <v>5.1840999999999999</v>
      </c>
      <c r="K85" s="256">
        <v>5.1840999999999999</v>
      </c>
      <c r="L85" s="256">
        <v>5.1840999999999999</v>
      </c>
      <c r="M85" s="256">
        <v>5.1840999999999999</v>
      </c>
      <c r="N85" s="256">
        <v>5.1840999999999999</v>
      </c>
      <c r="O85" s="256">
        <v>5.1840999999999999</v>
      </c>
      <c r="P85" s="256">
        <v>5.1840999999999999</v>
      </c>
      <c r="Q85" s="256">
        <f t="shared" si="2"/>
        <v>62.209200000000003</v>
      </c>
    </row>
    <row r="86" spans="1:17" x14ac:dyDescent="0.2">
      <c r="A86" s="33"/>
      <c r="B86" s="31">
        <v>13089</v>
      </c>
      <c r="C86" s="22"/>
      <c r="D86" s="49" t="s">
        <v>99</v>
      </c>
      <c r="E86" s="256">
        <v>5.0350999999999999</v>
      </c>
      <c r="F86" s="256">
        <v>5.0350999999999999</v>
      </c>
      <c r="G86" s="256">
        <v>5.0350999999999999</v>
      </c>
      <c r="H86" s="256">
        <v>5.0350999999999999</v>
      </c>
      <c r="I86" s="256">
        <v>5.0350999999999999</v>
      </c>
      <c r="J86" s="256">
        <v>5.0350999999999999</v>
      </c>
      <c r="K86" s="256">
        <v>5.0350999999999999</v>
      </c>
      <c r="L86" s="256">
        <v>5.0350999999999999</v>
      </c>
      <c r="M86" s="256">
        <v>5.0350999999999999</v>
      </c>
      <c r="N86" s="256">
        <v>5.0350999999999999</v>
      </c>
      <c r="O86" s="256">
        <v>5.0350999999999999</v>
      </c>
      <c r="P86" s="256">
        <v>5.0350999999999999</v>
      </c>
      <c r="Q86" s="256">
        <f t="shared" si="2"/>
        <v>60.421199999999999</v>
      </c>
    </row>
    <row r="87" spans="1:17" x14ac:dyDescent="0.2">
      <c r="A87" s="33"/>
      <c r="B87" s="31">
        <v>19999</v>
      </c>
      <c r="C87" s="20" t="s">
        <v>102</v>
      </c>
      <c r="D87" s="294" t="s">
        <v>588</v>
      </c>
      <c r="E87" s="256">
        <v>0</v>
      </c>
      <c r="F87" s="256">
        <v>0</v>
      </c>
      <c r="G87" s="256">
        <v>0</v>
      </c>
      <c r="H87" s="256">
        <v>0</v>
      </c>
      <c r="I87" s="256">
        <v>0</v>
      </c>
      <c r="J87" s="256">
        <v>0</v>
      </c>
      <c r="K87" s="256">
        <v>0</v>
      </c>
      <c r="L87" s="256">
        <v>0</v>
      </c>
      <c r="M87" s="256">
        <v>0</v>
      </c>
      <c r="N87" s="256">
        <v>0</v>
      </c>
      <c r="O87" s="256">
        <v>0</v>
      </c>
      <c r="P87" s="256">
        <v>0</v>
      </c>
      <c r="Q87" s="256">
        <f t="shared" si="2"/>
        <v>0</v>
      </c>
    </row>
    <row r="88" spans="1:17" x14ac:dyDescent="0.2">
      <c r="A88" s="33"/>
      <c r="B88" s="31">
        <v>29999</v>
      </c>
      <c r="C88" s="20"/>
      <c r="D88" s="294" t="s">
        <v>589</v>
      </c>
      <c r="E88" s="256">
        <v>0</v>
      </c>
      <c r="F88" s="256">
        <v>0</v>
      </c>
      <c r="G88" s="256">
        <v>0</v>
      </c>
      <c r="H88" s="256">
        <v>0</v>
      </c>
      <c r="I88" s="256">
        <v>0</v>
      </c>
      <c r="J88" s="256">
        <v>0</v>
      </c>
      <c r="K88" s="256">
        <v>0</v>
      </c>
      <c r="L88" s="256">
        <v>0</v>
      </c>
      <c r="M88" s="256">
        <v>0</v>
      </c>
      <c r="N88" s="256">
        <v>0</v>
      </c>
      <c r="O88" s="256">
        <v>0</v>
      </c>
      <c r="P88" s="256">
        <v>0</v>
      </c>
      <c r="Q88" s="256">
        <f t="shared" si="2"/>
        <v>0</v>
      </c>
    </row>
    <row r="89" spans="1:17" x14ac:dyDescent="0.2">
      <c r="A89" s="33"/>
      <c r="B89" s="31">
        <v>39999</v>
      </c>
      <c r="C89" s="20"/>
      <c r="D89" s="263" t="s">
        <v>590</v>
      </c>
      <c r="E89" s="256">
        <v>0</v>
      </c>
      <c r="F89" s="256">
        <v>0</v>
      </c>
      <c r="G89" s="256">
        <v>0</v>
      </c>
      <c r="H89" s="256">
        <v>0</v>
      </c>
      <c r="I89" s="256">
        <v>0</v>
      </c>
      <c r="J89" s="256">
        <v>0</v>
      </c>
      <c r="K89" s="256">
        <v>0</v>
      </c>
      <c r="L89" s="256">
        <v>0</v>
      </c>
      <c r="M89" s="256">
        <v>0</v>
      </c>
      <c r="N89" s="256">
        <v>0</v>
      </c>
      <c r="O89" s="256">
        <v>0</v>
      </c>
      <c r="P89" s="256">
        <v>0</v>
      </c>
      <c r="Q89" s="256">
        <f t="shared" si="2"/>
        <v>0</v>
      </c>
    </row>
    <row r="90" spans="1:17" x14ac:dyDescent="0.2">
      <c r="A90" s="33"/>
      <c r="B90" s="31">
        <v>49999</v>
      </c>
      <c r="C90" s="20"/>
      <c r="D90" s="263" t="s">
        <v>591</v>
      </c>
      <c r="E90" s="256">
        <v>0</v>
      </c>
      <c r="F90" s="256">
        <v>0</v>
      </c>
      <c r="G90" s="256">
        <v>0</v>
      </c>
      <c r="H90" s="256">
        <v>0</v>
      </c>
      <c r="I90" s="256">
        <v>0</v>
      </c>
      <c r="J90" s="256">
        <v>0</v>
      </c>
      <c r="K90" s="256">
        <v>0</v>
      </c>
      <c r="L90" s="256">
        <v>0</v>
      </c>
      <c r="M90" s="256">
        <v>0</v>
      </c>
      <c r="N90" s="256">
        <v>0</v>
      </c>
      <c r="O90" s="256">
        <v>0</v>
      </c>
      <c r="P90" s="256">
        <v>0</v>
      </c>
      <c r="Q90" s="256">
        <f t="shared" si="2"/>
        <v>0</v>
      </c>
    </row>
    <row r="91" spans="1:17" x14ac:dyDescent="0.2">
      <c r="A91" s="33"/>
      <c r="B91" s="31">
        <v>13015</v>
      </c>
      <c r="C91" s="9" t="s">
        <v>103</v>
      </c>
      <c r="D91" s="47" t="s">
        <v>104</v>
      </c>
      <c r="E91" s="256">
        <v>4.9476899999999997</v>
      </c>
      <c r="F91" s="256">
        <v>4.9476899999999997</v>
      </c>
      <c r="G91" s="256">
        <v>4.9476899999999997</v>
      </c>
      <c r="H91" s="256">
        <v>4.9476899999999997</v>
      </c>
      <c r="I91" s="256">
        <v>4.9476899999999997</v>
      </c>
      <c r="J91" s="256">
        <v>4.9476899999999997</v>
      </c>
      <c r="K91" s="256">
        <v>4.9476899999999997</v>
      </c>
      <c r="L91" s="256">
        <v>4.9476899999999997</v>
      </c>
      <c r="M91" s="256">
        <v>4.9476899999999997</v>
      </c>
      <c r="N91" s="256">
        <v>4.9476899999999997</v>
      </c>
      <c r="O91" s="256">
        <v>4.9476899999999997</v>
      </c>
      <c r="P91" s="256">
        <v>4.9476899999999997</v>
      </c>
      <c r="Q91" s="256">
        <f t="shared" si="2"/>
        <v>59.372280000000011</v>
      </c>
    </row>
    <row r="92" spans="1:17" x14ac:dyDescent="0.2">
      <c r="A92" s="33"/>
      <c r="B92" s="31">
        <v>13023</v>
      </c>
      <c r="C92" s="8"/>
      <c r="D92" s="263" t="s">
        <v>105</v>
      </c>
      <c r="E92" s="256">
        <v>4.9165000000000001</v>
      </c>
      <c r="F92" s="256">
        <v>4.9165000000000001</v>
      </c>
      <c r="G92" s="256">
        <v>4.9165000000000001</v>
      </c>
      <c r="H92" s="256">
        <v>4.9165000000000001</v>
      </c>
      <c r="I92" s="256">
        <v>4.9165000000000001</v>
      </c>
      <c r="J92" s="256">
        <v>4.9165000000000001</v>
      </c>
      <c r="K92" s="256">
        <v>4.9165000000000001</v>
      </c>
      <c r="L92" s="256">
        <v>4.9165000000000001</v>
      </c>
      <c r="M92" s="256">
        <v>4.9165000000000001</v>
      </c>
      <c r="N92" s="256">
        <v>4.9165000000000001</v>
      </c>
      <c r="O92" s="256">
        <v>4.9165000000000001</v>
      </c>
      <c r="P92" s="256">
        <v>4.9165000000000001</v>
      </c>
      <c r="Q92" s="256">
        <f t="shared" si="2"/>
        <v>58.997999999999998</v>
      </c>
    </row>
    <row r="93" spans="1:17" x14ac:dyDescent="0.2">
      <c r="A93" s="33"/>
      <c r="B93" s="32">
        <v>13145</v>
      </c>
      <c r="C93" s="14" t="s">
        <v>106</v>
      </c>
      <c r="D93" s="49" t="s">
        <v>107</v>
      </c>
      <c r="E93" s="256">
        <v>5.8730000000000002</v>
      </c>
      <c r="F93" s="256">
        <v>5.8730000000000002</v>
      </c>
      <c r="G93" s="256">
        <v>5.8730000000000002</v>
      </c>
      <c r="H93" s="256">
        <v>5.8730000000000002</v>
      </c>
      <c r="I93" s="256">
        <v>5.8730000000000002</v>
      </c>
      <c r="J93" s="256">
        <v>5.8730000000000002</v>
      </c>
      <c r="K93" s="256">
        <v>5.8730000000000002</v>
      </c>
      <c r="L93" s="256">
        <v>5.8730000000000002</v>
      </c>
      <c r="M93" s="256">
        <v>5.8730000000000002</v>
      </c>
      <c r="N93" s="256">
        <v>5.8730000000000002</v>
      </c>
      <c r="O93" s="256">
        <v>5.8730000000000002</v>
      </c>
      <c r="P93" s="256">
        <v>5.8730000000000002</v>
      </c>
      <c r="Q93" s="256">
        <f t="shared" si="2"/>
        <v>70.475999999999999</v>
      </c>
    </row>
    <row r="94" spans="1:17" x14ac:dyDescent="0.2">
      <c r="A94" s="33"/>
      <c r="B94" s="31">
        <v>13087</v>
      </c>
      <c r="C94" s="9" t="s">
        <v>108</v>
      </c>
      <c r="D94" s="49" t="s">
        <v>109</v>
      </c>
      <c r="E94" s="256">
        <v>3.1244399999999999</v>
      </c>
      <c r="F94" s="256">
        <v>3.1244399999999999</v>
      </c>
      <c r="G94" s="256">
        <v>3.1244399999999999</v>
      </c>
      <c r="H94" s="256">
        <v>3.1244399999999999</v>
      </c>
      <c r="I94" s="256">
        <v>3.1244399999999999</v>
      </c>
      <c r="J94" s="256">
        <v>3.1244399999999999</v>
      </c>
      <c r="K94" s="256">
        <v>3.1244399999999999</v>
      </c>
      <c r="L94" s="256">
        <v>3.1244399999999999</v>
      </c>
      <c r="M94" s="256">
        <v>3.1244399999999999</v>
      </c>
      <c r="N94" s="256">
        <v>3.1244399999999999</v>
      </c>
      <c r="O94" s="256">
        <v>3.1244399999999999</v>
      </c>
      <c r="P94" s="256">
        <v>3.1244399999999999</v>
      </c>
      <c r="Q94" s="256">
        <f t="shared" si="2"/>
        <v>37.493279999999999</v>
      </c>
    </row>
    <row r="95" spans="1:17" ht="13.5" thickBot="1" x14ac:dyDescent="0.25">
      <c r="A95" s="33"/>
      <c r="B95" s="31">
        <v>13085</v>
      </c>
      <c r="C95" s="10"/>
      <c r="D95" s="51" t="s">
        <v>110</v>
      </c>
      <c r="E95" s="256">
        <v>8.5213000000000001</v>
      </c>
      <c r="F95" s="256">
        <v>8.5213000000000001</v>
      </c>
      <c r="G95" s="256">
        <v>8.5213000000000001</v>
      </c>
      <c r="H95" s="256">
        <v>8.5213000000000001</v>
      </c>
      <c r="I95" s="256">
        <v>8.5213000000000001</v>
      </c>
      <c r="J95" s="256">
        <v>8.5213000000000001</v>
      </c>
      <c r="K95" s="256">
        <v>8.5213000000000001</v>
      </c>
      <c r="L95" s="256">
        <v>8.5213000000000001</v>
      </c>
      <c r="M95" s="256">
        <v>8.5213000000000001</v>
      </c>
      <c r="N95" s="256">
        <v>8.5213000000000001</v>
      </c>
      <c r="O95" s="256">
        <v>8.5213000000000001</v>
      </c>
      <c r="P95" s="256">
        <v>8.5213000000000001</v>
      </c>
      <c r="Q95" s="256">
        <f t="shared" si="2"/>
        <v>102.25559999999997</v>
      </c>
    </row>
    <row r="96" spans="1:17" x14ac:dyDescent="0.2">
      <c r="A96" s="33"/>
      <c r="B96" s="3"/>
      <c r="C96" s="27"/>
      <c r="D96" s="55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</row>
    <row r="97" spans="1:17" x14ac:dyDescent="0.2">
      <c r="A97" s="33"/>
      <c r="B97" s="3"/>
      <c r="C97" s="28"/>
      <c r="D97" s="56" t="s">
        <v>150</v>
      </c>
      <c r="E97" s="287">
        <f>SUM(E59:E95)</f>
        <v>237.31827827999999</v>
      </c>
      <c r="F97" s="287">
        <f>SUM(F59:F95)</f>
        <v>237.31827827999999</v>
      </c>
      <c r="G97" s="287">
        <f t="shared" ref="G97:Q97" si="3">SUM(G59:G95)</f>
        <v>237.31827827999999</v>
      </c>
      <c r="H97" s="287">
        <f t="shared" si="3"/>
        <v>237.31827827999999</v>
      </c>
      <c r="I97" s="287">
        <f t="shared" si="3"/>
        <v>237.31827827999999</v>
      </c>
      <c r="J97" s="287">
        <f t="shared" si="3"/>
        <v>237.31827827999999</v>
      </c>
      <c r="K97" s="287">
        <f t="shared" si="3"/>
        <v>237.31827827999999</v>
      </c>
      <c r="L97" s="287">
        <f t="shared" si="3"/>
        <v>237.31827827999999</v>
      </c>
      <c r="M97" s="287">
        <f t="shared" si="3"/>
        <v>237.31827827999999</v>
      </c>
      <c r="N97" s="287">
        <f t="shared" si="3"/>
        <v>237.31827827999999</v>
      </c>
      <c r="O97" s="287">
        <f t="shared" si="3"/>
        <v>237.31827827999999</v>
      </c>
      <c r="P97" s="287">
        <f t="shared" si="3"/>
        <v>237.31827827999999</v>
      </c>
      <c r="Q97" s="287">
        <f t="shared" si="3"/>
        <v>2847.819339359999</v>
      </c>
    </row>
    <row r="98" spans="1:17" ht="13.5" thickBot="1" x14ac:dyDescent="0.25">
      <c r="A98" s="33"/>
      <c r="B98" s="3"/>
      <c r="C98" s="29"/>
      <c r="D98" s="57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</row>
    <row r="99" spans="1:17" s="33" customFormat="1" ht="13.5" thickBot="1" x14ac:dyDescent="0.25">
      <c r="B99" s="35"/>
      <c r="C99" s="36"/>
      <c r="D99" s="45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</row>
    <row r="100" spans="1:17" x14ac:dyDescent="0.2">
      <c r="A100" s="33"/>
      <c r="B100" s="3"/>
      <c r="C100" s="27"/>
      <c r="D100" s="55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</row>
    <row r="101" spans="1:17" x14ac:dyDescent="0.2">
      <c r="A101" s="33"/>
      <c r="B101" s="3"/>
      <c r="C101" s="490" t="s">
        <v>151</v>
      </c>
      <c r="D101" s="491"/>
      <c r="E101" s="287">
        <f t="shared" ref="E101:Q101" si="4">SUM(E50,E97)</f>
        <v>685.85021627999993</v>
      </c>
      <c r="F101" s="287">
        <f t="shared" si="4"/>
        <v>685.85021627999993</v>
      </c>
      <c r="G101" s="287">
        <f t="shared" si="4"/>
        <v>685.85021627999993</v>
      </c>
      <c r="H101" s="287">
        <f t="shared" si="4"/>
        <v>685.85021627999993</v>
      </c>
      <c r="I101" s="287">
        <f t="shared" si="4"/>
        <v>685.85021627999993</v>
      </c>
      <c r="J101" s="287">
        <f t="shared" si="4"/>
        <v>685.85021627999993</v>
      </c>
      <c r="K101" s="287">
        <f t="shared" si="4"/>
        <v>685.85021627999993</v>
      </c>
      <c r="L101" s="287">
        <f t="shared" si="4"/>
        <v>685.85021627999993</v>
      </c>
      <c r="M101" s="287">
        <f t="shared" si="4"/>
        <v>685.85021627999993</v>
      </c>
      <c r="N101" s="287">
        <f t="shared" si="4"/>
        <v>685.85021627999993</v>
      </c>
      <c r="O101" s="287">
        <f t="shared" si="4"/>
        <v>685.85021627999993</v>
      </c>
      <c r="P101" s="287">
        <f t="shared" si="4"/>
        <v>685.85021627999993</v>
      </c>
      <c r="Q101" s="287">
        <f t="shared" si="4"/>
        <v>8230.2025953599987</v>
      </c>
    </row>
    <row r="102" spans="1:17" ht="13.5" thickBot="1" x14ac:dyDescent="0.25">
      <c r="A102" s="33"/>
      <c r="B102" s="3"/>
      <c r="C102" s="29"/>
      <c r="D102" s="57"/>
      <c r="E102" s="58"/>
      <c r="F102" s="287"/>
      <c r="G102" s="287"/>
      <c r="H102" s="287"/>
      <c r="I102" s="287"/>
      <c r="J102" s="287"/>
      <c r="K102" s="287"/>
      <c r="L102" s="287"/>
      <c r="M102" s="287"/>
      <c r="N102" s="287"/>
      <c r="O102" s="287"/>
      <c r="P102" s="287"/>
      <c r="Q102" s="287"/>
    </row>
    <row r="103" spans="1:17" s="53" customFormat="1" x14ac:dyDescent="0.2">
      <c r="D103" s="54"/>
    </row>
    <row r="104" spans="1:17" s="53" customFormat="1" x14ac:dyDescent="0.2">
      <c r="D104" s="54"/>
    </row>
    <row r="105" spans="1:17" s="53" customFormat="1" x14ac:dyDescent="0.2">
      <c r="D105" s="54"/>
    </row>
    <row r="106" spans="1:17" s="53" customFormat="1" x14ac:dyDescent="0.2">
      <c r="D106" s="54"/>
    </row>
    <row r="107" spans="1:17" s="53" customFormat="1" x14ac:dyDescent="0.2">
      <c r="D107" s="54"/>
    </row>
    <row r="108" spans="1:17" s="53" customFormat="1" x14ac:dyDescent="0.2">
      <c r="D108" s="54"/>
    </row>
    <row r="109" spans="1:17" s="53" customFormat="1" x14ac:dyDescent="0.2">
      <c r="D109" s="54"/>
    </row>
    <row r="110" spans="1:17" s="53" customFormat="1" x14ac:dyDescent="0.2">
      <c r="D110" s="54"/>
    </row>
    <row r="111" spans="1:17" s="53" customFormat="1" x14ac:dyDescent="0.2">
      <c r="D111" s="54"/>
    </row>
  </sheetData>
  <mergeCells count="1">
    <mergeCell ref="C101:D101"/>
  </mergeCells>
  <pageMargins left="0.7" right="0.7" top="0.75" bottom="0.75" header="0.3" footer="0.3"/>
  <pageSetup paperSize="9" scale="65" fitToHeight="0" orientation="landscape" r:id="rId1"/>
  <ignoredErrors>
    <ignoredError sqref="E97:P97" formulaRange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pageSetUpPr fitToPage="1"/>
  </sheetPr>
  <dimension ref="A1:X111"/>
  <sheetViews>
    <sheetView topLeftCell="B1" zoomScale="90" zoomScaleNormal="90" workbookViewId="0">
      <pane xSplit="2" ySplit="3" topLeftCell="I4" activePane="bottomRight" state="frozen"/>
      <selection activeCell="B1" sqref="B1"/>
      <selection pane="topRight" activeCell="D1" sqref="D1"/>
      <selection pane="bottomLeft" activeCell="B4" sqref="B4"/>
      <selection pane="bottomRight" activeCell="R10" sqref="R10"/>
    </sheetView>
  </sheetViews>
  <sheetFormatPr baseColWidth="10" defaultRowHeight="12.75" x14ac:dyDescent="0.2"/>
  <cols>
    <col min="1" max="1" width="0.7109375" style="53" customWidth="1"/>
    <col min="2" max="2" width="7.42578125" style="1" customWidth="1"/>
    <col min="3" max="3" width="11.42578125" style="1"/>
    <col min="4" max="4" width="33.5703125" style="52" customWidth="1"/>
    <col min="5" max="5" width="11.42578125" style="1"/>
    <col min="6" max="6" width="11.42578125" style="1" customWidth="1"/>
    <col min="7" max="16" width="11.42578125" style="1"/>
    <col min="17" max="17" width="12.85546875" style="1" customWidth="1"/>
    <col min="18" max="16384" width="11.42578125" style="1"/>
  </cols>
  <sheetData>
    <row r="1" spans="1:23" s="33" customFormat="1" x14ac:dyDescent="0.2">
      <c r="D1" s="40"/>
      <c r="E1" s="34" t="s">
        <v>680</v>
      </c>
    </row>
    <row r="2" spans="1:23" x14ac:dyDescent="0.2">
      <c r="A2" s="33"/>
      <c r="B2" s="33"/>
      <c r="C2" s="33"/>
      <c r="D2" s="40"/>
      <c r="E2" s="286">
        <v>1</v>
      </c>
      <c r="F2" s="286">
        <v>2</v>
      </c>
      <c r="G2" s="286">
        <v>3</v>
      </c>
      <c r="H2" s="286">
        <v>4</v>
      </c>
      <c r="I2" s="286">
        <v>5</v>
      </c>
      <c r="J2" s="286">
        <v>6</v>
      </c>
      <c r="K2" s="286">
        <v>7</v>
      </c>
      <c r="L2" s="286">
        <v>8</v>
      </c>
      <c r="M2" s="286">
        <v>9</v>
      </c>
      <c r="N2" s="286">
        <v>10</v>
      </c>
      <c r="O2" s="286">
        <v>11</v>
      </c>
      <c r="P2" s="286">
        <v>12</v>
      </c>
      <c r="Q2" s="2" t="s">
        <v>146</v>
      </c>
    </row>
    <row r="3" spans="1:23" s="33" customFormat="1" x14ac:dyDescent="0.2">
      <c r="D3" s="40"/>
      <c r="R3" s="309" t="s">
        <v>599</v>
      </c>
      <c r="S3" s="309" t="s">
        <v>600</v>
      </c>
      <c r="T3" s="309" t="s">
        <v>619</v>
      </c>
      <c r="V3" s="311" t="s">
        <v>625</v>
      </c>
      <c r="W3" s="311" t="s">
        <v>626</v>
      </c>
    </row>
    <row r="4" spans="1:23" x14ac:dyDescent="0.2">
      <c r="A4" s="33"/>
      <c r="B4" s="31">
        <v>13017</v>
      </c>
      <c r="C4" s="4" t="s">
        <v>5</v>
      </c>
      <c r="D4" s="41" t="s">
        <v>6</v>
      </c>
      <c r="E4" s="250">
        <f>'Resumen de Unidades'!E4*PVM!E4</f>
        <v>0</v>
      </c>
      <c r="F4" s="250">
        <f>'Resumen de Unidades'!F4*PVM!F4</f>
        <v>0</v>
      </c>
      <c r="G4" s="250">
        <f>'Resumen de Unidades'!G4*PVM!G4</f>
        <v>0</v>
      </c>
      <c r="H4" s="250">
        <f>'Resumen de Unidades'!H4*PVM!H4</f>
        <v>0</v>
      </c>
      <c r="I4" s="250">
        <f>'Resumen de Unidades'!I4*PVM!I4</f>
        <v>0</v>
      </c>
      <c r="J4" s="250">
        <f>'Resumen de Unidades'!J4*PVM!J4</f>
        <v>0</v>
      </c>
      <c r="K4" s="250">
        <f>'Resumen de Unidades'!K4*PVM!K4</f>
        <v>0</v>
      </c>
      <c r="L4" s="250">
        <f>'Resumen de Unidades'!L4*PVM!L4</f>
        <v>0</v>
      </c>
      <c r="M4" s="250">
        <f>'Resumen de Unidades'!M4*PVM!M4</f>
        <v>0</v>
      </c>
      <c r="N4" s="250">
        <f>'Resumen de Unidades'!N4*PVM!N4</f>
        <v>0</v>
      </c>
      <c r="O4" s="250">
        <f>'Resumen de Unidades'!O4*PVM!O4</f>
        <v>0</v>
      </c>
      <c r="P4" s="250">
        <f>'Resumen de Unidades'!P4*PVM!P4</f>
        <v>0</v>
      </c>
      <c r="Q4" s="256">
        <f t="shared" ref="Q4:Q48" si="0">SUM(E4:P4)</f>
        <v>0</v>
      </c>
    </row>
    <row r="5" spans="1:23" x14ac:dyDescent="0.2">
      <c r="A5" s="33"/>
      <c r="B5" s="31">
        <v>13016</v>
      </c>
      <c r="C5" s="6"/>
      <c r="D5" s="41" t="s">
        <v>7</v>
      </c>
      <c r="E5" s="250">
        <f>'Resumen de Unidades'!E5*PVM!E5</f>
        <v>849.43799999999999</v>
      </c>
      <c r="F5" s="250">
        <f>'Resumen de Unidades'!F5*PVM!F5</f>
        <v>1004.8230000000001</v>
      </c>
      <c r="G5" s="250">
        <f>'Resumen de Unidades'!G5*PVM!G5</f>
        <v>1044.1872000000001</v>
      </c>
      <c r="H5" s="250">
        <f>'Resumen de Unidades'!H5*PVM!H5</f>
        <v>1095.9822000000001</v>
      </c>
      <c r="I5" s="250">
        <f>'Resumen de Unidades'!I5*PVM!I5</f>
        <v>1174.7106000000001</v>
      </c>
      <c r="J5" s="250">
        <f>'Resumen de Unidades'!J5*PVM!J5</f>
        <v>1147.7772</v>
      </c>
      <c r="K5" s="250">
        <f>'Resumen de Unidades'!K5*PVM!K5</f>
        <v>1095.9822000000001</v>
      </c>
      <c r="L5" s="250">
        <f>'Resumen de Unidades'!L5*PVM!L5</f>
        <v>1056.6179999999999</v>
      </c>
      <c r="M5" s="250">
        <f>'Resumen de Unidades'!M5*PVM!M5</f>
        <v>1226.5056</v>
      </c>
      <c r="N5" s="250">
        <f>'Resumen de Unidades'!N5*PVM!N5</f>
        <v>1253.4390000000001</v>
      </c>
      <c r="O5" s="250">
        <f>'Resumen de Unidades'!O5*PVM!O5</f>
        <v>1122.9156</v>
      </c>
      <c r="P5" s="250">
        <f>'Resumen de Unidades'!P5*PVM!P5</f>
        <v>977.88960000000009</v>
      </c>
      <c r="Q5" s="256">
        <f t="shared" si="0"/>
        <v>13050.268200000002</v>
      </c>
      <c r="R5" s="104">
        <v>33630</v>
      </c>
      <c r="S5" s="104">
        <f>SUM(Q4:Q5)</f>
        <v>13050.268200000002</v>
      </c>
      <c r="T5" s="104">
        <f>+S5-R5</f>
        <v>-20579.731799999998</v>
      </c>
      <c r="V5" s="104">
        <f>+S5</f>
        <v>13050.268200000002</v>
      </c>
    </row>
    <row r="6" spans="1:23" x14ac:dyDescent="0.2">
      <c r="A6" s="33"/>
      <c r="B6" s="32">
        <v>13078</v>
      </c>
      <c r="C6" s="9" t="s">
        <v>8</v>
      </c>
      <c r="D6" s="41" t="s">
        <v>9</v>
      </c>
      <c r="E6" s="250">
        <f>'Resumen de Unidades'!E6*PVM!E6</f>
        <v>11354.2996</v>
      </c>
      <c r="F6" s="250">
        <f>'Resumen de Unidades'!F6*PVM!F6</f>
        <v>13460.662600000001</v>
      </c>
      <c r="G6" s="250">
        <f>'Resumen de Unidades'!G6*PVM!G6</f>
        <v>13982.2382</v>
      </c>
      <c r="H6" s="250">
        <f>'Resumen de Unidades'!H6*PVM!H6</f>
        <v>14664.2986</v>
      </c>
      <c r="I6" s="250">
        <f>'Resumen de Unidades'!I6*PVM!I6</f>
        <v>15727.510400000001</v>
      </c>
      <c r="J6" s="250">
        <f>'Resumen de Unidades'!J6*PVM!J6</f>
        <v>15366.419600000001</v>
      </c>
      <c r="K6" s="250">
        <f>'Resumen de Unidades'!K6*PVM!K6</f>
        <v>14664.2986</v>
      </c>
      <c r="L6" s="250">
        <f>'Resumen de Unidades'!L6*PVM!L6</f>
        <v>14142.723</v>
      </c>
      <c r="M6" s="250">
        <f>'Resumen de Unidades'!M6*PVM!M6</f>
        <v>16429.631400000002</v>
      </c>
      <c r="N6" s="250">
        <f>'Resumen de Unidades'!N6*PVM!N6</f>
        <v>16770.661599999999</v>
      </c>
      <c r="O6" s="250">
        <f>'Resumen de Unidades'!O6*PVM!O6</f>
        <v>15025.3894</v>
      </c>
      <c r="P6" s="250">
        <f>'Resumen de Unidades'!P6*PVM!P6</f>
        <v>13099.5718</v>
      </c>
      <c r="Q6" s="256">
        <f t="shared" si="0"/>
        <v>174687.70479999998</v>
      </c>
      <c r="R6" s="104"/>
      <c r="S6" s="104"/>
      <c r="T6" s="104">
        <f t="shared" ref="T6:T70" si="1">+S6-R6</f>
        <v>0</v>
      </c>
    </row>
    <row r="7" spans="1:23" x14ac:dyDescent="0.2">
      <c r="A7" s="33"/>
      <c r="B7" s="31">
        <v>13120</v>
      </c>
      <c r="C7" s="10"/>
      <c r="D7" s="41" t="s">
        <v>10</v>
      </c>
      <c r="E7" s="250">
        <f>'Resumen de Unidades'!E7*PVM!E7</f>
        <v>3754.0021999999999</v>
      </c>
      <c r="F7" s="250">
        <f>'Resumen de Unidades'!F7*PVM!F7</f>
        <v>4449.9688999999998</v>
      </c>
      <c r="G7" s="250">
        <f>'Resumen de Unidades'!G7*PVM!G7</f>
        <v>4618.6881000000003</v>
      </c>
      <c r="H7" s="250">
        <f>'Resumen de Unidades'!H7*PVM!H7</f>
        <v>4850.6769999999997</v>
      </c>
      <c r="I7" s="250">
        <f>'Resumen de Unidades'!I7*PVM!I7</f>
        <v>5209.2052999999996</v>
      </c>
      <c r="J7" s="250">
        <f>'Resumen de Unidades'!J7*PVM!J7</f>
        <v>5082.6659</v>
      </c>
      <c r="K7" s="250">
        <f>'Resumen de Unidades'!K7*PVM!K7</f>
        <v>4850.6769999999997</v>
      </c>
      <c r="L7" s="250">
        <f>'Resumen de Unidades'!L7*PVM!L7</f>
        <v>4681.9578000000001</v>
      </c>
      <c r="M7" s="250">
        <f>'Resumen de Unidades'!M7*PVM!M7</f>
        <v>5441.1941999999999</v>
      </c>
      <c r="N7" s="250">
        <f>'Resumen de Unidades'!N7*PVM!N7</f>
        <v>5546.6436999999996</v>
      </c>
      <c r="O7" s="250">
        <f>'Resumen de Unidades'!O7*PVM!O7</f>
        <v>4977.2164000000002</v>
      </c>
      <c r="P7" s="250">
        <f>'Resumen de Unidades'!P7*PVM!P7</f>
        <v>4344.5194000000001</v>
      </c>
      <c r="Q7" s="256">
        <f t="shared" si="0"/>
        <v>57807.415899999993</v>
      </c>
      <c r="R7" s="104"/>
      <c r="S7" s="104"/>
      <c r="T7" s="104">
        <f t="shared" si="1"/>
        <v>0</v>
      </c>
    </row>
    <row r="8" spans="1:23" x14ac:dyDescent="0.2">
      <c r="A8" s="33"/>
      <c r="B8" s="31">
        <v>13053</v>
      </c>
      <c r="C8" s="11"/>
      <c r="D8" s="41" t="s">
        <v>11</v>
      </c>
      <c r="E8" s="250">
        <f>'Resumen de Unidades'!E8*PVM!E8</f>
        <v>36229.940999999999</v>
      </c>
      <c r="F8" s="250">
        <f>'Resumen de Unidades'!F8*PVM!F8</f>
        <v>42907.029300000002</v>
      </c>
      <c r="G8" s="250">
        <f>'Resumen de Unidades'!G8*PVM!G8</f>
        <v>44583.786899999999</v>
      </c>
      <c r="H8" s="250">
        <f>'Resumen de Unidades'!H8*PVM!H8</f>
        <v>46799.5023</v>
      </c>
      <c r="I8" s="250">
        <f>'Resumen de Unidades'!I8*PVM!I8</f>
        <v>50153.017500000002</v>
      </c>
      <c r="J8" s="250">
        <f>'Resumen de Unidades'!J8*PVM!J8</f>
        <v>49045.159800000001</v>
      </c>
      <c r="K8" s="250">
        <f>'Resumen de Unidades'!K8*PVM!K8</f>
        <v>46799.5023</v>
      </c>
      <c r="L8" s="250">
        <f>'Resumen de Unidades'!L8*PVM!L8</f>
        <v>45152.686800000003</v>
      </c>
      <c r="M8" s="250">
        <f>'Resumen de Unidades'!M8*PVM!M8</f>
        <v>52398.675000000003</v>
      </c>
      <c r="N8" s="250">
        <f>'Resumen de Unidades'!N8*PVM!N8</f>
        <v>53506.532700000003</v>
      </c>
      <c r="O8" s="250">
        <f>'Resumen de Unidades'!O8*PVM!O8</f>
        <v>47937.302100000001</v>
      </c>
      <c r="P8" s="250">
        <f>'Resumen de Unidades'!P8*PVM!P8</f>
        <v>41799.171600000001</v>
      </c>
      <c r="Q8" s="256">
        <f t="shared" si="0"/>
        <v>557312.30729999999</v>
      </c>
      <c r="R8" s="104">
        <v>872753</v>
      </c>
      <c r="S8" s="104">
        <f>SUM(Q6:Q8)</f>
        <v>789807.42799999996</v>
      </c>
      <c r="T8" s="104">
        <f t="shared" si="1"/>
        <v>-82945.572000000044</v>
      </c>
      <c r="V8" s="104">
        <f>+S8</f>
        <v>789807.42799999996</v>
      </c>
    </row>
    <row r="9" spans="1:23" x14ac:dyDescent="0.2">
      <c r="A9" s="33"/>
      <c r="B9" s="31">
        <v>13022</v>
      </c>
      <c r="C9" s="4" t="s">
        <v>12</v>
      </c>
      <c r="D9" s="41" t="s">
        <v>13</v>
      </c>
      <c r="E9" s="250">
        <f>'Resumen de Unidades'!E9*PVM!E9</f>
        <v>166226.77696799999</v>
      </c>
      <c r="F9" s="250">
        <f>'Resumen de Unidades'!F9*PVM!F9</f>
        <v>196913.22604799998</v>
      </c>
      <c r="G9" s="250">
        <f>'Resumen de Unidades'!G9*PVM!G9</f>
        <v>204582.517104</v>
      </c>
      <c r="H9" s="250">
        <f>'Resumen de Unidades'!H9*PVM!H9</f>
        <v>214814.42841599998</v>
      </c>
      <c r="I9" s="250">
        <f>'Resumen de Unidades'!I9*PVM!I9</f>
        <v>230157.65295599998</v>
      </c>
      <c r="J9" s="250">
        <f>'Resumen de Unidades'!J9*PVM!J9</f>
        <v>225041.6973</v>
      </c>
      <c r="K9" s="250">
        <f>'Resumen de Unidades'!K9*PVM!K9</f>
        <v>214814.42841599998</v>
      </c>
      <c r="L9" s="250">
        <f>'Resumen de Unidades'!L9*PVM!L9</f>
        <v>207140.494932</v>
      </c>
      <c r="M9" s="250">
        <f>'Resumen de Unidades'!M9*PVM!M9</f>
        <v>240384.92184</v>
      </c>
      <c r="N9" s="250">
        <f>'Resumen de Unidades'!N9*PVM!N9</f>
        <v>245500.877496</v>
      </c>
      <c r="O9" s="250">
        <f>'Resumen de Unidades'!O9*PVM!O9</f>
        <v>219930.38407199999</v>
      </c>
      <c r="P9" s="250">
        <f>'Resumen de Unidades'!P9*PVM!P9</f>
        <v>191797.27039199998</v>
      </c>
      <c r="Q9" s="256">
        <f t="shared" si="0"/>
        <v>2557304.6759400005</v>
      </c>
      <c r="R9" s="104">
        <v>2160274</v>
      </c>
      <c r="S9" s="104">
        <f>+Q9</f>
        <v>2557304.6759400005</v>
      </c>
      <c r="T9" s="104">
        <f t="shared" si="1"/>
        <v>397030.67594000045</v>
      </c>
      <c r="V9" s="104">
        <f>+S9</f>
        <v>2557304.6759400005</v>
      </c>
    </row>
    <row r="10" spans="1:23" x14ac:dyDescent="0.2">
      <c r="A10" s="33"/>
      <c r="B10" s="260">
        <v>13163</v>
      </c>
      <c r="C10" s="4" t="s">
        <v>14</v>
      </c>
      <c r="D10" s="42" t="s">
        <v>573</v>
      </c>
      <c r="E10" s="250">
        <f>'Resumen de Unidades'!E10*PVM!E10</f>
        <v>3766.16</v>
      </c>
      <c r="F10" s="250">
        <f>'Resumen de Unidades'!F10*PVM!F10</f>
        <v>4460.4799999999996</v>
      </c>
      <c r="G10" s="250">
        <f>'Resumen de Unidades'!G10*PVM!G10</f>
        <v>4628.8</v>
      </c>
      <c r="H10" s="250">
        <f>'Resumen de Unidades'!H10*PVM!H10</f>
        <v>4860.24</v>
      </c>
      <c r="I10" s="250">
        <f>'Resumen de Unidades'!I10*PVM!I10</f>
        <v>5207.3999999999996</v>
      </c>
      <c r="J10" s="250">
        <f>'Resumen de Unidades'!J10*PVM!J10</f>
        <v>5091.6799999999994</v>
      </c>
      <c r="K10" s="250">
        <f>'Resumen de Unidades'!K10*PVM!K10</f>
        <v>4860.24</v>
      </c>
      <c r="L10" s="250">
        <f>'Resumen de Unidades'!L10*PVM!L10</f>
        <v>4691.92</v>
      </c>
      <c r="M10" s="250">
        <f>'Resumen de Unidades'!M10*PVM!M10</f>
        <v>5438.84</v>
      </c>
      <c r="N10" s="250">
        <f>'Resumen de Unidades'!N10*PVM!N10</f>
        <v>5554.5599999999995</v>
      </c>
      <c r="O10" s="250">
        <f>'Resumen de Unidades'!O10*PVM!O10</f>
        <v>4975.96</v>
      </c>
      <c r="P10" s="250">
        <f>'Resumen de Unidades'!P10*PVM!P10</f>
        <v>4334.24</v>
      </c>
      <c r="Q10" s="256">
        <f t="shared" si="0"/>
        <v>57870.51999999999</v>
      </c>
      <c r="R10" s="104">
        <v>15000</v>
      </c>
      <c r="S10" s="104">
        <f>+Q10</f>
        <v>57870.51999999999</v>
      </c>
      <c r="T10" s="104">
        <f t="shared" si="1"/>
        <v>42870.51999999999</v>
      </c>
      <c r="V10" s="104">
        <f>+S10</f>
        <v>57870.51999999999</v>
      </c>
    </row>
    <row r="11" spans="1:23" x14ac:dyDescent="0.2">
      <c r="A11" s="33"/>
      <c r="B11" s="260">
        <v>13164</v>
      </c>
      <c r="C11" s="8"/>
      <c r="D11" s="42" t="s">
        <v>574</v>
      </c>
      <c r="E11" s="250">
        <f>'Resumen de Unidades'!E11*PVM!E11</f>
        <v>4004.66</v>
      </c>
      <c r="F11" s="250">
        <f>'Resumen de Unidades'!F11*PVM!F11</f>
        <v>4748.04</v>
      </c>
      <c r="G11" s="250">
        <f>'Resumen de Unidades'!G11*PVM!G11</f>
        <v>4927.8900000000003</v>
      </c>
      <c r="H11" s="250">
        <f>'Resumen de Unidades'!H11*PVM!H11</f>
        <v>5179.68</v>
      </c>
      <c r="I11" s="250">
        <f>'Resumen de Unidades'!I11*PVM!I11</f>
        <v>5551.37</v>
      </c>
      <c r="J11" s="250">
        <f>'Resumen de Unidades'!J11*PVM!J11</f>
        <v>5419.4800000000005</v>
      </c>
      <c r="K11" s="250">
        <f>'Resumen de Unidades'!K11*PVM!K11</f>
        <v>5179.68</v>
      </c>
      <c r="L11" s="250">
        <f>'Resumen de Unidades'!L11*PVM!L11</f>
        <v>4987.84</v>
      </c>
      <c r="M11" s="250">
        <f>'Resumen de Unidades'!M11*PVM!M11</f>
        <v>5791.17</v>
      </c>
      <c r="N11" s="250">
        <f>'Resumen de Unidades'!N11*PVM!N11</f>
        <v>5911.07</v>
      </c>
      <c r="O11" s="250">
        <f>'Resumen de Unidades'!O11*PVM!O11</f>
        <v>5299.58</v>
      </c>
      <c r="P11" s="250">
        <f>'Resumen de Unidades'!P11*PVM!P11</f>
        <v>4628.1400000000003</v>
      </c>
      <c r="Q11" s="256">
        <f t="shared" si="0"/>
        <v>61628.6</v>
      </c>
      <c r="R11" s="104"/>
      <c r="S11" s="104"/>
      <c r="T11" s="104"/>
      <c r="V11" s="104"/>
    </row>
    <row r="12" spans="1:23" x14ac:dyDescent="0.2">
      <c r="A12" s="33"/>
      <c r="B12" s="31">
        <v>13133</v>
      </c>
      <c r="C12" s="253" t="s">
        <v>15</v>
      </c>
      <c r="D12" s="42" t="s">
        <v>16</v>
      </c>
      <c r="E12" s="250">
        <f>'Resumen de Unidades'!E12*PVM!E12</f>
        <v>22538.048000000003</v>
      </c>
      <c r="F12" s="250">
        <f>'Resumen de Unidades'!F12*PVM!F12</f>
        <v>26712.384000000002</v>
      </c>
      <c r="G12" s="250">
        <f>'Resumen de Unidades'!G12*PVM!G12</f>
        <v>27739.136000000002</v>
      </c>
      <c r="H12" s="250">
        <f>'Resumen de Unidades'!H12*PVM!H12</f>
        <v>29136.192000000003</v>
      </c>
      <c r="I12" s="250">
        <f>'Resumen de Unidades'!I12*PVM!I12</f>
        <v>31206.528000000002</v>
      </c>
      <c r="J12" s="250">
        <f>'Resumen de Unidades'!J12*PVM!J12</f>
        <v>30516.416000000001</v>
      </c>
      <c r="K12" s="250">
        <f>'Resumen de Unidades'!K12*PVM!K12</f>
        <v>29136.192000000003</v>
      </c>
      <c r="L12" s="250">
        <f>'Resumen de Unidades'!L12*PVM!L12</f>
        <v>28092.608</v>
      </c>
      <c r="M12" s="250">
        <f>'Resumen de Unidades'!M12*PVM!M12</f>
        <v>32603.584000000003</v>
      </c>
      <c r="N12" s="250">
        <f>'Resumen de Unidades'!N12*PVM!N12</f>
        <v>33293.696000000004</v>
      </c>
      <c r="O12" s="250">
        <f>'Resumen de Unidades'!O12*PVM!O12</f>
        <v>29826.304</v>
      </c>
      <c r="P12" s="250">
        <f>'Resumen de Unidades'!P12*PVM!P12</f>
        <v>26005.440000000002</v>
      </c>
      <c r="Q12" s="256">
        <f t="shared" si="0"/>
        <v>346806.52800000005</v>
      </c>
      <c r="R12" s="104"/>
      <c r="S12" s="104"/>
      <c r="T12" s="104">
        <f t="shared" si="1"/>
        <v>0</v>
      </c>
    </row>
    <row r="13" spans="1:23" x14ac:dyDescent="0.2">
      <c r="A13" s="33"/>
      <c r="B13" s="31">
        <v>13134</v>
      </c>
      <c r="C13" s="258"/>
      <c r="D13" s="42" t="s">
        <v>17</v>
      </c>
      <c r="E13" s="250">
        <f>'Resumen de Unidades'!E13*PVM!E13</f>
        <v>7793.4303999999993</v>
      </c>
      <c r="F13" s="250">
        <f>'Resumen de Unidades'!F13*PVM!F13</f>
        <v>9233.5208000000002</v>
      </c>
      <c r="G13" s="250">
        <f>'Resumen de Unidades'!G13*PVM!G13</f>
        <v>9596.5687999999991</v>
      </c>
      <c r="H13" s="250">
        <f>'Resumen de Unidades'!H13*PVM!H13</f>
        <v>10080.632799999999</v>
      </c>
      <c r="I13" s="250">
        <f>'Resumen de Unidades'!I13*PVM!I13</f>
        <v>10794.627199999999</v>
      </c>
      <c r="J13" s="250">
        <f>'Resumen de Unidades'!J13*PVM!J13</f>
        <v>10552.5952</v>
      </c>
      <c r="K13" s="250">
        <f>'Resumen de Unidades'!K13*PVM!K13</f>
        <v>10080.632799999999</v>
      </c>
      <c r="L13" s="250">
        <f>'Resumen de Unidades'!L13*PVM!L13</f>
        <v>9717.5847999999987</v>
      </c>
      <c r="M13" s="250">
        <f>'Resumen de Unidades'!M13*PVM!M13</f>
        <v>11278.691199999999</v>
      </c>
      <c r="N13" s="250">
        <f>'Resumen de Unidades'!N13*PVM!N13</f>
        <v>11508.6216</v>
      </c>
      <c r="O13" s="250">
        <f>'Resumen de Unidades'!O13*PVM!O13</f>
        <v>10310.563199999999</v>
      </c>
      <c r="P13" s="250">
        <f>'Resumen de Unidades'!P13*PVM!P13</f>
        <v>8991.4887999999992</v>
      </c>
      <c r="Q13" s="256">
        <f t="shared" si="0"/>
        <v>119938.95759999999</v>
      </c>
      <c r="R13" s="104">
        <v>373105</v>
      </c>
      <c r="S13" s="104">
        <f>SUM(Q12:Q13)</f>
        <v>466745.48560000001</v>
      </c>
      <c r="T13" s="104">
        <f t="shared" si="1"/>
        <v>93640.485600000015</v>
      </c>
      <c r="V13" s="104">
        <f>+S13</f>
        <v>466745.48560000001</v>
      </c>
    </row>
    <row r="14" spans="1:23" x14ac:dyDescent="0.2">
      <c r="A14" s="33"/>
      <c r="B14" s="31">
        <v>13142</v>
      </c>
      <c r="C14" s="254" t="s">
        <v>18</v>
      </c>
      <c r="D14" s="42" t="s">
        <v>19</v>
      </c>
      <c r="E14" s="250">
        <f>'Resumen de Unidades'!E14*PVM!E14</f>
        <v>10355.965099999999</v>
      </c>
      <c r="F14" s="250">
        <f>'Resumen de Unidades'!F14*PVM!F14</f>
        <v>10801.4998</v>
      </c>
      <c r="G14" s="250">
        <f>'Resumen de Unidades'!G14*PVM!G14</f>
        <v>11670.835799999999</v>
      </c>
      <c r="H14" s="250">
        <f>'Resumen de Unidades'!H14*PVM!H14</f>
        <v>12551.038500000001</v>
      </c>
      <c r="I14" s="250">
        <f>'Resumen de Unidades'!I14*PVM!I14</f>
        <v>13126.973599999999</v>
      </c>
      <c r="J14" s="250">
        <f>'Resumen de Unidades'!J14*PVM!J14</f>
        <v>12844.439399999999</v>
      </c>
      <c r="K14" s="250">
        <f>'Resumen de Unidades'!K14*PVM!K14</f>
        <v>12692.3056</v>
      </c>
      <c r="L14" s="250">
        <f>'Resumen de Unidades'!L14*PVM!L14</f>
        <v>11670.835799999999</v>
      </c>
      <c r="M14" s="250">
        <f>'Resumen de Unidades'!M14*PVM!M14</f>
        <v>13126.973599999999</v>
      </c>
      <c r="N14" s="250">
        <f>'Resumen de Unidades'!N14*PVM!N14</f>
        <v>13420.3745</v>
      </c>
      <c r="O14" s="250">
        <f>'Resumen de Unidades'!O14*PVM!O14</f>
        <v>12257.6376</v>
      </c>
      <c r="P14" s="250">
        <f>'Resumen de Unidades'!P14*PVM!P14</f>
        <v>11377.4349</v>
      </c>
      <c r="Q14" s="256">
        <f t="shared" si="0"/>
        <v>145896.31419999999</v>
      </c>
      <c r="R14" s="104"/>
      <c r="S14" s="104"/>
      <c r="T14" s="104">
        <f t="shared" si="1"/>
        <v>0</v>
      </c>
    </row>
    <row r="15" spans="1:23" x14ac:dyDescent="0.2">
      <c r="A15" s="33"/>
      <c r="B15" s="31">
        <v>13141</v>
      </c>
      <c r="C15" s="254"/>
      <c r="D15" s="42" t="s">
        <v>20</v>
      </c>
      <c r="E15" s="250">
        <f>'Resumen de Unidades'!E15*PVM!E15</f>
        <v>15780.7875</v>
      </c>
      <c r="F15" s="250">
        <f>'Resumen de Unidades'!F15*PVM!F15</f>
        <v>16449.375</v>
      </c>
      <c r="G15" s="250">
        <f>'Resumen de Unidades'!G15*PVM!G15</f>
        <v>17786.550000000003</v>
      </c>
      <c r="H15" s="250">
        <f>'Resumen de Unidades'!H15*PVM!H15</f>
        <v>19123.725000000002</v>
      </c>
      <c r="I15" s="250">
        <f>'Resumen de Unidades'!I15*PVM!I15</f>
        <v>20004.5625</v>
      </c>
      <c r="J15" s="250">
        <f>'Resumen de Unidades'!J15*PVM!J15</f>
        <v>19558.837500000001</v>
      </c>
      <c r="K15" s="250">
        <f>'Resumen de Unidades'!K15*PVM!K15</f>
        <v>19335.975000000002</v>
      </c>
      <c r="L15" s="250">
        <f>'Resumen de Unidades'!L15*PVM!L15</f>
        <v>17786.550000000003</v>
      </c>
      <c r="M15" s="250">
        <f>'Resumen de Unidades'!M15*PVM!M15</f>
        <v>20004.5625</v>
      </c>
      <c r="N15" s="250">
        <f>'Resumen de Unidades'!N15*PVM!N15</f>
        <v>20450.287500000002</v>
      </c>
      <c r="O15" s="250">
        <f>'Resumen de Unidades'!O15*PVM!O15</f>
        <v>18678</v>
      </c>
      <c r="P15" s="250">
        <f>'Resumen de Unidades'!P15*PVM!P15</f>
        <v>17340.825000000001</v>
      </c>
      <c r="Q15" s="256">
        <f t="shared" si="0"/>
        <v>222300.03750000001</v>
      </c>
      <c r="R15" s="104"/>
      <c r="S15" s="104"/>
      <c r="T15" s="104">
        <f t="shared" si="1"/>
        <v>0</v>
      </c>
    </row>
    <row r="16" spans="1:23" x14ac:dyDescent="0.2">
      <c r="A16" s="33"/>
      <c r="B16" s="31">
        <v>33333</v>
      </c>
      <c r="C16" s="254"/>
      <c r="D16" s="42" t="s">
        <v>587</v>
      </c>
      <c r="E16" s="250">
        <f>'Resumen de Unidades'!E16*PVM!E16</f>
        <v>0</v>
      </c>
      <c r="F16" s="250">
        <f>'Resumen de Unidades'!F16*PVM!F16</f>
        <v>0</v>
      </c>
      <c r="G16" s="250">
        <f>'Resumen de Unidades'!G16*PVM!G16</f>
        <v>0</v>
      </c>
      <c r="H16" s="250">
        <f>'Resumen de Unidades'!H16*PVM!H16</f>
        <v>0</v>
      </c>
      <c r="I16" s="250">
        <f>'Resumen de Unidades'!I16*PVM!I16</f>
        <v>0</v>
      </c>
      <c r="J16" s="250">
        <f>'Resumen de Unidades'!J16*PVM!J16</f>
        <v>0</v>
      </c>
      <c r="K16" s="250">
        <f>'Resumen de Unidades'!K16*PVM!K16</f>
        <v>0</v>
      </c>
      <c r="L16" s="250">
        <f>'Resumen de Unidades'!L16*PVM!L16</f>
        <v>0</v>
      </c>
      <c r="M16" s="250">
        <f>'Resumen de Unidades'!M16*PVM!M16</f>
        <v>0</v>
      </c>
      <c r="N16" s="250">
        <f>'Resumen de Unidades'!N16*PVM!N16</f>
        <v>0</v>
      </c>
      <c r="O16" s="250">
        <f>'Resumen de Unidades'!O16*PVM!O16</f>
        <v>0</v>
      </c>
      <c r="P16" s="250">
        <f>'Resumen de Unidades'!P16*PVM!P16</f>
        <v>0</v>
      </c>
      <c r="Q16" s="256">
        <f t="shared" si="0"/>
        <v>0</v>
      </c>
      <c r="R16" s="104"/>
      <c r="S16" s="104"/>
      <c r="T16" s="104">
        <f t="shared" si="1"/>
        <v>0</v>
      </c>
    </row>
    <row r="17" spans="1:23" x14ac:dyDescent="0.2">
      <c r="A17" s="33"/>
      <c r="B17" s="31">
        <v>22222</v>
      </c>
      <c r="C17" s="254"/>
      <c r="D17" s="42" t="s">
        <v>586</v>
      </c>
      <c r="E17" s="250">
        <f>'Resumen de Unidades'!E17*PVM!E17</f>
        <v>0</v>
      </c>
      <c r="F17" s="250">
        <f>'Resumen de Unidades'!F17*PVM!F17</f>
        <v>0</v>
      </c>
      <c r="G17" s="250">
        <f>'Resumen de Unidades'!G17*PVM!G17</f>
        <v>0</v>
      </c>
      <c r="H17" s="250">
        <f>'Resumen de Unidades'!H17*PVM!H17</f>
        <v>0</v>
      </c>
      <c r="I17" s="250">
        <f>'Resumen de Unidades'!I17*PVM!I17</f>
        <v>0</v>
      </c>
      <c r="J17" s="250">
        <f>'Resumen de Unidades'!J17*PVM!J17</f>
        <v>0</v>
      </c>
      <c r="K17" s="250">
        <f>'Resumen de Unidades'!K17*PVM!K17</f>
        <v>0</v>
      </c>
      <c r="L17" s="250">
        <f>'Resumen de Unidades'!L17*PVM!L17</f>
        <v>0</v>
      </c>
      <c r="M17" s="250">
        <f>'Resumen de Unidades'!M17*PVM!M17</f>
        <v>0</v>
      </c>
      <c r="N17" s="250">
        <f>'Resumen de Unidades'!N17*PVM!N17</f>
        <v>0</v>
      </c>
      <c r="O17" s="250">
        <f>'Resumen de Unidades'!O17*PVM!O17</f>
        <v>0</v>
      </c>
      <c r="P17" s="250">
        <f>'Resumen de Unidades'!P17*PVM!P17</f>
        <v>0</v>
      </c>
      <c r="Q17" s="256">
        <f t="shared" si="0"/>
        <v>0</v>
      </c>
      <c r="R17" s="104">
        <v>358969</v>
      </c>
      <c r="S17" s="104">
        <f>SUM(Q14:Q17)</f>
        <v>368196.3517</v>
      </c>
      <c r="T17" s="104">
        <f t="shared" si="1"/>
        <v>9227.3516999999993</v>
      </c>
      <c r="W17" s="104">
        <f>+S17</f>
        <v>368196.3517</v>
      </c>
    </row>
    <row r="18" spans="1:23" x14ac:dyDescent="0.2">
      <c r="A18" s="33"/>
      <c r="B18" s="31">
        <v>13068</v>
      </c>
      <c r="C18" s="4" t="s">
        <v>21</v>
      </c>
      <c r="D18" s="41" t="s">
        <v>113</v>
      </c>
      <c r="E18" s="250">
        <f>'Resumen de Unidades'!E18*PVM!E18</f>
        <v>7591.1517120000008</v>
      </c>
      <c r="F18" s="250">
        <f>'Resumen de Unidades'!F18*PVM!F18</f>
        <v>8990.0366279999998</v>
      </c>
      <c r="G18" s="250">
        <f>'Resumen de Unidades'!G18*PVM!G18</f>
        <v>9342.2034600000006</v>
      </c>
      <c r="H18" s="250">
        <f>'Resumen de Unidades'!H18*PVM!H18</f>
        <v>9811.7592359999999</v>
      </c>
      <c r="I18" s="250">
        <f>'Resumen de Unidades'!I18*PVM!I18</f>
        <v>10506.310488000001</v>
      </c>
      <c r="J18" s="250">
        <f>'Resumen de Unidades'!J18*PVM!J18</f>
        <v>10271.5326</v>
      </c>
      <c r="K18" s="250">
        <f>'Resumen de Unidades'!K18*PVM!K18</f>
        <v>9811.7592359999999</v>
      </c>
      <c r="L18" s="250">
        <f>'Resumen de Unidades'!L18*PVM!L18</f>
        <v>9459.5924040000009</v>
      </c>
      <c r="M18" s="250">
        <f>'Resumen de Unidades'!M18*PVM!M18</f>
        <v>10975.866264</v>
      </c>
      <c r="N18" s="250">
        <f>'Resumen de Unidades'!N18*PVM!N18</f>
        <v>11210.644152000001</v>
      </c>
      <c r="O18" s="250">
        <f>'Resumen de Unidades'!O18*PVM!O18</f>
        <v>10036.754712</v>
      </c>
      <c r="P18" s="250">
        <f>'Resumen de Unidades'!P18*PVM!P18</f>
        <v>8755.2587400000011</v>
      </c>
      <c r="Q18" s="256">
        <f t="shared" si="0"/>
        <v>116762.869632</v>
      </c>
      <c r="R18" s="104"/>
      <c r="S18" s="104"/>
      <c r="T18" s="104">
        <f t="shared" si="1"/>
        <v>0</v>
      </c>
    </row>
    <row r="19" spans="1:23" x14ac:dyDescent="0.2">
      <c r="A19" s="33"/>
      <c r="B19" s="31">
        <v>13067</v>
      </c>
      <c r="C19" s="6"/>
      <c r="D19" s="41" t="s">
        <v>114</v>
      </c>
      <c r="E19" s="250">
        <f>'Resumen de Unidades'!E19*PVM!E19</f>
        <v>16654.844148</v>
      </c>
      <c r="F19" s="250">
        <f>'Resumen de Unidades'!F19*PVM!F19</f>
        <v>19736.879364</v>
      </c>
      <c r="G19" s="250">
        <f>'Resumen de Unidades'!G19*PVM!G19</f>
        <v>20507.388168000001</v>
      </c>
      <c r="H19" s="250">
        <f>'Resumen de Unidades'!H19*PVM!H19</f>
        <v>21524.854921999999</v>
      </c>
      <c r="I19" s="250">
        <f>'Resumen de Unidades'!I19*PVM!I19</f>
        <v>23065.872530000001</v>
      </c>
      <c r="J19" s="250">
        <f>'Resumen de Unidades'!J19*PVM!J19</f>
        <v>22552.199993999999</v>
      </c>
      <c r="K19" s="250">
        <f>'Resumen de Unidades'!K19*PVM!K19</f>
        <v>21524.854921999999</v>
      </c>
      <c r="L19" s="250">
        <f>'Resumen de Unidades'!L19*PVM!L19</f>
        <v>20754.346118000001</v>
      </c>
      <c r="M19" s="250">
        <f>'Resumen de Unidades'!M19*PVM!M19</f>
        <v>24093.217602000001</v>
      </c>
      <c r="N19" s="250">
        <f>'Resumen de Unidades'!N19*PVM!N19</f>
        <v>24606.890137999999</v>
      </c>
      <c r="O19" s="250">
        <f>'Resumen de Unidades'!O19*PVM!O19</f>
        <v>22038.527458</v>
      </c>
      <c r="P19" s="250">
        <f>'Resumen de Unidades'!P19*PVM!P19</f>
        <v>19223.206827999998</v>
      </c>
      <c r="Q19" s="256">
        <f t="shared" si="0"/>
        <v>256283.08219199994</v>
      </c>
      <c r="R19" s="104"/>
      <c r="S19" s="104"/>
      <c r="T19" s="104">
        <f t="shared" si="1"/>
        <v>0</v>
      </c>
    </row>
    <row r="20" spans="1:23" x14ac:dyDescent="0.2">
      <c r="A20" s="33"/>
      <c r="B20" s="31">
        <v>13146</v>
      </c>
      <c r="C20" s="6"/>
      <c r="D20" s="41" t="s">
        <v>24</v>
      </c>
      <c r="E20" s="250">
        <f>'Resumen de Unidades'!E20*PVM!E20</f>
        <v>13883.622499999999</v>
      </c>
      <c r="F20" s="250">
        <f>'Resumen de Unidades'!F20*PVM!F20</f>
        <v>16442.002499999999</v>
      </c>
      <c r="G20" s="250">
        <f>'Resumen de Unidades'!G20*PVM!G20</f>
        <v>17081.5975</v>
      </c>
      <c r="H20" s="250">
        <f>'Resumen de Unidades'!H20*PVM!H20</f>
        <v>17941.7425</v>
      </c>
      <c r="I20" s="250">
        <f>'Resumen de Unidades'!I20*PVM!I20</f>
        <v>19220.932499999999</v>
      </c>
      <c r="J20" s="250">
        <f>'Resumen de Unidades'!J20*PVM!J20</f>
        <v>18790.86</v>
      </c>
      <c r="K20" s="250">
        <f>'Resumen de Unidades'!K20*PVM!K20</f>
        <v>17941.7425</v>
      </c>
      <c r="L20" s="250">
        <f>'Resumen de Unidades'!L20*PVM!L20</f>
        <v>17302.147499999999</v>
      </c>
      <c r="M20" s="250">
        <f>'Resumen de Unidades'!M20*PVM!M20</f>
        <v>20070.05</v>
      </c>
      <c r="N20" s="250">
        <f>'Resumen de Unidades'!N20*PVM!N20</f>
        <v>20500.122500000001</v>
      </c>
      <c r="O20" s="250">
        <f>'Resumen de Unidades'!O20*PVM!O20</f>
        <v>18371.814999999999</v>
      </c>
      <c r="P20" s="250">
        <f>'Resumen de Unidades'!P20*PVM!P20</f>
        <v>16022.9575</v>
      </c>
      <c r="Q20" s="256">
        <f t="shared" si="0"/>
        <v>213569.59249999997</v>
      </c>
      <c r="R20" s="104"/>
      <c r="S20" s="104"/>
      <c r="T20" s="104">
        <f t="shared" si="1"/>
        <v>0</v>
      </c>
    </row>
    <row r="21" spans="1:23" x14ac:dyDescent="0.2">
      <c r="A21" s="33"/>
      <c r="B21" s="31">
        <v>13054</v>
      </c>
      <c r="C21" s="8"/>
      <c r="D21" s="41" t="s">
        <v>115</v>
      </c>
      <c r="E21" s="250">
        <f>'Resumen de Unidades'!E21*PVM!E21</f>
        <v>5901.7811999999994</v>
      </c>
      <c r="F21" s="250">
        <f>'Resumen de Unidades'!F21*PVM!F21</f>
        <v>6991.7497999999996</v>
      </c>
      <c r="G21" s="250">
        <f>'Resumen de Unidades'!G21*PVM!G21</f>
        <v>7257.5957999999991</v>
      </c>
      <c r="H21" s="250">
        <f>'Resumen de Unidades'!H21*PVM!H21</f>
        <v>7629.7801999999992</v>
      </c>
      <c r="I21" s="250">
        <f>'Resumen de Unidades'!I21*PVM!I21</f>
        <v>8174.7644999999993</v>
      </c>
      <c r="J21" s="250">
        <f>'Resumen de Unidades'!J21*PVM!J21</f>
        <v>7988.6722999999993</v>
      </c>
      <c r="K21" s="250">
        <f>'Resumen de Unidades'!K21*PVM!K21</f>
        <v>7629.7801999999992</v>
      </c>
      <c r="L21" s="250">
        <f>'Resumen de Unidades'!L21*PVM!L21</f>
        <v>7350.6418999999996</v>
      </c>
      <c r="M21" s="250">
        <f>'Resumen de Unidades'!M21*PVM!M21</f>
        <v>8533.6566000000003</v>
      </c>
      <c r="N21" s="250">
        <f>'Resumen de Unidades'!N21*PVM!N21</f>
        <v>8706.4565000000002</v>
      </c>
      <c r="O21" s="250">
        <f>'Resumen de Unidades'!O21*PVM!O21</f>
        <v>7802.5800999999992</v>
      </c>
      <c r="P21" s="250">
        <f>'Resumen de Unidades'!P21*PVM!P21</f>
        <v>6805.6575999999995</v>
      </c>
      <c r="Q21" s="256">
        <f t="shared" si="0"/>
        <v>90773.116700000013</v>
      </c>
      <c r="R21" s="104">
        <v>603167</v>
      </c>
      <c r="S21" s="104">
        <f>SUM(Q18:Q21)</f>
        <v>677388.66102399991</v>
      </c>
      <c r="T21" s="104">
        <f t="shared" si="1"/>
        <v>74221.661023999914</v>
      </c>
      <c r="V21" s="104">
        <f>+S21</f>
        <v>677388.66102399991</v>
      </c>
    </row>
    <row r="22" spans="1:23" x14ac:dyDescent="0.2">
      <c r="A22" s="33"/>
      <c r="B22" s="31">
        <v>13137</v>
      </c>
      <c r="C22" s="16" t="s">
        <v>29</v>
      </c>
      <c r="D22" s="41" t="s">
        <v>116</v>
      </c>
      <c r="E22" s="250">
        <f>'Resumen de Unidades'!E22*PVM!E22</f>
        <v>0</v>
      </c>
      <c r="F22" s="250">
        <f>'Resumen de Unidades'!F22*PVM!F22</f>
        <v>0</v>
      </c>
      <c r="G22" s="250">
        <f>'Resumen de Unidades'!G22*PVM!G22</f>
        <v>0</v>
      </c>
      <c r="H22" s="250">
        <f>'Resumen de Unidades'!H22*PVM!H22</f>
        <v>0</v>
      </c>
      <c r="I22" s="250">
        <f>'Resumen de Unidades'!I22*PVM!I22</f>
        <v>0</v>
      </c>
      <c r="J22" s="250">
        <f>'Resumen de Unidades'!J22*PVM!J22</f>
        <v>0</v>
      </c>
      <c r="K22" s="250">
        <f>'Resumen de Unidades'!K22*PVM!K22</f>
        <v>0</v>
      </c>
      <c r="L22" s="250">
        <f>'Resumen de Unidades'!L22*PVM!L22</f>
        <v>0</v>
      </c>
      <c r="M22" s="250">
        <f>'Resumen de Unidades'!M22*PVM!M22</f>
        <v>0</v>
      </c>
      <c r="N22" s="250">
        <f>'Resumen de Unidades'!N22*PVM!N22</f>
        <v>0</v>
      </c>
      <c r="O22" s="250">
        <f>'Resumen de Unidades'!O22*PVM!O22</f>
        <v>0</v>
      </c>
      <c r="P22" s="250">
        <f>'Resumen de Unidades'!P22*PVM!P22</f>
        <v>0</v>
      </c>
      <c r="Q22" s="256">
        <f t="shared" si="0"/>
        <v>0</v>
      </c>
      <c r="R22" s="104"/>
      <c r="S22" s="104"/>
      <c r="T22" s="104">
        <f t="shared" si="1"/>
        <v>0</v>
      </c>
    </row>
    <row r="23" spans="1:23" x14ac:dyDescent="0.2">
      <c r="A23" s="33"/>
      <c r="B23" s="31">
        <v>13138</v>
      </c>
      <c r="C23" s="16"/>
      <c r="D23" s="41" t="s">
        <v>117</v>
      </c>
      <c r="E23" s="250">
        <f>'Resumen de Unidades'!E23*PVM!E23</f>
        <v>11347.309600000001</v>
      </c>
      <c r="F23" s="250">
        <f>'Resumen de Unidades'!F23*PVM!F23</f>
        <v>13440.797199999999</v>
      </c>
      <c r="G23" s="250">
        <f>'Resumen de Unidades'!G23*PVM!G23</f>
        <v>13971.754199999999</v>
      </c>
      <c r="H23" s="250">
        <f>'Resumen de Unidades'!H23*PVM!H23</f>
        <v>14669.5834</v>
      </c>
      <c r="I23" s="250">
        <f>'Resumen de Unidades'!I23*PVM!I23</f>
        <v>15716.3272</v>
      </c>
      <c r="J23" s="250">
        <f>'Resumen de Unidades'!J23*PVM!J23</f>
        <v>15367.4126</v>
      </c>
      <c r="K23" s="250">
        <f>'Resumen de Unidades'!K23*PVM!K23</f>
        <v>14669.5834</v>
      </c>
      <c r="L23" s="250">
        <f>'Resumen de Unidades'!L23*PVM!L23</f>
        <v>14138.626399999999</v>
      </c>
      <c r="M23" s="250">
        <f>'Resumen de Unidades'!M23*PVM!M23</f>
        <v>16414.1564</v>
      </c>
      <c r="N23" s="250">
        <f>'Resumen de Unidades'!N23*PVM!N23</f>
        <v>16763.071</v>
      </c>
      <c r="O23" s="250">
        <f>'Resumen de Unidades'!O23*PVM!O23</f>
        <v>15018.498</v>
      </c>
      <c r="P23" s="250">
        <f>'Resumen de Unidades'!P23*PVM!P23</f>
        <v>13091.882599999999</v>
      </c>
      <c r="Q23" s="256">
        <f t="shared" si="0"/>
        <v>174609.00200000001</v>
      </c>
      <c r="R23" s="104">
        <v>151768</v>
      </c>
      <c r="S23" s="104">
        <f>SUM(Q22:Q23)</f>
        <v>174609.00200000001</v>
      </c>
      <c r="T23" s="104">
        <f t="shared" si="1"/>
        <v>22841.002000000008</v>
      </c>
      <c r="V23" s="104">
        <f>+S23</f>
        <v>174609.00200000001</v>
      </c>
    </row>
    <row r="24" spans="1:23" x14ac:dyDescent="0.2">
      <c r="A24" s="33"/>
      <c r="B24" s="31">
        <v>15514</v>
      </c>
      <c r="C24" s="4" t="s">
        <v>33</v>
      </c>
      <c r="D24" s="255" t="s">
        <v>34</v>
      </c>
      <c r="E24" s="250">
        <f>'Resumen de Unidades'!E24*PVM!E24</f>
        <v>0</v>
      </c>
      <c r="F24" s="250">
        <f>'Resumen de Unidades'!F24*PVM!F24</f>
        <v>0</v>
      </c>
      <c r="G24" s="250">
        <f>'Resumen de Unidades'!G24*PVM!G24</f>
        <v>0</v>
      </c>
      <c r="H24" s="250">
        <f>'Resumen de Unidades'!H24*PVM!H24</f>
        <v>0</v>
      </c>
      <c r="I24" s="250">
        <f>'Resumen de Unidades'!I24*PVM!I24</f>
        <v>0</v>
      </c>
      <c r="J24" s="250">
        <f>'Resumen de Unidades'!J24*PVM!J24</f>
        <v>0</v>
      </c>
      <c r="K24" s="250">
        <f>'Resumen de Unidades'!K24*PVM!K24</f>
        <v>0</v>
      </c>
      <c r="L24" s="250">
        <f>'Resumen de Unidades'!L24*PVM!L24</f>
        <v>0</v>
      </c>
      <c r="M24" s="250">
        <f>'Resumen de Unidades'!M24*PVM!M24</f>
        <v>0</v>
      </c>
      <c r="N24" s="250">
        <f>'Resumen de Unidades'!N24*PVM!N24</f>
        <v>0</v>
      </c>
      <c r="O24" s="250">
        <f>'Resumen de Unidades'!O24*PVM!O24</f>
        <v>0</v>
      </c>
      <c r="P24" s="250">
        <f>'Resumen de Unidades'!P24*PVM!P24</f>
        <v>0</v>
      </c>
      <c r="Q24" s="256">
        <f t="shared" si="0"/>
        <v>0</v>
      </c>
      <c r="R24" s="104"/>
      <c r="S24" s="104"/>
      <c r="T24" s="104">
        <f t="shared" si="1"/>
        <v>0</v>
      </c>
    </row>
    <row r="25" spans="1:23" x14ac:dyDescent="0.2">
      <c r="A25" s="33"/>
      <c r="B25" s="31">
        <v>15524</v>
      </c>
      <c r="C25" s="8"/>
      <c r="D25" s="255" t="s">
        <v>35</v>
      </c>
      <c r="E25" s="250">
        <f>'Resumen de Unidades'!E25*PVM!E25</f>
        <v>0</v>
      </c>
      <c r="F25" s="250">
        <f>'Resumen de Unidades'!F25*PVM!F25</f>
        <v>0</v>
      </c>
      <c r="G25" s="250">
        <f>'Resumen de Unidades'!G25*PVM!G25</f>
        <v>0</v>
      </c>
      <c r="H25" s="250">
        <f>'Resumen de Unidades'!H25*PVM!H25</f>
        <v>0</v>
      </c>
      <c r="I25" s="250">
        <f>'Resumen de Unidades'!I25*PVM!I25</f>
        <v>0</v>
      </c>
      <c r="J25" s="250">
        <f>'Resumen de Unidades'!J25*PVM!J25</f>
        <v>0</v>
      </c>
      <c r="K25" s="250">
        <f>'Resumen de Unidades'!K25*PVM!K25</f>
        <v>0</v>
      </c>
      <c r="L25" s="250">
        <f>'Resumen de Unidades'!L25*PVM!L25</f>
        <v>0</v>
      </c>
      <c r="M25" s="250">
        <f>'Resumen de Unidades'!M25*PVM!M25</f>
        <v>0</v>
      </c>
      <c r="N25" s="250">
        <f>'Resumen de Unidades'!N25*PVM!N25</f>
        <v>0</v>
      </c>
      <c r="O25" s="250">
        <f>'Resumen de Unidades'!O25*PVM!O25</f>
        <v>0</v>
      </c>
      <c r="P25" s="250">
        <f>'Resumen de Unidades'!P25*PVM!P25</f>
        <v>0</v>
      </c>
      <c r="Q25" s="256">
        <f t="shared" si="0"/>
        <v>0</v>
      </c>
      <c r="R25" s="104"/>
      <c r="S25" s="104">
        <f>SUM(Q24:Q25)</f>
        <v>0</v>
      </c>
      <c r="T25" s="104">
        <f t="shared" si="1"/>
        <v>0</v>
      </c>
      <c r="V25" s="104">
        <f>+S25</f>
        <v>0</v>
      </c>
    </row>
    <row r="26" spans="1:23" x14ac:dyDescent="0.2">
      <c r="A26" s="33"/>
      <c r="B26" s="31">
        <v>13122</v>
      </c>
      <c r="C26" s="18" t="s">
        <v>36</v>
      </c>
      <c r="D26" s="255" t="s">
        <v>118</v>
      </c>
      <c r="E26" s="250">
        <f>'Resumen de Unidades'!E26*PVM!E26</f>
        <v>14870.9162</v>
      </c>
      <c r="F26" s="250">
        <f>'Resumen de Unidades'!F26*PVM!F26</f>
        <v>15504.904400000001</v>
      </c>
      <c r="G26" s="250">
        <f>'Resumen de Unidades'!G26*PVM!G26</f>
        <v>16761.7582</v>
      </c>
      <c r="H26" s="250">
        <f>'Resumen de Unidades'!H26*PVM!H26</f>
        <v>18018.612000000001</v>
      </c>
      <c r="I26" s="250">
        <f>'Resumen de Unidades'!I26*PVM!I26</f>
        <v>18852.807000000001</v>
      </c>
      <c r="J26" s="250">
        <f>'Resumen de Unidades'!J26*PVM!J26</f>
        <v>18430.1482</v>
      </c>
      <c r="K26" s="250">
        <f>'Resumen de Unidades'!K26*PVM!K26</f>
        <v>18229.9414</v>
      </c>
      <c r="L26" s="250">
        <f>'Resumen de Unidades'!L26*PVM!L26</f>
        <v>16761.7582</v>
      </c>
      <c r="M26" s="250">
        <f>'Resumen de Unidades'!M26*PVM!M26</f>
        <v>18852.807000000001</v>
      </c>
      <c r="N26" s="250">
        <f>'Resumen de Unidades'!N26*PVM!N26</f>
        <v>19275.465800000002</v>
      </c>
      <c r="O26" s="250">
        <f>'Resumen de Unidades'!O26*PVM!O26</f>
        <v>17595.9532</v>
      </c>
      <c r="P26" s="250">
        <f>'Resumen de Unidades'!P26*PVM!P26</f>
        <v>16339.099400000001</v>
      </c>
      <c r="Q26" s="256">
        <f t="shared" si="0"/>
        <v>209494.171</v>
      </c>
      <c r="R26" s="104"/>
      <c r="S26" s="104"/>
      <c r="T26" s="104">
        <f t="shared" si="1"/>
        <v>0</v>
      </c>
    </row>
    <row r="27" spans="1:23" x14ac:dyDescent="0.2">
      <c r="A27" s="33"/>
      <c r="B27" s="32">
        <v>13158</v>
      </c>
      <c r="C27" s="18"/>
      <c r="D27" s="255" t="s">
        <v>552</v>
      </c>
      <c r="E27" s="250">
        <f>'Resumen de Unidades'!E27*PVM!E27</f>
        <v>11893.909100000001</v>
      </c>
      <c r="F27" s="250">
        <f>'Resumen de Unidades'!F27*PVM!F27</f>
        <v>12386.470499999999</v>
      </c>
      <c r="G27" s="250">
        <f>'Resumen de Unidades'!G27*PVM!G27</f>
        <v>13400.567499999999</v>
      </c>
      <c r="H27" s="250">
        <f>'Resumen de Unidades'!H27*PVM!H27</f>
        <v>14400.1774</v>
      </c>
      <c r="I27" s="250">
        <f>'Resumen de Unidades'!I27*PVM!I27</f>
        <v>15066.584000000001</v>
      </c>
      <c r="J27" s="250">
        <f>'Resumen de Unidades'!J27*PVM!J27</f>
        <v>14733.3807</v>
      </c>
      <c r="K27" s="250">
        <f>'Resumen de Unidades'!K27*PVM!K27</f>
        <v>14574.0226</v>
      </c>
      <c r="L27" s="250">
        <f>'Resumen de Unidades'!L27*PVM!L27</f>
        <v>13400.567499999999</v>
      </c>
      <c r="M27" s="250">
        <f>'Resumen de Unidades'!M27*PVM!M27</f>
        <v>15066.584000000001</v>
      </c>
      <c r="N27" s="250">
        <f>'Resumen de Unidades'!N27*PVM!N27</f>
        <v>15399.7873</v>
      </c>
      <c r="O27" s="250">
        <f>'Resumen de Unidades'!O27*PVM!O27</f>
        <v>14066.974099999999</v>
      </c>
      <c r="P27" s="250">
        <f>'Resumen de Unidades'!P27*PVM!P27</f>
        <v>13067.3642</v>
      </c>
      <c r="Q27" s="256">
        <f t="shared" si="0"/>
        <v>167456.38889999999</v>
      </c>
      <c r="R27" s="104">
        <v>293421</v>
      </c>
      <c r="S27" s="104">
        <f>SUM(Q26:Q27)</f>
        <v>376950.55989999999</v>
      </c>
      <c r="T27" s="104">
        <f t="shared" si="1"/>
        <v>83529.559899999993</v>
      </c>
      <c r="W27" s="104">
        <f>+S27</f>
        <v>376950.55989999999</v>
      </c>
    </row>
    <row r="28" spans="1:23" x14ac:dyDescent="0.2">
      <c r="A28" s="33"/>
      <c r="B28" s="31">
        <v>13110</v>
      </c>
      <c r="C28" s="19" t="s">
        <v>38</v>
      </c>
      <c r="D28" s="41" t="s">
        <v>39</v>
      </c>
      <c r="E28" s="250">
        <f>'Resumen de Unidades'!E28*PVM!E28</f>
        <v>26122.271500000003</v>
      </c>
      <c r="F28" s="250">
        <f>'Resumen de Unidades'!F28*PVM!F28</f>
        <v>27227.512000000002</v>
      </c>
      <c r="G28" s="250">
        <f>'Resumen de Unidades'!G28*PVM!G28</f>
        <v>29434.4843</v>
      </c>
      <c r="H28" s="250">
        <f>'Resumen de Unidades'!H28*PVM!H28</f>
        <v>31641.456600000001</v>
      </c>
      <c r="I28" s="250">
        <f>'Resumen de Unidades'!I28*PVM!I28</f>
        <v>33115.1106</v>
      </c>
      <c r="J28" s="250">
        <f>'Resumen de Unidades'!J28*PVM!J28</f>
        <v>32378.283600000002</v>
      </c>
      <c r="K28" s="250">
        <f>'Resumen de Unidades'!K28*PVM!K28</f>
        <v>32009.8701</v>
      </c>
      <c r="L28" s="250">
        <f>'Resumen de Unidades'!L28*PVM!L28</f>
        <v>29434.4843</v>
      </c>
      <c r="M28" s="250">
        <f>'Resumen de Unidades'!M28*PVM!M28</f>
        <v>33115.1106</v>
      </c>
      <c r="N28" s="250">
        <f>'Resumen de Unidades'!N28*PVM!N28</f>
        <v>33851.937600000005</v>
      </c>
      <c r="O28" s="250">
        <f>'Resumen de Unidades'!O28*PVM!O28</f>
        <v>30908.138300000002</v>
      </c>
      <c r="P28" s="250">
        <f>'Resumen de Unidades'!P28*PVM!P28</f>
        <v>28701.166000000001</v>
      </c>
      <c r="Q28" s="256">
        <f t="shared" si="0"/>
        <v>367939.82550000004</v>
      </c>
      <c r="R28" s="104">
        <v>403377</v>
      </c>
      <c r="S28" s="104">
        <f>+Q28</f>
        <v>367939.82550000004</v>
      </c>
      <c r="T28" s="104">
        <f t="shared" si="1"/>
        <v>-35437.174499999965</v>
      </c>
      <c r="W28" s="104">
        <f>+S28</f>
        <v>367939.82550000004</v>
      </c>
    </row>
    <row r="29" spans="1:23" x14ac:dyDescent="0.2">
      <c r="A29" s="33"/>
      <c r="B29" s="31">
        <v>13074</v>
      </c>
      <c r="C29" s="20" t="s">
        <v>40</v>
      </c>
      <c r="D29" s="41" t="s">
        <v>41</v>
      </c>
      <c r="E29" s="250">
        <f>'Resumen de Unidades'!E29*PVM!E29</f>
        <v>32703.795599999998</v>
      </c>
      <c r="F29" s="250">
        <f>'Resumen de Unidades'!F29*PVM!F29</f>
        <v>38745.7428</v>
      </c>
      <c r="G29" s="250">
        <f>'Resumen de Unidades'!G29*PVM!G29</f>
        <v>40256.229599999999</v>
      </c>
      <c r="H29" s="250">
        <f>'Resumen de Unidades'!H29*PVM!H29</f>
        <v>42264.357399999994</v>
      </c>
      <c r="I29" s="250">
        <f>'Resumen de Unidades'!I29*PVM!I29</f>
        <v>45285.330999999998</v>
      </c>
      <c r="J29" s="250">
        <f>'Resumen de Unidades'!J29*PVM!J29</f>
        <v>44278.339799999994</v>
      </c>
      <c r="K29" s="250">
        <f>'Resumen de Unidades'!K29*PVM!K29</f>
        <v>42264.357399999994</v>
      </c>
      <c r="L29" s="250">
        <f>'Resumen de Unidades'!L29*PVM!L29</f>
        <v>40759.725199999993</v>
      </c>
      <c r="M29" s="250">
        <f>'Resumen de Unidades'!M29*PVM!M29</f>
        <v>47299.313399999999</v>
      </c>
      <c r="N29" s="250">
        <f>'Resumen de Unidades'!N29*PVM!N29</f>
        <v>48306.304599999996</v>
      </c>
      <c r="O29" s="250">
        <f>'Resumen de Unidades'!O29*PVM!O29</f>
        <v>43271.348599999998</v>
      </c>
      <c r="P29" s="250">
        <f>'Resumen de Unidades'!P29*PVM!P29</f>
        <v>37738.751599999996</v>
      </c>
      <c r="Q29" s="256">
        <f t="shared" si="0"/>
        <v>503173.59699999989</v>
      </c>
      <c r="R29" s="104"/>
      <c r="S29" s="104"/>
      <c r="T29" s="104">
        <f t="shared" si="1"/>
        <v>0</v>
      </c>
    </row>
    <row r="30" spans="1:23" x14ac:dyDescent="0.2">
      <c r="A30" s="33"/>
      <c r="B30" s="31">
        <v>13072</v>
      </c>
      <c r="C30" s="20"/>
      <c r="D30" s="41" t="s">
        <v>42</v>
      </c>
      <c r="E30" s="250">
        <f>'Resumen de Unidades'!E30*PVM!E30</f>
        <v>7953.424</v>
      </c>
      <c r="F30" s="250">
        <f>'Resumen de Unidades'!F30*PVM!F30</f>
        <v>9419.5712000000003</v>
      </c>
      <c r="G30" s="250">
        <f>'Resumen de Unidades'!G30*PVM!G30</f>
        <v>9787.5231999999996</v>
      </c>
      <c r="H30" s="250">
        <f>'Resumen de Unidades'!H30*PVM!H30</f>
        <v>10274.352000000001</v>
      </c>
      <c r="I30" s="250">
        <f>'Resumen de Unidades'!I30*PVM!I30</f>
        <v>11010.255999999999</v>
      </c>
      <c r="J30" s="250">
        <f>'Resumen de Unidades'!J30*PVM!J30</f>
        <v>10766.8416</v>
      </c>
      <c r="K30" s="250">
        <f>'Resumen de Unidades'!K30*PVM!K30</f>
        <v>10274.352000000001</v>
      </c>
      <c r="L30" s="250">
        <f>'Resumen de Unidades'!L30*PVM!L30</f>
        <v>9906.4</v>
      </c>
      <c r="M30" s="250">
        <f>'Resumen de Unidades'!M30*PVM!M30</f>
        <v>11497.084800000001</v>
      </c>
      <c r="N30" s="250">
        <f>'Resumen de Unidades'!N30*PVM!N30</f>
        <v>11740.4992</v>
      </c>
      <c r="O30" s="250">
        <f>'Resumen de Unidades'!O30*PVM!O30</f>
        <v>10517.7664</v>
      </c>
      <c r="P30" s="250">
        <f>'Resumen de Unidades'!P30*PVM!P30</f>
        <v>9176.1568000000007</v>
      </c>
      <c r="Q30" s="256">
        <f t="shared" si="0"/>
        <v>122324.22719999999</v>
      </c>
      <c r="R30" s="104"/>
      <c r="S30" s="104"/>
      <c r="T30" s="104">
        <f t="shared" si="1"/>
        <v>0</v>
      </c>
    </row>
    <row r="31" spans="1:23" x14ac:dyDescent="0.2">
      <c r="A31" s="33"/>
      <c r="B31" s="31">
        <v>13071</v>
      </c>
      <c r="C31" s="21"/>
      <c r="D31" s="41" t="s">
        <v>43</v>
      </c>
      <c r="E31" s="250">
        <f>'Resumen de Unidades'!E31*PVM!E31</f>
        <v>9224.4691000000003</v>
      </c>
      <c r="F31" s="250">
        <f>'Resumen de Unidades'!F31*PVM!F31</f>
        <v>10927.277899999999</v>
      </c>
      <c r="G31" s="250">
        <f>'Resumen de Unidades'!G31*PVM!G31</f>
        <v>11355.7444</v>
      </c>
      <c r="H31" s="250">
        <f>'Resumen de Unidades'!H31*PVM!H31</f>
        <v>11922.4259</v>
      </c>
      <c r="I31" s="250">
        <f>'Resumen de Unidades'!I31*PVM!I31</f>
        <v>12773.8303</v>
      </c>
      <c r="J31" s="250">
        <f>'Resumen de Unidades'!J31*PVM!J31</f>
        <v>12489.107400000001</v>
      </c>
      <c r="K31" s="250">
        <f>'Resumen de Unidades'!K31*PVM!K31</f>
        <v>11922.4259</v>
      </c>
      <c r="L31" s="250">
        <f>'Resumen de Unidades'!L31*PVM!L31</f>
        <v>11496.7237</v>
      </c>
      <c r="M31" s="250">
        <f>'Resumen de Unidades'!M31*PVM!M31</f>
        <v>13340.5118</v>
      </c>
      <c r="N31" s="250">
        <f>'Resumen de Unidades'!N31*PVM!N31</f>
        <v>13625.234699999999</v>
      </c>
      <c r="O31" s="250">
        <f>'Resumen de Unidades'!O31*PVM!O31</f>
        <v>12207.148799999999</v>
      </c>
      <c r="P31" s="250">
        <f>'Resumen de Unidades'!P31*PVM!P31</f>
        <v>10645.319299999999</v>
      </c>
      <c r="Q31" s="256">
        <f t="shared" si="0"/>
        <v>141930.21920000002</v>
      </c>
      <c r="R31" s="104">
        <v>811624</v>
      </c>
      <c r="S31" s="104">
        <f>SUM(Q29:Q31)</f>
        <v>767428.04339999997</v>
      </c>
      <c r="T31" s="104">
        <f t="shared" si="1"/>
        <v>-44195.956600000034</v>
      </c>
      <c r="V31" s="104">
        <f>+S31</f>
        <v>767428.04339999997</v>
      </c>
    </row>
    <row r="32" spans="1:23" x14ac:dyDescent="0.2">
      <c r="A32" s="33"/>
      <c r="B32" s="31">
        <v>13082</v>
      </c>
      <c r="C32" s="12" t="s">
        <v>44</v>
      </c>
      <c r="D32" s="41" t="s">
        <v>119</v>
      </c>
      <c r="E32" s="250">
        <f>'Resumen de Unidades'!E32*PVM!E32</f>
        <v>4574.4075000000003</v>
      </c>
      <c r="F32" s="250">
        <f>'Resumen de Unidades'!F32*PVM!F32</f>
        <v>5418.9135000000006</v>
      </c>
      <c r="G32" s="250">
        <f>'Resumen de Unidades'!G32*PVM!G32</f>
        <v>5630.04</v>
      </c>
      <c r="H32" s="250">
        <f>'Resumen de Unidades'!H32*PVM!H32</f>
        <v>5911.5420000000004</v>
      </c>
      <c r="I32" s="250">
        <f>'Resumen de Unidades'!I32*PVM!I32</f>
        <v>6333.7950000000001</v>
      </c>
      <c r="J32" s="250">
        <f>'Resumen de Unidades'!J32*PVM!J32</f>
        <v>6193.0439999999999</v>
      </c>
      <c r="K32" s="250">
        <f>'Resumen de Unidades'!K32*PVM!K32</f>
        <v>5911.5420000000004</v>
      </c>
      <c r="L32" s="250">
        <f>'Resumen de Unidades'!L32*PVM!L32</f>
        <v>5700.4155000000001</v>
      </c>
      <c r="M32" s="250">
        <f>'Resumen de Unidades'!M32*PVM!M32</f>
        <v>6615.2970000000005</v>
      </c>
      <c r="N32" s="250">
        <f>'Resumen de Unidades'!N32*PVM!N32</f>
        <v>6756.0480000000007</v>
      </c>
      <c r="O32" s="250">
        <f>'Resumen de Unidades'!O32*PVM!O32</f>
        <v>6052.2930000000006</v>
      </c>
      <c r="P32" s="250">
        <f>'Resumen de Unidades'!P32*PVM!P32</f>
        <v>5278.1625000000004</v>
      </c>
      <c r="Q32" s="256">
        <f t="shared" si="0"/>
        <v>70375.500000000015</v>
      </c>
      <c r="R32" s="104">
        <v>60675</v>
      </c>
      <c r="S32" s="104">
        <f>+Q32</f>
        <v>70375.500000000015</v>
      </c>
      <c r="T32" s="104">
        <f t="shared" si="1"/>
        <v>9700.5000000000146</v>
      </c>
      <c r="V32" s="104">
        <f>+S32</f>
        <v>70375.500000000015</v>
      </c>
    </row>
    <row r="33" spans="1:23" x14ac:dyDescent="0.2">
      <c r="A33" s="33"/>
      <c r="B33" s="31">
        <v>13040</v>
      </c>
      <c r="C33" s="9" t="s">
        <v>47</v>
      </c>
      <c r="D33" s="41" t="s">
        <v>48</v>
      </c>
      <c r="E33" s="250">
        <f>'Resumen de Unidades'!E33*PVM!E33</f>
        <v>0</v>
      </c>
      <c r="F33" s="250">
        <f>'Resumen de Unidades'!F33*PVM!F33</f>
        <v>0</v>
      </c>
      <c r="G33" s="250">
        <f>'Resumen de Unidades'!G33*PVM!G33</f>
        <v>0</v>
      </c>
      <c r="H33" s="250">
        <f>'Resumen de Unidades'!H33*PVM!H33</f>
        <v>0</v>
      </c>
      <c r="I33" s="250">
        <f>'Resumen de Unidades'!I33*PVM!I33</f>
        <v>0</v>
      </c>
      <c r="J33" s="250">
        <f>'Resumen de Unidades'!J33*PVM!J33</f>
        <v>0</v>
      </c>
      <c r="K33" s="250">
        <f>'Resumen de Unidades'!K33*PVM!K33</f>
        <v>0</v>
      </c>
      <c r="L33" s="250">
        <f>'Resumen de Unidades'!L33*PVM!L33</f>
        <v>0</v>
      </c>
      <c r="M33" s="250">
        <f>'Resumen de Unidades'!M33*PVM!M33</f>
        <v>0</v>
      </c>
      <c r="N33" s="250">
        <f>'Resumen de Unidades'!N33*PVM!N33</f>
        <v>0</v>
      </c>
      <c r="O33" s="250">
        <f>'Resumen de Unidades'!O33*PVM!O33</f>
        <v>0</v>
      </c>
      <c r="P33" s="250">
        <f>'Resumen de Unidades'!P33*PVM!P33</f>
        <v>0</v>
      </c>
      <c r="Q33" s="256">
        <f t="shared" si="0"/>
        <v>0</v>
      </c>
      <c r="R33" s="104"/>
      <c r="S33" s="104"/>
      <c r="T33" s="104">
        <f t="shared" si="1"/>
        <v>0</v>
      </c>
    </row>
    <row r="34" spans="1:23" x14ac:dyDescent="0.2">
      <c r="A34" s="33"/>
      <c r="B34" s="31">
        <v>13066</v>
      </c>
      <c r="C34" s="20"/>
      <c r="D34" s="41" t="s">
        <v>148</v>
      </c>
      <c r="E34" s="250">
        <f>'Resumen de Unidades'!E34*PVM!E34</f>
        <v>18807.7824</v>
      </c>
      <c r="F34" s="250">
        <f>'Resumen de Unidades'!F34*PVM!F34</f>
        <v>22274.1315</v>
      </c>
      <c r="G34" s="250">
        <f>'Resumen de Unidades'!G34*PVM!G34</f>
        <v>23142.388499999997</v>
      </c>
      <c r="H34" s="250">
        <f>'Resumen de Unidades'!H34*PVM!H34</f>
        <v>24304.517099999997</v>
      </c>
      <c r="I34" s="250">
        <f>'Resumen de Unidades'!I34*PVM!I34</f>
        <v>26041.0311</v>
      </c>
      <c r="J34" s="250">
        <f>'Resumen de Unidades'!J34*PVM!J34</f>
        <v>25459.966799999998</v>
      </c>
      <c r="K34" s="250">
        <f>'Resumen de Unidades'!K34*PVM!K34</f>
        <v>24304.517099999997</v>
      </c>
      <c r="L34" s="250">
        <f>'Resumen de Unidades'!L34*PVM!L34</f>
        <v>23436.2601</v>
      </c>
      <c r="M34" s="250">
        <f>'Resumen de Unidades'!M34*PVM!M34</f>
        <v>27196.480799999998</v>
      </c>
      <c r="N34" s="250">
        <f>'Resumen de Unidades'!N34*PVM!N34</f>
        <v>27777.545099999999</v>
      </c>
      <c r="O34" s="250">
        <f>'Resumen de Unidades'!O34*PVM!O34</f>
        <v>24878.9025</v>
      </c>
      <c r="P34" s="250">
        <f>'Resumen de Unidades'!P34*PVM!P34</f>
        <v>21699.7461</v>
      </c>
      <c r="Q34" s="256">
        <f t="shared" si="0"/>
        <v>289323.26909999998</v>
      </c>
      <c r="R34" s="104">
        <v>217981</v>
      </c>
      <c r="S34" s="104">
        <f>SUM(Q33:Q34)</f>
        <v>289323.26909999998</v>
      </c>
      <c r="T34" s="104">
        <f t="shared" si="1"/>
        <v>71342.269099999976</v>
      </c>
      <c r="V34" s="104">
        <f>+S34</f>
        <v>289323.26909999998</v>
      </c>
    </row>
    <row r="35" spans="1:23" x14ac:dyDescent="0.2">
      <c r="A35" s="33"/>
      <c r="B35" s="31">
        <v>13140</v>
      </c>
      <c r="C35" s="19" t="s">
        <v>54</v>
      </c>
      <c r="D35" s="41" t="s">
        <v>120</v>
      </c>
      <c r="E35" s="250">
        <f>'Resumen de Unidades'!E35*PVM!E35</f>
        <v>0</v>
      </c>
      <c r="F35" s="250">
        <f>'Resumen de Unidades'!F35*PVM!F35</f>
        <v>0</v>
      </c>
      <c r="G35" s="250">
        <f>'Resumen de Unidades'!G35*PVM!G35</f>
        <v>0</v>
      </c>
      <c r="H35" s="250">
        <f>'Resumen de Unidades'!H35*PVM!H35</f>
        <v>0</v>
      </c>
      <c r="I35" s="250">
        <f>'Resumen de Unidades'!I35*PVM!I35</f>
        <v>0</v>
      </c>
      <c r="J35" s="250">
        <f>'Resumen de Unidades'!J35*PVM!J35</f>
        <v>0</v>
      </c>
      <c r="K35" s="250">
        <f>'Resumen de Unidades'!K35*PVM!K35</f>
        <v>0</v>
      </c>
      <c r="L35" s="250">
        <f>'Resumen de Unidades'!L35*PVM!L35</f>
        <v>0</v>
      </c>
      <c r="M35" s="250">
        <f>'Resumen de Unidades'!M35*PVM!M35</f>
        <v>0</v>
      </c>
      <c r="N35" s="250">
        <f>'Resumen de Unidades'!N35*PVM!N35</f>
        <v>0</v>
      </c>
      <c r="O35" s="250">
        <f>'Resumen de Unidades'!O35*PVM!O35</f>
        <v>0</v>
      </c>
      <c r="P35" s="250">
        <f>'Resumen de Unidades'!P35*PVM!P35</f>
        <v>0</v>
      </c>
      <c r="Q35" s="256">
        <f t="shared" si="0"/>
        <v>0</v>
      </c>
      <c r="R35" s="104">
        <v>0</v>
      </c>
      <c r="S35" s="104">
        <f>+Q35</f>
        <v>0</v>
      </c>
      <c r="T35" s="104">
        <f t="shared" si="1"/>
        <v>0</v>
      </c>
      <c r="V35" s="104">
        <f>+S35</f>
        <v>0</v>
      </c>
    </row>
    <row r="36" spans="1:23" x14ac:dyDescent="0.2">
      <c r="A36" s="33"/>
      <c r="B36" s="31">
        <v>13112</v>
      </c>
      <c r="C36" s="4" t="s">
        <v>56</v>
      </c>
      <c r="D36" s="41" t="s">
        <v>57</v>
      </c>
      <c r="E36" s="250">
        <f>'Resumen de Unidades'!E36*PVM!E36</f>
        <v>20764.437480000001</v>
      </c>
      <c r="F36" s="250">
        <f>'Resumen de Unidades'!F36*PVM!F36</f>
        <v>21632.404319999998</v>
      </c>
      <c r="G36" s="250">
        <f>'Resumen de Unidades'!G36*PVM!G36</f>
        <v>23390.593559999998</v>
      </c>
      <c r="H36" s="250">
        <f>'Resumen de Unidades'!H36*PVM!H36</f>
        <v>25148.782799999997</v>
      </c>
      <c r="I36" s="250">
        <f>'Resumen de Unidades'!I36*PVM!I36</f>
        <v>26317.199699999997</v>
      </c>
      <c r="J36" s="250">
        <f>'Resumen de Unidades'!J36*PVM!J36</f>
        <v>25727.427359999998</v>
      </c>
      <c r="K36" s="250">
        <f>'Resumen de Unidades'!K36*PVM!K36</f>
        <v>25438.105079999998</v>
      </c>
      <c r="L36" s="250">
        <f>'Resumen de Unidades'!L36*PVM!L36</f>
        <v>23390.593559999998</v>
      </c>
      <c r="M36" s="250">
        <f>'Resumen de Unidades'!M36*PVM!M36</f>
        <v>26317.199699999997</v>
      </c>
      <c r="N36" s="250">
        <f>'Resumen de Unidades'!N36*PVM!N36</f>
        <v>26895.844259999998</v>
      </c>
      <c r="O36" s="250">
        <f>'Resumen de Unidades'!O36*PVM!O36</f>
        <v>24559.010459999998</v>
      </c>
      <c r="P36" s="250">
        <f>'Resumen de Unidades'!P36*PVM!P36</f>
        <v>22800.821219999998</v>
      </c>
      <c r="Q36" s="256">
        <f t="shared" si="0"/>
        <v>292382.41950000002</v>
      </c>
      <c r="R36" s="104">
        <v>422479</v>
      </c>
      <c r="S36" s="104">
        <f>SUM(Q36:Q37)</f>
        <v>383642.41950000002</v>
      </c>
      <c r="T36" s="104">
        <f t="shared" si="1"/>
        <v>-38836.580499999982</v>
      </c>
      <c r="U36" s="1" t="s">
        <v>620</v>
      </c>
      <c r="W36" s="104">
        <f>+S36</f>
        <v>383642.41950000002</v>
      </c>
    </row>
    <row r="37" spans="1:23" x14ac:dyDescent="0.2">
      <c r="A37" s="33"/>
      <c r="B37" s="31">
        <v>44444</v>
      </c>
      <c r="C37" s="4"/>
      <c r="D37" s="41" t="s">
        <v>585</v>
      </c>
      <c r="E37" s="250">
        <f>'Resumen de Unidades'!E37*PVM!E37</f>
        <v>0</v>
      </c>
      <c r="F37" s="250">
        <f>'Resumen de Unidades'!F37*PVM!F37</f>
        <v>0</v>
      </c>
      <c r="G37" s="250">
        <f>'Resumen de Unidades'!G37*PVM!G37</f>
        <v>0</v>
      </c>
      <c r="H37" s="250">
        <f>'Resumen de Unidades'!H37*PVM!H37</f>
        <v>0</v>
      </c>
      <c r="I37" s="250">
        <f>'Resumen de Unidades'!I37*PVM!I37</f>
        <v>0</v>
      </c>
      <c r="J37" s="250">
        <f>'Resumen de Unidades'!J37*PVM!J37</f>
        <v>29250</v>
      </c>
      <c r="K37" s="250">
        <f>'Resumen de Unidades'!K37*PVM!K37</f>
        <v>3510</v>
      </c>
      <c r="L37" s="250">
        <f>'Resumen de Unidades'!L37*PVM!L37</f>
        <v>5850</v>
      </c>
      <c r="M37" s="250">
        <f>'Resumen de Unidades'!M37*PVM!M37</f>
        <v>14040</v>
      </c>
      <c r="N37" s="250">
        <f>'Resumen de Unidades'!N37*PVM!N37</f>
        <v>11700</v>
      </c>
      <c r="O37" s="250">
        <f>'Resumen de Unidades'!O37*PVM!O37</f>
        <v>12870</v>
      </c>
      <c r="P37" s="250">
        <f>'Resumen de Unidades'!P37*PVM!P37</f>
        <v>14040</v>
      </c>
      <c r="Q37" s="256">
        <f t="shared" si="0"/>
        <v>91260</v>
      </c>
      <c r="R37" s="104"/>
      <c r="S37" s="104"/>
      <c r="T37" s="104">
        <f t="shared" si="1"/>
        <v>0</v>
      </c>
    </row>
    <row r="38" spans="1:23" x14ac:dyDescent="0.2">
      <c r="A38" s="33"/>
      <c r="B38" s="31">
        <v>13081</v>
      </c>
      <c r="C38" s="23" t="s">
        <v>58</v>
      </c>
      <c r="D38" s="41" t="s">
        <v>121</v>
      </c>
      <c r="E38" s="250">
        <f>'Resumen de Unidades'!E38*PVM!E38</f>
        <v>5995.8975999999993</v>
      </c>
      <c r="F38" s="250">
        <f>'Resumen de Unidades'!F38*PVM!F38</f>
        <v>6248.971199999999</v>
      </c>
      <c r="G38" s="250">
        <f>'Resumen de Unidades'!G38*PVM!G38</f>
        <v>6755.1183999999994</v>
      </c>
      <c r="H38" s="250">
        <f>'Resumen de Unidades'!H38*PVM!H38</f>
        <v>7261.2655999999997</v>
      </c>
      <c r="I38" s="250">
        <f>'Resumen de Unidades'!I38*PVM!I38</f>
        <v>7592.2079999999996</v>
      </c>
      <c r="J38" s="250">
        <f>'Resumen de Unidades'!J38*PVM!J38</f>
        <v>7436.4703999999992</v>
      </c>
      <c r="K38" s="250">
        <f>'Resumen de Unidades'!K38*PVM!K38</f>
        <v>7339.134399999999</v>
      </c>
      <c r="L38" s="250">
        <f>'Resumen de Unidades'!L38*PVM!L38</f>
        <v>6755.1183999999994</v>
      </c>
      <c r="M38" s="250">
        <f>'Resumen de Unidades'!M38*PVM!M38</f>
        <v>7592.2079999999996</v>
      </c>
      <c r="N38" s="250">
        <f>'Resumen de Unidades'!N38*PVM!N38</f>
        <v>7767.4127999999992</v>
      </c>
      <c r="O38" s="250">
        <f>'Resumen de Unidades'!O38*PVM!O38</f>
        <v>7086.0607999999993</v>
      </c>
      <c r="P38" s="250">
        <f>'Resumen de Unidades'!P38*PVM!P38</f>
        <v>6579.9135999999999</v>
      </c>
      <c r="Q38" s="256">
        <f t="shared" si="0"/>
        <v>84409.77919999999</v>
      </c>
      <c r="R38" s="104">
        <v>70224</v>
      </c>
      <c r="S38" s="104">
        <f>+Q38</f>
        <v>84409.77919999999</v>
      </c>
      <c r="T38" s="104">
        <f t="shared" si="1"/>
        <v>14185.77919999999</v>
      </c>
      <c r="W38" s="104">
        <f>+S38</f>
        <v>84409.77919999999</v>
      </c>
    </row>
    <row r="39" spans="1:23" x14ac:dyDescent="0.2">
      <c r="A39" s="33"/>
      <c r="B39" s="31">
        <v>13139</v>
      </c>
      <c r="C39" s="24" t="s">
        <v>60</v>
      </c>
      <c r="D39" s="41" t="s">
        <v>122</v>
      </c>
      <c r="E39" s="250">
        <f>'Resumen de Unidades'!E39*PVM!E39</f>
        <v>14521.6536</v>
      </c>
      <c r="F39" s="250">
        <f>'Resumen de Unidades'!F39*PVM!F39</f>
        <v>17202.338599999999</v>
      </c>
      <c r="G39" s="250">
        <f>'Resumen de Unidades'!G39*PVM!G39</f>
        <v>17861.021199999999</v>
      </c>
      <c r="H39" s="250">
        <f>'Resumen de Unidades'!H39*PVM!H39</f>
        <v>18764.794999999998</v>
      </c>
      <c r="I39" s="250">
        <f>'Resumen de Unidades'!I39*PVM!I39</f>
        <v>20097.4784</v>
      </c>
      <c r="J39" s="250">
        <f>'Resumen de Unidades'!J39*PVM!J39</f>
        <v>19653.250599999999</v>
      </c>
      <c r="K39" s="250">
        <f>'Resumen de Unidades'!K39*PVM!K39</f>
        <v>18764.794999999998</v>
      </c>
      <c r="L39" s="250">
        <f>'Resumen de Unidades'!L39*PVM!L39</f>
        <v>18090.7942</v>
      </c>
      <c r="M39" s="250">
        <f>'Resumen de Unidades'!M39*PVM!M39</f>
        <v>21001.252199999999</v>
      </c>
      <c r="N39" s="250">
        <f>'Resumen de Unidades'!N39*PVM!N39</f>
        <v>21445.48</v>
      </c>
      <c r="O39" s="250">
        <f>'Resumen de Unidades'!O39*PVM!O39</f>
        <v>19209.022799999999</v>
      </c>
      <c r="P39" s="250">
        <f>'Resumen de Unidades'!P39*PVM!P39</f>
        <v>16758.110799999999</v>
      </c>
      <c r="Q39" s="256">
        <f t="shared" si="0"/>
        <v>223369.99239999999</v>
      </c>
      <c r="R39" s="104">
        <v>309179</v>
      </c>
      <c r="S39" s="104">
        <f>+Q39</f>
        <v>223369.99239999999</v>
      </c>
      <c r="T39" s="104">
        <f t="shared" si="1"/>
        <v>-85809.007600000012</v>
      </c>
      <c r="V39" s="104">
        <f>+S39</f>
        <v>223369.99239999999</v>
      </c>
    </row>
    <row r="40" spans="1:23" x14ac:dyDescent="0.2">
      <c r="A40" s="33"/>
      <c r="B40" s="31">
        <v>13051</v>
      </c>
      <c r="C40" s="25" t="s">
        <v>62</v>
      </c>
      <c r="D40" s="41" t="s">
        <v>63</v>
      </c>
      <c r="E40" s="250">
        <f>'Resumen de Unidades'!E40*PVM!E40</f>
        <v>12849.995699999999</v>
      </c>
      <c r="F40" s="250">
        <f>'Resumen de Unidades'!F40*PVM!F40</f>
        <v>13397.3586</v>
      </c>
      <c r="G40" s="250">
        <f>'Resumen de Unidades'!G40*PVM!G40</f>
        <v>14483.3961</v>
      </c>
      <c r="H40" s="250">
        <f>'Resumen de Unidades'!H40*PVM!H40</f>
        <v>15569.4336</v>
      </c>
      <c r="I40" s="250">
        <f>'Resumen de Unidades'!I40*PVM!I40</f>
        <v>16290.5625</v>
      </c>
      <c r="J40" s="250">
        <f>'Resumen de Unidades'!J40*PVM!J40</f>
        <v>15934.342199999999</v>
      </c>
      <c r="K40" s="250">
        <f>'Resumen de Unidades'!K40*PVM!K40</f>
        <v>15751.8879</v>
      </c>
      <c r="L40" s="250">
        <f>'Resumen de Unidades'!L40*PVM!L40</f>
        <v>14483.3961</v>
      </c>
      <c r="M40" s="250">
        <f>'Resumen de Unidades'!M40*PVM!M40</f>
        <v>16290.5625</v>
      </c>
      <c r="N40" s="250">
        <f>'Resumen de Unidades'!N40*PVM!N40</f>
        <v>16655.471099999999</v>
      </c>
      <c r="O40" s="250">
        <f>'Resumen de Unidades'!O40*PVM!O40</f>
        <v>15204.525</v>
      </c>
      <c r="P40" s="250">
        <f>'Resumen de Unidades'!P40*PVM!P40</f>
        <v>14118.487499999999</v>
      </c>
      <c r="Q40" s="256">
        <f t="shared" si="0"/>
        <v>181029.41879999998</v>
      </c>
      <c r="R40" s="104">
        <v>130716</v>
      </c>
      <c r="S40" s="104">
        <f>+Q40</f>
        <v>181029.41879999998</v>
      </c>
      <c r="T40" s="104">
        <f t="shared" si="1"/>
        <v>50313.418799999985</v>
      </c>
      <c r="W40" s="104">
        <f>+S40</f>
        <v>181029.41879999998</v>
      </c>
    </row>
    <row r="41" spans="1:23" x14ac:dyDescent="0.2">
      <c r="A41" s="33"/>
      <c r="B41" s="31">
        <v>13069</v>
      </c>
      <c r="C41" s="26" t="s">
        <v>64</v>
      </c>
      <c r="D41" s="44" t="s">
        <v>65</v>
      </c>
      <c r="E41" s="250">
        <f>'Resumen de Unidades'!E41*PVM!E41</f>
        <v>21101.144400000001</v>
      </c>
      <c r="F41" s="250">
        <f>'Resumen de Unidades'!F41*PVM!F41</f>
        <v>25005.103200000001</v>
      </c>
      <c r="G41" s="250">
        <f>'Resumen de Unidades'!G41*PVM!G41</f>
        <v>25993.447200000002</v>
      </c>
      <c r="H41" s="250">
        <f>'Resumen de Unidades'!H41*PVM!H41</f>
        <v>27278.294399999999</v>
      </c>
      <c r="I41" s="250">
        <f>'Resumen de Unidades'!I41*PVM!I41</f>
        <v>29230.273799999999</v>
      </c>
      <c r="J41" s="250">
        <f>'Resumen de Unidades'!J41*PVM!J41</f>
        <v>28587.850200000001</v>
      </c>
      <c r="K41" s="250">
        <f>'Resumen de Unidades'!K41*PVM!K41</f>
        <v>27278.294399999999</v>
      </c>
      <c r="L41" s="250">
        <f>'Resumen de Unidades'!L41*PVM!L41</f>
        <v>26314.659</v>
      </c>
      <c r="M41" s="250">
        <f>'Resumen de Unidades'!M41*PVM!M41</f>
        <v>30539.829600000001</v>
      </c>
      <c r="N41" s="250">
        <f>'Resumen de Unidades'!N41*PVM!N41</f>
        <v>31182.253199999999</v>
      </c>
      <c r="O41" s="250">
        <f>'Resumen de Unidades'!O41*PVM!O41</f>
        <v>27920.718000000001</v>
      </c>
      <c r="P41" s="250">
        <f>'Resumen de Unidades'!P41*PVM!P41</f>
        <v>24362.679599999999</v>
      </c>
      <c r="Q41" s="256">
        <f t="shared" si="0"/>
        <v>324794.5469999999</v>
      </c>
      <c r="R41" s="104">
        <v>317608</v>
      </c>
      <c r="S41" s="104">
        <f>+Q41</f>
        <v>324794.5469999999</v>
      </c>
      <c r="T41" s="104">
        <f t="shared" si="1"/>
        <v>7186.5469999999041</v>
      </c>
      <c r="V41" s="104">
        <f>+S41</f>
        <v>324794.5469999999</v>
      </c>
    </row>
    <row r="42" spans="1:23" x14ac:dyDescent="0.2">
      <c r="A42" s="33"/>
      <c r="B42" s="31">
        <v>77777</v>
      </c>
      <c r="C42" s="4" t="s">
        <v>583</v>
      </c>
      <c r="D42" s="292" t="s">
        <v>578</v>
      </c>
      <c r="E42" s="250">
        <f>'Resumen de Unidades'!E42*PVM!E42</f>
        <v>0</v>
      </c>
      <c r="F42" s="250">
        <f>'Resumen de Unidades'!F42*PVM!F42</f>
        <v>0</v>
      </c>
      <c r="G42" s="250">
        <f>'Resumen de Unidades'!G42*PVM!G42</f>
        <v>0</v>
      </c>
      <c r="H42" s="250">
        <f>'Resumen de Unidades'!H42*PVM!H42</f>
        <v>0</v>
      </c>
      <c r="I42" s="250">
        <f>'Resumen de Unidades'!I42*PVM!I42</f>
        <v>0</v>
      </c>
      <c r="J42" s="250">
        <f>'Resumen de Unidades'!J42*PVM!J42</f>
        <v>0</v>
      </c>
      <c r="K42" s="250">
        <f>'Resumen de Unidades'!K42*PVM!K42</f>
        <v>1277.6399999999999</v>
      </c>
      <c r="L42" s="250">
        <f>'Resumen de Unidades'!L42*PVM!L42</f>
        <v>849.42</v>
      </c>
      <c r="M42" s="250">
        <f>'Resumen de Unidades'!M42*PVM!M42</f>
        <v>1488.24</v>
      </c>
      <c r="N42" s="250">
        <f>'Resumen de Unidades'!N42*PVM!N42</f>
        <v>1488.24</v>
      </c>
      <c r="O42" s="250">
        <f>'Resumen de Unidades'!O42*PVM!O42</f>
        <v>2127.06</v>
      </c>
      <c r="P42" s="250">
        <f>'Resumen de Unidades'!P42*PVM!P42</f>
        <v>1488.24</v>
      </c>
      <c r="Q42" s="256">
        <f t="shared" si="0"/>
        <v>8718.84</v>
      </c>
      <c r="R42" s="104"/>
      <c r="S42" s="104"/>
      <c r="T42" s="104">
        <f t="shared" si="1"/>
        <v>0</v>
      </c>
    </row>
    <row r="43" spans="1:23" x14ac:dyDescent="0.2">
      <c r="A43" s="33"/>
      <c r="B43" s="31">
        <v>88888</v>
      </c>
      <c r="C43" s="6"/>
      <c r="D43" s="292" t="s">
        <v>576</v>
      </c>
      <c r="E43" s="250">
        <f>'Resumen de Unidades'!E43*PVM!E43</f>
        <v>0</v>
      </c>
      <c r="F43" s="250">
        <f>'Resumen de Unidades'!F43*PVM!F43</f>
        <v>0</v>
      </c>
      <c r="G43" s="250">
        <f>'Resumen de Unidades'!G43*PVM!G43</f>
        <v>0</v>
      </c>
      <c r="H43" s="250">
        <f>'Resumen de Unidades'!H43*PVM!H43</f>
        <v>0</v>
      </c>
      <c r="I43" s="250">
        <f>'Resumen de Unidades'!I43*PVM!I43</f>
        <v>0</v>
      </c>
      <c r="J43" s="250">
        <f>'Resumen de Unidades'!J43*PVM!J43</f>
        <v>0</v>
      </c>
      <c r="K43" s="250">
        <f>'Resumen de Unidades'!K43*PVM!K43</f>
        <v>895.48</v>
      </c>
      <c r="L43" s="250">
        <f>'Resumen de Unidades'!L43*PVM!L43</f>
        <v>594.54</v>
      </c>
      <c r="M43" s="250">
        <f>'Resumen de Unidades'!M43*PVM!M43</f>
        <v>1042.28</v>
      </c>
      <c r="N43" s="250">
        <f>'Resumen de Unidades'!N43*PVM!N43</f>
        <v>1042.28</v>
      </c>
      <c r="O43" s="250">
        <f>'Resumen de Unidades'!O43*PVM!O43</f>
        <v>1490.02</v>
      </c>
      <c r="P43" s="250">
        <f>'Resumen de Unidades'!P43*PVM!P43</f>
        <v>1042.28</v>
      </c>
      <c r="Q43" s="256">
        <f t="shared" si="0"/>
        <v>6106.88</v>
      </c>
      <c r="R43" s="104"/>
      <c r="S43" s="104"/>
      <c r="T43" s="104">
        <f t="shared" si="1"/>
        <v>0</v>
      </c>
    </row>
    <row r="44" spans="1:23" x14ac:dyDescent="0.2">
      <c r="A44" s="33"/>
      <c r="B44" s="31">
        <v>99999</v>
      </c>
      <c r="C44" s="6"/>
      <c r="D44" s="292" t="s">
        <v>579</v>
      </c>
      <c r="E44" s="250">
        <f>'Resumen de Unidades'!E44*PVM!E44</f>
        <v>0</v>
      </c>
      <c r="F44" s="250">
        <f>'Resumen de Unidades'!F44*PVM!F44</f>
        <v>0</v>
      </c>
      <c r="G44" s="250">
        <f>'Resumen de Unidades'!G44*PVM!G44</f>
        <v>0</v>
      </c>
      <c r="H44" s="250">
        <f>'Resumen de Unidades'!H44*PVM!H44</f>
        <v>0</v>
      </c>
      <c r="I44" s="250">
        <f>'Resumen de Unidades'!I44*PVM!I44</f>
        <v>0</v>
      </c>
      <c r="J44" s="250">
        <f>'Resumen de Unidades'!J44*PVM!J44</f>
        <v>0</v>
      </c>
      <c r="K44" s="250">
        <f>'Resumen de Unidades'!K44*PVM!K44</f>
        <v>3276.1299999999997</v>
      </c>
      <c r="L44" s="250">
        <f>'Resumen de Unidades'!L44*PVM!L44</f>
        <v>2181.19</v>
      </c>
      <c r="M44" s="250">
        <f>'Resumen de Unidades'!M44*PVM!M44</f>
        <v>3823.6</v>
      </c>
      <c r="N44" s="250">
        <f>'Resumen de Unidades'!N44*PVM!N44</f>
        <v>3823.6</v>
      </c>
      <c r="O44" s="250">
        <f>'Resumen de Unidades'!O44*PVM!O44</f>
        <v>5457.32</v>
      </c>
      <c r="P44" s="250">
        <f>'Resumen de Unidades'!P44*PVM!P44</f>
        <v>3823.6</v>
      </c>
      <c r="Q44" s="256">
        <f t="shared" si="0"/>
        <v>22385.439999999999</v>
      </c>
      <c r="R44" s="104"/>
      <c r="S44" s="104"/>
      <c r="T44" s="104">
        <f t="shared" si="1"/>
        <v>0</v>
      </c>
    </row>
    <row r="45" spans="1:23" x14ac:dyDescent="0.2">
      <c r="A45" s="33"/>
      <c r="B45" s="31">
        <v>66666</v>
      </c>
      <c r="C45" s="6"/>
      <c r="D45" s="292" t="s">
        <v>577</v>
      </c>
      <c r="E45" s="250">
        <f>'Resumen de Unidades'!E45*PVM!E45</f>
        <v>0</v>
      </c>
      <c r="F45" s="250">
        <f>'Resumen de Unidades'!F45*PVM!F45</f>
        <v>0</v>
      </c>
      <c r="G45" s="250">
        <f>'Resumen de Unidades'!G45*PVM!G45</f>
        <v>0</v>
      </c>
      <c r="H45" s="250">
        <f>'Resumen de Unidades'!H45*PVM!H45</f>
        <v>0</v>
      </c>
      <c r="I45" s="250">
        <f>'Resumen de Unidades'!I45*PVM!I45</f>
        <v>0</v>
      </c>
      <c r="J45" s="250">
        <f>'Resumen de Unidades'!J45*PVM!J45</f>
        <v>0</v>
      </c>
      <c r="K45" s="250">
        <f>'Resumen de Unidades'!K45*PVM!K45</f>
        <v>3630.8599999999997</v>
      </c>
      <c r="L45" s="250">
        <f>'Resumen de Unidades'!L45*PVM!L45</f>
        <v>2427.2599999999998</v>
      </c>
      <c r="M45" s="250">
        <f>'Resumen de Unidades'!M45*PVM!M45</f>
        <v>4242.6899999999996</v>
      </c>
      <c r="N45" s="250">
        <f>'Resumen de Unidades'!N45*PVM!N45</f>
        <v>4242.6899999999996</v>
      </c>
      <c r="O45" s="250">
        <f>'Resumen de Unidades'!O45*PVM!O45</f>
        <v>6058.12</v>
      </c>
      <c r="P45" s="250">
        <f>'Resumen de Unidades'!P45*PVM!P45</f>
        <v>4242.6899999999996</v>
      </c>
      <c r="Q45" s="256">
        <f t="shared" si="0"/>
        <v>24844.309999999994</v>
      </c>
      <c r="R45" s="104"/>
      <c r="S45" s="104">
        <f>SUM(Q42:Q45)</f>
        <v>62055.47</v>
      </c>
      <c r="T45" s="104">
        <f t="shared" si="1"/>
        <v>62055.47</v>
      </c>
      <c r="V45" s="104">
        <f>+S45</f>
        <v>62055.47</v>
      </c>
    </row>
    <row r="46" spans="1:23" x14ac:dyDescent="0.2">
      <c r="A46" s="33"/>
      <c r="B46" s="260">
        <v>13160</v>
      </c>
      <c r="C46" s="4" t="s">
        <v>437</v>
      </c>
      <c r="D46" s="293" t="s">
        <v>580</v>
      </c>
      <c r="E46" s="250">
        <f>'Resumen de Unidades'!E46*PVM!E46</f>
        <v>0</v>
      </c>
      <c r="F46" s="250">
        <f>'Resumen de Unidades'!F46*PVM!F46</f>
        <v>0</v>
      </c>
      <c r="G46" s="250">
        <f>'Resumen de Unidades'!G46*PVM!G46</f>
        <v>0</v>
      </c>
      <c r="H46" s="250">
        <f>'Resumen de Unidades'!H46*PVM!H46</f>
        <v>0</v>
      </c>
      <c r="I46" s="250">
        <f>'Resumen de Unidades'!I46*PVM!I46</f>
        <v>0</v>
      </c>
      <c r="J46" s="250">
        <f>'Resumen de Unidades'!J46*PVM!J46</f>
        <v>0</v>
      </c>
      <c r="K46" s="250">
        <f>'Resumen de Unidades'!K46*PVM!K46</f>
        <v>8015.5</v>
      </c>
      <c r="L46" s="250">
        <f>'Resumen de Unidades'!L46*PVM!L46</f>
        <v>5280.8</v>
      </c>
      <c r="M46" s="250">
        <f>'Resumen de Unidades'!M46*PVM!M46</f>
        <v>5988.05</v>
      </c>
      <c r="N46" s="250">
        <f>'Resumen de Unidades'!N46*PVM!N46</f>
        <v>6601</v>
      </c>
      <c r="O46" s="250">
        <f>'Resumen de Unidades'!O46*PVM!O46</f>
        <v>7544</v>
      </c>
      <c r="P46" s="250">
        <f>'Resumen de Unidades'!P46*PVM!P46</f>
        <v>7072.5</v>
      </c>
      <c r="Q46" s="256">
        <f t="shared" si="0"/>
        <v>40501.85</v>
      </c>
      <c r="R46" s="104"/>
      <c r="S46" s="104"/>
      <c r="T46" s="104">
        <f t="shared" si="1"/>
        <v>0</v>
      </c>
    </row>
    <row r="47" spans="1:23" x14ac:dyDescent="0.2">
      <c r="A47" s="33"/>
      <c r="B47" s="260">
        <v>13161</v>
      </c>
      <c r="C47" s="6"/>
      <c r="D47" s="293" t="s">
        <v>581</v>
      </c>
      <c r="E47" s="250">
        <f>'Resumen de Unidades'!E47*PVM!E47</f>
        <v>0</v>
      </c>
      <c r="F47" s="250">
        <f>'Resumen de Unidades'!F47*PVM!F47</f>
        <v>0</v>
      </c>
      <c r="G47" s="250">
        <f>'Resumen de Unidades'!G47*PVM!G47</f>
        <v>0</v>
      </c>
      <c r="H47" s="250">
        <f>'Resumen de Unidades'!H47*PVM!H47</f>
        <v>0</v>
      </c>
      <c r="I47" s="250">
        <f>'Resumen de Unidades'!I47*PVM!I47</f>
        <v>0</v>
      </c>
      <c r="J47" s="250">
        <f>'Resumen de Unidades'!J47*PVM!J47</f>
        <v>0</v>
      </c>
      <c r="K47" s="250">
        <f>'Resumen de Unidades'!K47*PVM!K47</f>
        <v>4624</v>
      </c>
      <c r="L47" s="250">
        <f>'Resumen de Unidades'!L47*PVM!L47</f>
        <v>3046.4</v>
      </c>
      <c r="M47" s="250">
        <f>'Resumen de Unidades'!M47*PVM!M47</f>
        <v>3454.4</v>
      </c>
      <c r="N47" s="250">
        <f>'Resumen de Unidades'!N47*PVM!N47</f>
        <v>3808</v>
      </c>
      <c r="O47" s="250">
        <f>'Resumen de Unidades'!O47*PVM!O47</f>
        <v>4352</v>
      </c>
      <c r="P47" s="250">
        <f>'Resumen de Unidades'!P47*PVM!P47</f>
        <v>4080</v>
      </c>
      <c r="Q47" s="256">
        <f t="shared" si="0"/>
        <v>23364.799999999999</v>
      </c>
      <c r="R47" s="104"/>
      <c r="S47" s="104"/>
      <c r="T47" s="104">
        <f t="shared" si="1"/>
        <v>0</v>
      </c>
    </row>
    <row r="48" spans="1:23" ht="13.5" thickBot="1" x14ac:dyDescent="0.25">
      <c r="A48" s="33"/>
      <c r="B48" s="260">
        <v>13162</v>
      </c>
      <c r="C48" s="8"/>
      <c r="D48" s="293" t="s">
        <v>582</v>
      </c>
      <c r="E48" s="250">
        <f>'Resumen de Unidades'!E48*PVM!E48</f>
        <v>0</v>
      </c>
      <c r="F48" s="250">
        <f>'Resumen de Unidades'!F48*PVM!F48</f>
        <v>0</v>
      </c>
      <c r="G48" s="250">
        <f>'Resumen de Unidades'!G48*PVM!G48</f>
        <v>0</v>
      </c>
      <c r="H48" s="250">
        <f>'Resumen de Unidades'!H48*PVM!H48</f>
        <v>0</v>
      </c>
      <c r="I48" s="250">
        <f>'Resumen de Unidades'!I48*PVM!I48</f>
        <v>0</v>
      </c>
      <c r="J48" s="250">
        <f>'Resumen de Unidades'!J48*PVM!J48</f>
        <v>0</v>
      </c>
      <c r="K48" s="250">
        <f>'Resumen de Unidades'!K48*PVM!K48</f>
        <v>7950.9</v>
      </c>
      <c r="L48" s="250">
        <f>'Resumen de Unidades'!L48*PVM!L48</f>
        <v>5238.24</v>
      </c>
      <c r="M48" s="250">
        <f>'Resumen de Unidades'!M48*PVM!M48</f>
        <v>5939.79</v>
      </c>
      <c r="N48" s="250">
        <f>'Resumen de Unidades'!N48*PVM!N48</f>
        <v>6547.8</v>
      </c>
      <c r="O48" s="250">
        <f>'Resumen de Unidades'!O48*PVM!O48</f>
        <v>7483.2</v>
      </c>
      <c r="P48" s="250">
        <f>'Resumen de Unidades'!P48*PVM!P48</f>
        <v>7015.5</v>
      </c>
      <c r="Q48" s="256">
        <f t="shared" si="0"/>
        <v>40175.43</v>
      </c>
      <c r="R48" s="104">
        <v>71056</v>
      </c>
      <c r="S48" s="104">
        <f>SUM(Q46:Q48)</f>
        <v>104042.07999999999</v>
      </c>
      <c r="T48" s="104">
        <f t="shared" si="1"/>
        <v>32986.079999999987</v>
      </c>
      <c r="V48" s="104">
        <f>+S48</f>
        <v>104042.07999999999</v>
      </c>
    </row>
    <row r="49" spans="1:23" x14ac:dyDescent="0.2">
      <c r="A49" s="33"/>
      <c r="B49" s="3"/>
      <c r="C49" s="27"/>
      <c r="D49" s="55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104"/>
      <c r="S49" s="104"/>
      <c r="T49" s="104">
        <f t="shared" si="1"/>
        <v>0</v>
      </c>
    </row>
    <row r="50" spans="1:23" x14ac:dyDescent="0.2">
      <c r="A50" s="33"/>
      <c r="B50" s="3"/>
      <c r="C50" s="28"/>
      <c r="D50" s="56" t="s">
        <v>149</v>
      </c>
      <c r="E50" s="287">
        <f t="shared" ref="E50:Q50" si="2">SUM(E4:E48)</f>
        <v>539416.32210800005</v>
      </c>
      <c r="F50" s="287">
        <f t="shared" si="2"/>
        <v>622133.1746599999</v>
      </c>
      <c r="G50" s="287">
        <f t="shared" si="2"/>
        <v>651574.04939200007</v>
      </c>
      <c r="H50" s="287">
        <f t="shared" si="2"/>
        <v>687494.12887400005</v>
      </c>
      <c r="I50" s="287">
        <f t="shared" si="2"/>
        <v>733004.23267399997</v>
      </c>
      <c r="J50" s="287">
        <f t="shared" si="2"/>
        <v>745956.29825399991</v>
      </c>
      <c r="K50" s="287">
        <f t="shared" si="2"/>
        <v>722331.38945400005</v>
      </c>
      <c r="L50" s="287">
        <f t="shared" si="2"/>
        <v>683525.91921399999</v>
      </c>
      <c r="M50" s="287">
        <f t="shared" si="2"/>
        <v>798954.98760600004</v>
      </c>
      <c r="N50" s="287">
        <f t="shared" si="2"/>
        <v>814436.84204599995</v>
      </c>
      <c r="O50" s="287">
        <f t="shared" si="2"/>
        <v>744469.00960199989</v>
      </c>
      <c r="P50" s="287">
        <f t="shared" si="2"/>
        <v>658665.54338000016</v>
      </c>
      <c r="Q50" s="58">
        <f t="shared" si="2"/>
        <v>8401961.897264</v>
      </c>
      <c r="R50" s="104"/>
      <c r="S50" s="104"/>
      <c r="T50" s="104">
        <f t="shared" si="1"/>
        <v>0</v>
      </c>
    </row>
    <row r="51" spans="1:23" ht="13.5" thickBot="1" x14ac:dyDescent="0.25">
      <c r="A51" s="33"/>
      <c r="B51" s="3"/>
      <c r="C51" s="29"/>
      <c r="D51" s="57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104"/>
      <c r="S51" s="104"/>
      <c r="T51" s="104">
        <f t="shared" si="1"/>
        <v>0</v>
      </c>
    </row>
    <row r="52" spans="1:23" s="33" customFormat="1" x14ac:dyDescent="0.2">
      <c r="B52" s="35"/>
      <c r="C52" s="36"/>
      <c r="D52" s="45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104">
        <f t="shared" si="1"/>
        <v>0</v>
      </c>
    </row>
    <row r="53" spans="1:23" s="33" customFormat="1" x14ac:dyDescent="0.2">
      <c r="B53" s="35"/>
      <c r="C53" s="36"/>
      <c r="D53" s="45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104">
        <f t="shared" si="1"/>
        <v>0</v>
      </c>
    </row>
    <row r="54" spans="1:23" s="33" customFormat="1" x14ac:dyDescent="0.2">
      <c r="B54" s="35"/>
      <c r="C54" s="36"/>
      <c r="D54" s="45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104">
        <f t="shared" si="1"/>
        <v>0</v>
      </c>
    </row>
    <row r="55" spans="1:23" s="33" customFormat="1" x14ac:dyDescent="0.2">
      <c r="B55" s="35"/>
      <c r="C55" s="36"/>
      <c r="D55" s="45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104">
        <f t="shared" si="1"/>
        <v>0</v>
      </c>
    </row>
    <row r="56" spans="1:23" s="33" customFormat="1" x14ac:dyDescent="0.2">
      <c r="B56" s="35"/>
      <c r="C56" s="36"/>
      <c r="D56" s="45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104">
        <f t="shared" si="1"/>
        <v>0</v>
      </c>
    </row>
    <row r="57" spans="1:23" s="33" customFormat="1" x14ac:dyDescent="0.2">
      <c r="B57" s="35"/>
      <c r="C57" s="36"/>
      <c r="D57" s="45"/>
      <c r="E57" s="34" t="s">
        <v>680</v>
      </c>
      <c r="R57" s="37"/>
      <c r="S57" s="37"/>
      <c r="T57" s="104">
        <f t="shared" si="1"/>
        <v>0</v>
      </c>
    </row>
    <row r="58" spans="1:23" s="33" customFormat="1" x14ac:dyDescent="0.2">
      <c r="B58" s="35"/>
      <c r="C58" s="38"/>
      <c r="D58" s="46"/>
      <c r="E58" s="286">
        <v>1</v>
      </c>
      <c r="F58" s="286">
        <v>2</v>
      </c>
      <c r="G58" s="286">
        <v>3</v>
      </c>
      <c r="H58" s="286">
        <v>4</v>
      </c>
      <c r="I58" s="286">
        <v>5</v>
      </c>
      <c r="J58" s="286">
        <v>6</v>
      </c>
      <c r="K58" s="286">
        <v>7</v>
      </c>
      <c r="L58" s="286">
        <v>8</v>
      </c>
      <c r="M58" s="286">
        <v>9</v>
      </c>
      <c r="N58" s="286">
        <v>10</v>
      </c>
      <c r="O58" s="286">
        <v>11</v>
      </c>
      <c r="P58" s="286">
        <v>12</v>
      </c>
      <c r="Q58" s="286" t="s">
        <v>146</v>
      </c>
      <c r="R58" s="37"/>
      <c r="S58" s="37"/>
      <c r="T58" s="104">
        <f t="shared" si="1"/>
        <v>0</v>
      </c>
    </row>
    <row r="59" spans="1:23" x14ac:dyDescent="0.2">
      <c r="A59" s="33"/>
      <c r="B59" s="31">
        <v>13035</v>
      </c>
      <c r="C59" s="30" t="s">
        <v>67</v>
      </c>
      <c r="D59" s="47" t="s">
        <v>68</v>
      </c>
      <c r="E59" s="256">
        <f>'Resumen de Unidades'!E59*PVM!E59</f>
        <v>17032.243200000001</v>
      </c>
      <c r="F59" s="256">
        <f>'Resumen de Unidades'!F59*PVM!F59</f>
        <v>17753.366399999999</v>
      </c>
      <c r="G59" s="256">
        <f>'Resumen de Unidades'!G59*PVM!G59</f>
        <v>19190.707200000001</v>
      </c>
      <c r="H59" s="256">
        <f>'Resumen de Unidades'!H59*PVM!H59</f>
        <v>20628.047999999999</v>
      </c>
      <c r="I59" s="256">
        <f>'Resumen de Unidades'!I59*PVM!I59</f>
        <v>21589.545599999998</v>
      </c>
      <c r="J59" s="256">
        <f>'Resumen de Unidades'!J59*PVM!J59</f>
        <v>21108.7968</v>
      </c>
      <c r="K59" s="256">
        <f>'Resumen de Unidades'!K59*PVM!K59</f>
        <v>20868.422399999999</v>
      </c>
      <c r="L59" s="256">
        <f>'Resumen de Unidades'!L59*PVM!L59</f>
        <v>19190.707200000001</v>
      </c>
      <c r="M59" s="256">
        <f>'Resumen de Unidades'!M59*PVM!M59</f>
        <v>21589.545599999998</v>
      </c>
      <c r="N59" s="256">
        <f>'Resumen de Unidades'!N59*PVM!N59</f>
        <v>22070.294399999999</v>
      </c>
      <c r="O59" s="256">
        <f>'Resumen de Unidades'!O59*PVM!O59</f>
        <v>20152.2048</v>
      </c>
      <c r="P59" s="256">
        <f>'Resumen de Unidades'!P59*PVM!P59</f>
        <v>18709.9584</v>
      </c>
      <c r="Q59" s="256">
        <f>SUM(E59:P59)</f>
        <v>239883.84000000003</v>
      </c>
      <c r="R59" s="104">
        <v>255961</v>
      </c>
      <c r="S59" s="104">
        <f>+Q59</f>
        <v>239883.84000000003</v>
      </c>
      <c r="T59" s="104">
        <f t="shared" si="1"/>
        <v>-16077.159999999974</v>
      </c>
      <c r="W59" s="104">
        <f>+S59</f>
        <v>239883.84000000003</v>
      </c>
    </row>
    <row r="60" spans="1:23" x14ac:dyDescent="0.2">
      <c r="A60" s="33"/>
      <c r="B60" s="260">
        <v>13060</v>
      </c>
      <c r="C60" s="4" t="s">
        <v>69</v>
      </c>
      <c r="D60" s="49" t="s">
        <v>70</v>
      </c>
      <c r="E60" s="256">
        <f>'Resumen de Unidades'!E60*PVM!E60</f>
        <v>0</v>
      </c>
      <c r="F60" s="256">
        <f>'Resumen de Unidades'!F60*PVM!F60</f>
        <v>0</v>
      </c>
      <c r="G60" s="256">
        <f>'Resumen de Unidades'!G60*PVM!G60</f>
        <v>0</v>
      </c>
      <c r="H60" s="256">
        <f>'Resumen de Unidades'!H60*PVM!H60</f>
        <v>0</v>
      </c>
      <c r="I60" s="256">
        <f>'Resumen de Unidades'!I60*PVM!I60</f>
        <v>0</v>
      </c>
      <c r="J60" s="256">
        <f>'Resumen de Unidades'!J60*PVM!J60</f>
        <v>0</v>
      </c>
      <c r="K60" s="256">
        <f>'Resumen de Unidades'!K60*PVM!K60</f>
        <v>0</v>
      </c>
      <c r="L60" s="256">
        <f>'Resumen de Unidades'!L60*PVM!L60</f>
        <v>0</v>
      </c>
      <c r="M60" s="256">
        <f>'Resumen de Unidades'!M60*PVM!M60</f>
        <v>0</v>
      </c>
      <c r="N60" s="256">
        <f>'Resumen de Unidades'!N60*PVM!N60</f>
        <v>0</v>
      </c>
      <c r="O60" s="256">
        <f>'Resumen de Unidades'!O60*PVM!O60</f>
        <v>0</v>
      </c>
      <c r="P60" s="256">
        <f>'Resumen de Unidades'!P60*PVM!P60</f>
        <v>0</v>
      </c>
      <c r="Q60" s="256">
        <f t="shared" ref="Q60:Q95" si="3">SUM(E60:P60)</f>
        <v>0</v>
      </c>
      <c r="R60" s="104"/>
      <c r="S60" s="104"/>
      <c r="T60" s="104">
        <f t="shared" si="1"/>
        <v>0</v>
      </c>
    </row>
    <row r="61" spans="1:23" x14ac:dyDescent="0.2">
      <c r="A61" s="33"/>
      <c r="B61" s="260">
        <v>13061</v>
      </c>
      <c r="C61" s="6"/>
      <c r="D61" s="49" t="s">
        <v>71</v>
      </c>
      <c r="E61" s="256">
        <f>'Resumen de Unidades'!E61*PVM!E61</f>
        <v>0</v>
      </c>
      <c r="F61" s="256">
        <f>'Resumen de Unidades'!F61*PVM!F61</f>
        <v>0</v>
      </c>
      <c r="G61" s="256">
        <f>'Resumen de Unidades'!G61*PVM!G61</f>
        <v>0</v>
      </c>
      <c r="H61" s="256">
        <f>'Resumen de Unidades'!H61*PVM!H61</f>
        <v>0</v>
      </c>
      <c r="I61" s="256">
        <f>'Resumen de Unidades'!I61*PVM!I61</f>
        <v>0</v>
      </c>
      <c r="J61" s="256">
        <f>'Resumen de Unidades'!J61*PVM!J61</f>
        <v>0</v>
      </c>
      <c r="K61" s="256">
        <f>'Resumen de Unidades'!K61*PVM!K61</f>
        <v>0</v>
      </c>
      <c r="L61" s="256">
        <f>'Resumen de Unidades'!L61*PVM!L61</f>
        <v>0</v>
      </c>
      <c r="M61" s="256">
        <f>'Resumen de Unidades'!M61*PVM!M61</f>
        <v>0</v>
      </c>
      <c r="N61" s="256">
        <f>'Resumen de Unidades'!N61*PVM!N61</f>
        <v>0</v>
      </c>
      <c r="O61" s="256">
        <f>'Resumen de Unidades'!O61*PVM!O61</f>
        <v>0</v>
      </c>
      <c r="P61" s="256">
        <f>'Resumen de Unidades'!P61*PVM!P61</f>
        <v>0</v>
      </c>
      <c r="Q61" s="256">
        <f t="shared" si="3"/>
        <v>0</v>
      </c>
      <c r="R61" s="104"/>
      <c r="S61" s="104"/>
      <c r="T61" s="104">
        <f t="shared" si="1"/>
        <v>0</v>
      </c>
    </row>
    <row r="62" spans="1:23" x14ac:dyDescent="0.2">
      <c r="A62" s="33"/>
      <c r="B62" s="260">
        <v>13062</v>
      </c>
      <c r="C62" s="6"/>
      <c r="D62" s="49" t="s">
        <v>72</v>
      </c>
      <c r="E62" s="256">
        <f>'Resumen de Unidades'!E62*PVM!E62</f>
        <v>21085.542000000001</v>
      </c>
      <c r="F62" s="256">
        <f>'Resumen de Unidades'!F62*PVM!F62</f>
        <v>21976.65</v>
      </c>
      <c r="G62" s="256">
        <f>'Resumen de Unidades'!G62*PVM!G62</f>
        <v>23754.852000000003</v>
      </c>
      <c r="H62" s="256">
        <f>'Resumen de Unidades'!H62*PVM!H62</f>
        <v>25537.068000000003</v>
      </c>
      <c r="I62" s="256">
        <f>'Resumen de Unidades'!I62*PVM!I62</f>
        <v>26725.212000000003</v>
      </c>
      <c r="J62" s="256">
        <f>'Resumen de Unidades'!J62*PVM!J62</f>
        <v>26131.140000000003</v>
      </c>
      <c r="K62" s="256">
        <f>'Resumen de Unidades'!K62*PVM!K62</f>
        <v>25834.104000000003</v>
      </c>
      <c r="L62" s="256">
        <f>'Resumen de Unidades'!L62*PVM!L62</f>
        <v>23754.852000000003</v>
      </c>
      <c r="M62" s="256">
        <f>'Resumen de Unidades'!M62*PVM!M62</f>
        <v>26725.212000000003</v>
      </c>
      <c r="N62" s="256">
        <f>'Resumen de Unidades'!N62*PVM!N62</f>
        <v>27319.284000000003</v>
      </c>
      <c r="O62" s="256">
        <f>'Resumen de Unidades'!O62*PVM!O62</f>
        <v>24942.996000000003</v>
      </c>
      <c r="P62" s="256">
        <f>'Resumen de Unidades'!P62*PVM!P62</f>
        <v>23160.780000000002</v>
      </c>
      <c r="Q62" s="256">
        <f t="shared" si="3"/>
        <v>296947.69200000004</v>
      </c>
      <c r="R62" s="104"/>
      <c r="S62" s="104"/>
      <c r="T62" s="104">
        <f t="shared" si="1"/>
        <v>0</v>
      </c>
    </row>
    <row r="63" spans="1:23" x14ac:dyDescent="0.2">
      <c r="A63" s="33"/>
      <c r="B63" s="260">
        <v>13063</v>
      </c>
      <c r="C63" s="6"/>
      <c r="D63" s="49" t="s">
        <v>73</v>
      </c>
      <c r="E63" s="256">
        <f>'Resumen de Unidades'!E63*PVM!E63</f>
        <v>95072.471799999999</v>
      </c>
      <c r="F63" s="256">
        <f>'Resumen de Unidades'!F63*PVM!F63</f>
        <v>99097.835200000001</v>
      </c>
      <c r="G63" s="256">
        <f>'Resumen de Unidades'!G63*PVM!G63</f>
        <v>107129.1158</v>
      </c>
      <c r="H63" s="256">
        <f>'Resumen de Unidades'!H63*PVM!H63</f>
        <v>115160.39640000001</v>
      </c>
      <c r="I63" s="256">
        <f>'Resumen de Unidades'!I63*PVM!I63</f>
        <v>120527.54760000001</v>
      </c>
      <c r="J63" s="256">
        <f>'Resumen de Unidades'!J63*PVM!J63</f>
        <v>117843.97200000001</v>
      </c>
      <c r="K63" s="256">
        <f>'Resumen de Unidades'!K63*PVM!K63</f>
        <v>116502.1842</v>
      </c>
      <c r="L63" s="256">
        <f>'Resumen de Unidades'!L63*PVM!L63</f>
        <v>107129.1158</v>
      </c>
      <c r="M63" s="256">
        <f>'Resumen de Unidades'!M63*PVM!M63</f>
        <v>120527.54760000001</v>
      </c>
      <c r="N63" s="256">
        <f>'Resumen de Unidades'!N63*PVM!N63</f>
        <v>123191.67700000001</v>
      </c>
      <c r="O63" s="256">
        <f>'Resumen de Unidades'!O63*PVM!O63</f>
        <v>112496.26700000001</v>
      </c>
      <c r="P63" s="256">
        <f>'Resumen de Unidades'!P63*PVM!P63</f>
        <v>104445.5402</v>
      </c>
      <c r="Q63" s="256">
        <f t="shared" si="3"/>
        <v>1339123.6706000001</v>
      </c>
      <c r="R63" s="104"/>
      <c r="S63" s="104"/>
      <c r="T63" s="104">
        <f t="shared" si="1"/>
        <v>0</v>
      </c>
    </row>
    <row r="64" spans="1:23" x14ac:dyDescent="0.2">
      <c r="A64" s="33"/>
      <c r="B64" s="260">
        <v>13165</v>
      </c>
      <c r="C64" s="6"/>
      <c r="D64" s="49" t="s">
        <v>570</v>
      </c>
      <c r="E64" s="256">
        <f>'Resumen de Unidades'!E64*PVM!E64</f>
        <v>32412.960000000003</v>
      </c>
      <c r="F64" s="256">
        <f>'Resumen de Unidades'!F64*PVM!F64</f>
        <v>33786.720000000001</v>
      </c>
      <c r="G64" s="256">
        <f>'Resumen de Unidades'!G64*PVM!G64</f>
        <v>36521.279999999999</v>
      </c>
      <c r="H64" s="256">
        <f>'Resumen de Unidades'!H64*PVM!H64</f>
        <v>39255.840000000004</v>
      </c>
      <c r="I64" s="256">
        <f>'Resumen de Unidades'!I64*PVM!I64</f>
        <v>41083.200000000004</v>
      </c>
      <c r="J64" s="256">
        <f>'Resumen de Unidades'!J64*PVM!J64</f>
        <v>40176</v>
      </c>
      <c r="K64" s="256">
        <f>'Resumen de Unidades'!K64*PVM!K64</f>
        <v>39722.400000000001</v>
      </c>
      <c r="L64" s="256">
        <f>'Resumen de Unidades'!L64*PVM!L64</f>
        <v>36521.279999999999</v>
      </c>
      <c r="M64" s="256">
        <f>'Resumen de Unidades'!M64*PVM!M64</f>
        <v>41083.200000000004</v>
      </c>
      <c r="N64" s="256">
        <f>'Resumen de Unidades'!N64*PVM!N64</f>
        <v>42003.360000000001</v>
      </c>
      <c r="O64" s="256">
        <f>'Resumen de Unidades'!O64*PVM!O64</f>
        <v>38348.639999999999</v>
      </c>
      <c r="P64" s="256">
        <f>'Resumen de Unidades'!P64*PVM!P64</f>
        <v>35614.080000000002</v>
      </c>
      <c r="Q64" s="256">
        <f t="shared" si="3"/>
        <v>456528.96000000008</v>
      </c>
      <c r="R64" s="104"/>
      <c r="S64" s="104"/>
      <c r="T64" s="104">
        <f t="shared" si="1"/>
        <v>0</v>
      </c>
    </row>
    <row r="65" spans="1:23" x14ac:dyDescent="0.2">
      <c r="A65" s="33"/>
      <c r="B65" s="260">
        <v>13166</v>
      </c>
      <c r="C65" s="8"/>
      <c r="D65" s="49" t="s">
        <v>593</v>
      </c>
      <c r="E65" s="256">
        <f>'Resumen de Unidades'!E65*PVM!E65</f>
        <v>9900.75</v>
      </c>
      <c r="F65" s="256">
        <f>'Resumen de Unidades'!F65*PVM!F65</f>
        <v>10320</v>
      </c>
      <c r="G65" s="256">
        <f>'Resumen de Unidades'!G65*PVM!G65</f>
        <v>11156.35</v>
      </c>
      <c r="H65" s="256">
        <f>'Resumen de Unidades'!H65*PVM!H65</f>
        <v>11992.699999999999</v>
      </c>
      <c r="I65" s="256">
        <f>'Resumen de Unidades'!I65*PVM!I65</f>
        <v>12549.55</v>
      </c>
      <c r="J65" s="256">
        <f>'Resumen de Unidades'!J65*PVM!J65</f>
        <v>12272.199999999999</v>
      </c>
      <c r="K65" s="256">
        <f>'Resumen de Unidades'!K65*PVM!K65</f>
        <v>12132.449999999999</v>
      </c>
      <c r="L65" s="256">
        <f>'Resumen de Unidades'!L65*PVM!L65</f>
        <v>11156.35</v>
      </c>
      <c r="M65" s="256">
        <f>'Resumen de Unidades'!M65*PVM!M65</f>
        <v>12549.55</v>
      </c>
      <c r="N65" s="256">
        <f>'Resumen de Unidades'!N65*PVM!N65</f>
        <v>12829.05</v>
      </c>
      <c r="O65" s="256">
        <f>'Resumen de Unidades'!O65*PVM!O65</f>
        <v>11713.199999999999</v>
      </c>
      <c r="P65" s="256">
        <f>'Resumen de Unidades'!P65*PVM!P65</f>
        <v>10876.85</v>
      </c>
      <c r="Q65" s="256">
        <f t="shared" si="3"/>
        <v>139449</v>
      </c>
      <c r="R65" s="104">
        <v>1772600</v>
      </c>
      <c r="S65" s="104">
        <f>SUM(Q60:Q65)</f>
        <v>2232049.3226000001</v>
      </c>
      <c r="T65" s="104">
        <f t="shared" si="1"/>
        <v>459449.32260000007</v>
      </c>
      <c r="W65" s="104">
        <f>+S65</f>
        <v>2232049.3226000001</v>
      </c>
    </row>
    <row r="66" spans="1:23" x14ac:dyDescent="0.2">
      <c r="A66" s="33"/>
      <c r="B66" s="32">
        <v>13159</v>
      </c>
      <c r="C66" s="15" t="s">
        <v>75</v>
      </c>
      <c r="D66" s="48" t="s">
        <v>497</v>
      </c>
      <c r="E66" s="256">
        <f>'Resumen de Unidades'!E66*PVM!E66</f>
        <v>42135.792090000003</v>
      </c>
      <c r="F66" s="256">
        <f>'Resumen de Unidades'!F66*PVM!F66</f>
        <v>43915.511010000002</v>
      </c>
      <c r="G66" s="256">
        <f>'Resumen de Unidades'!G66*PVM!G66</f>
        <v>47474.948850000001</v>
      </c>
      <c r="H66" s="256">
        <f>'Resumen de Unidades'!H66*PVM!H66</f>
        <v>51034.386689999999</v>
      </c>
      <c r="I66" s="256">
        <f>'Resumen de Unidades'!I66*PVM!I66</f>
        <v>53410.500780000002</v>
      </c>
      <c r="J66" s="256">
        <f>'Resumen de Unidades'!J66*PVM!J66</f>
        <v>52217.710440000003</v>
      </c>
      <c r="K66" s="256">
        <f>'Resumen de Unidades'!K66*PVM!K66</f>
        <v>51630.781860000003</v>
      </c>
      <c r="L66" s="256">
        <f>'Resumen de Unidades'!L66*PVM!L66</f>
        <v>47474.948850000001</v>
      </c>
      <c r="M66" s="256">
        <f>'Resumen de Unidades'!M66*PVM!M66</f>
        <v>53410.500780000002</v>
      </c>
      <c r="N66" s="256">
        <f>'Resumen de Unidades'!N66*PVM!N66</f>
        <v>54593.824529999998</v>
      </c>
      <c r="O66" s="256">
        <f>'Resumen de Unidades'!O66*PVM!O66</f>
        <v>49851.062940000003</v>
      </c>
      <c r="P66" s="256">
        <f>'Resumen de Unidades'!P66*PVM!P66</f>
        <v>46282.158510000001</v>
      </c>
      <c r="Q66" s="256">
        <f t="shared" si="3"/>
        <v>593432.12732999993</v>
      </c>
      <c r="R66" s="104"/>
      <c r="S66" s="104"/>
      <c r="T66" s="104">
        <f t="shared" si="1"/>
        <v>0</v>
      </c>
    </row>
    <row r="67" spans="1:23" x14ac:dyDescent="0.2">
      <c r="A67" s="33"/>
      <c r="B67" s="32">
        <v>13121</v>
      </c>
      <c r="C67" s="19" t="s">
        <v>555</v>
      </c>
      <c r="D67" s="48" t="s">
        <v>76</v>
      </c>
      <c r="E67" s="256">
        <f>'Resumen de Unidades'!E67*PVM!E67</f>
        <v>81284.892000000007</v>
      </c>
      <c r="F67" s="256">
        <f>'Resumen de Unidades'!F67*PVM!F67</f>
        <v>84706.847999999998</v>
      </c>
      <c r="G67" s="256">
        <f>'Resumen de Unidades'!G67*PVM!G67</f>
        <v>91586.592000000004</v>
      </c>
      <c r="H67" s="256">
        <f>'Resumen de Unidades'!H67*PVM!H67</f>
        <v>98448.42</v>
      </c>
      <c r="I67" s="256">
        <f>'Resumen de Unidades'!I67*PVM!I67</f>
        <v>103034.916</v>
      </c>
      <c r="J67" s="256">
        <f>'Resumen de Unidades'!J67*PVM!J67</f>
        <v>100741.66800000001</v>
      </c>
      <c r="K67" s="256">
        <f>'Resumen de Unidades'!K67*PVM!K67</f>
        <v>99595.044000000009</v>
      </c>
      <c r="L67" s="256">
        <f>'Resumen de Unidades'!L67*PVM!L67</f>
        <v>91586.592000000004</v>
      </c>
      <c r="M67" s="256">
        <f>'Resumen de Unidades'!M67*PVM!M67</f>
        <v>103034.916</v>
      </c>
      <c r="N67" s="256">
        <f>'Resumen de Unidades'!N67*PVM!N67</f>
        <v>105310.24800000001</v>
      </c>
      <c r="O67" s="256">
        <f>'Resumen de Unidades'!O67*PVM!O67</f>
        <v>96155.172000000006</v>
      </c>
      <c r="P67" s="256">
        <f>'Resumen de Unidades'!P67*PVM!P67</f>
        <v>89293.343999999997</v>
      </c>
      <c r="Q67" s="256">
        <f t="shared" si="3"/>
        <v>1144778.6519999998</v>
      </c>
      <c r="R67" s="104"/>
      <c r="S67" s="104"/>
      <c r="T67" s="104">
        <f t="shared" si="1"/>
        <v>0</v>
      </c>
    </row>
    <row r="68" spans="1:23" x14ac:dyDescent="0.2">
      <c r="A68" s="33"/>
      <c r="B68" s="31">
        <v>13143</v>
      </c>
      <c r="C68" s="4" t="s">
        <v>77</v>
      </c>
      <c r="D68" s="48" t="s">
        <v>78</v>
      </c>
      <c r="E68" s="256">
        <f>'Resumen de Unidades'!E68*PVM!E68</f>
        <v>93562.084000000003</v>
      </c>
      <c r="F68" s="256">
        <f>'Resumen de Unidades'!F68*PVM!F68</f>
        <v>97515.862400000013</v>
      </c>
      <c r="G68" s="256">
        <f>'Resumen de Unidades'!G68*PVM!G68</f>
        <v>105423.4192</v>
      </c>
      <c r="H68" s="256">
        <f>'Resumen de Unidades'!H68*PVM!H68</f>
        <v>113322.97240000001</v>
      </c>
      <c r="I68" s="256">
        <f>'Resumen de Unidades'!I68*PVM!I68</f>
        <v>118597.34480000001</v>
      </c>
      <c r="J68" s="256">
        <f>'Resumen de Unidades'!J68*PVM!J68</f>
        <v>115964.16040000001</v>
      </c>
      <c r="K68" s="256">
        <f>'Resumen de Unidades'!K68*PVM!K68</f>
        <v>114643.56640000001</v>
      </c>
      <c r="L68" s="256">
        <f>'Resumen de Unidades'!L68*PVM!L68</f>
        <v>105423.4192</v>
      </c>
      <c r="M68" s="256">
        <f>'Resumen de Unidades'!M68*PVM!M68</f>
        <v>118597.34480000001</v>
      </c>
      <c r="N68" s="256">
        <f>'Resumen de Unidades'!N68*PVM!N68</f>
        <v>121230.5292</v>
      </c>
      <c r="O68" s="256">
        <f>'Resumen de Unidades'!O68*PVM!O68</f>
        <v>110689.788</v>
      </c>
      <c r="P68" s="256">
        <f>'Resumen de Unidades'!P68*PVM!P68</f>
        <v>102782.23120000001</v>
      </c>
      <c r="Q68" s="256">
        <f t="shared" si="3"/>
        <v>1317752.7220000001</v>
      </c>
      <c r="R68" s="104"/>
      <c r="S68" s="104"/>
      <c r="T68" s="104">
        <f t="shared" si="1"/>
        <v>0</v>
      </c>
    </row>
    <row r="69" spans="1:23" x14ac:dyDescent="0.2">
      <c r="A69" s="33"/>
      <c r="B69" s="31">
        <v>13144</v>
      </c>
      <c r="C69" s="8"/>
      <c r="D69" s="48" t="s">
        <v>79</v>
      </c>
      <c r="E69" s="256">
        <f>'Resumen de Unidades'!E69*PVM!E69</f>
        <v>28886.907999999999</v>
      </c>
      <c r="F69" s="256">
        <f>'Resumen de Unidades'!F69*PVM!F69</f>
        <v>30113.238999999998</v>
      </c>
      <c r="G69" s="256">
        <f>'Resumen de Unidades'!G69*PVM!G69</f>
        <v>32552.275099999999</v>
      </c>
      <c r="H69" s="256">
        <f>'Resumen de Unidades'!H69*PVM!H69</f>
        <v>34991.311199999996</v>
      </c>
      <c r="I69" s="256">
        <f>'Resumen de Unidades'!I69*PVM!I69</f>
        <v>36626.419199999997</v>
      </c>
      <c r="J69" s="256">
        <f>'Resumen de Unidades'!J69*PVM!J69</f>
        <v>35808.8652</v>
      </c>
      <c r="K69" s="256">
        <f>'Resumen de Unidades'!K69*PVM!K69</f>
        <v>35400.088199999998</v>
      </c>
      <c r="L69" s="256">
        <f>'Resumen de Unidades'!L69*PVM!L69</f>
        <v>32552.275099999999</v>
      </c>
      <c r="M69" s="256">
        <f>'Resumen de Unidades'!M69*PVM!M69</f>
        <v>36626.419199999997</v>
      </c>
      <c r="N69" s="256">
        <f>'Resumen de Unidades'!N69*PVM!N69</f>
        <v>37430.347300000001</v>
      </c>
      <c r="O69" s="256">
        <f>'Resumen de Unidades'!O69*PVM!O69</f>
        <v>34173.7572</v>
      </c>
      <c r="P69" s="256">
        <f>'Resumen de Unidades'!P69*PVM!P69</f>
        <v>31734.721099999999</v>
      </c>
      <c r="Q69" s="256">
        <f t="shared" si="3"/>
        <v>406896.62580000004</v>
      </c>
      <c r="R69" s="104">
        <v>3358817</v>
      </c>
      <c r="S69" s="104">
        <f>SUM(Q66:Q70)</f>
        <v>3462860.1271299999</v>
      </c>
      <c r="T69" s="104">
        <f t="shared" si="1"/>
        <v>104043.12712999992</v>
      </c>
      <c r="W69" s="104">
        <f>+S69</f>
        <v>3462860.1271299999</v>
      </c>
    </row>
    <row r="70" spans="1:23" x14ac:dyDescent="0.2">
      <c r="A70" s="33"/>
      <c r="B70" s="31">
        <v>13079</v>
      </c>
      <c r="C70" s="24" t="s">
        <v>554</v>
      </c>
      <c r="D70" s="48" t="s">
        <v>553</v>
      </c>
      <c r="E70" s="256">
        <f>'Resumen de Unidades'!E70*PVM!E70</f>
        <v>0</v>
      </c>
      <c r="F70" s="256">
        <f>'Resumen de Unidades'!F70*PVM!F70</f>
        <v>0</v>
      </c>
      <c r="G70" s="256">
        <f>'Resumen de Unidades'!G70*PVM!G70</f>
        <v>0</v>
      </c>
      <c r="H70" s="256">
        <f>'Resumen de Unidades'!H70*PVM!H70</f>
        <v>0</v>
      </c>
      <c r="I70" s="256">
        <f>'Resumen de Unidades'!I70*PVM!I70</f>
        <v>0</v>
      </c>
      <c r="J70" s="256">
        <f>'Resumen de Unidades'!J70*PVM!J70</f>
        <v>0</v>
      </c>
      <c r="K70" s="256">
        <f>'Resumen de Unidades'!K70*PVM!K70</f>
        <v>0</v>
      </c>
      <c r="L70" s="256">
        <f>'Resumen de Unidades'!L70*PVM!L70</f>
        <v>0</v>
      </c>
      <c r="M70" s="256">
        <f>'Resumen de Unidades'!M70*PVM!M70</f>
        <v>0</v>
      </c>
      <c r="N70" s="256">
        <f>'Resumen de Unidades'!N70*PVM!N70</f>
        <v>0</v>
      </c>
      <c r="O70" s="256">
        <f>'Resumen de Unidades'!O70*PVM!O70</f>
        <v>0</v>
      </c>
      <c r="P70" s="256">
        <f>'Resumen de Unidades'!P70*PVM!P70</f>
        <v>0</v>
      </c>
      <c r="Q70" s="256">
        <f t="shared" si="3"/>
        <v>0</v>
      </c>
      <c r="R70" s="104"/>
      <c r="S70" s="104"/>
      <c r="T70" s="104">
        <f t="shared" si="1"/>
        <v>0</v>
      </c>
    </row>
    <row r="71" spans="1:23" x14ac:dyDescent="0.2">
      <c r="A71" s="33"/>
      <c r="B71" s="260">
        <v>13038</v>
      </c>
      <c r="C71" s="9" t="s">
        <v>82</v>
      </c>
      <c r="D71" s="49" t="s">
        <v>83</v>
      </c>
      <c r="E71" s="256">
        <f>'Resumen de Unidades'!E71*PVM!E71</f>
        <v>46014.9378</v>
      </c>
      <c r="F71" s="256">
        <f>'Resumen de Unidades'!F71*PVM!F71</f>
        <v>47964.723299999998</v>
      </c>
      <c r="G71" s="256">
        <f>'Resumen de Unidades'!G71*PVM!G71</f>
        <v>51864.294300000001</v>
      </c>
      <c r="H71" s="256">
        <f>'Resumen de Unidades'!H71*PVM!H71</f>
        <v>55733.868600000002</v>
      </c>
      <c r="I71" s="256">
        <f>'Resumen de Unidades'!I71*PVM!I71</f>
        <v>58343.5815</v>
      </c>
      <c r="J71" s="256">
        <f>'Resumen de Unidades'!J71*PVM!J71</f>
        <v>57053.723400000003</v>
      </c>
      <c r="K71" s="256">
        <f>'Resumen de Unidades'!K71*PVM!K71</f>
        <v>47394.786</v>
      </c>
      <c r="L71" s="256">
        <f>'Resumen de Unidades'!L71*PVM!L71</f>
        <v>42865.284299999999</v>
      </c>
      <c r="M71" s="256">
        <f>'Resumen de Unidades'!M71*PVM!M71</f>
        <v>37345.891499999998</v>
      </c>
      <c r="N71" s="256">
        <f>'Resumen de Unidades'!N71*PVM!N71</f>
        <v>32636.409599999999</v>
      </c>
      <c r="O71" s="256">
        <f>'Resumen de Unidades'!O71*PVM!O71</f>
        <v>27446.980500000001</v>
      </c>
      <c r="P71" s="256">
        <f>'Resumen de Unidades'!P71*PVM!P71</f>
        <v>20547.7395</v>
      </c>
      <c r="Q71" s="256">
        <f t="shared" si="3"/>
        <v>525212.22030000004</v>
      </c>
      <c r="R71" s="104"/>
      <c r="S71" s="104"/>
      <c r="T71" s="104">
        <f t="shared" ref="T71:T95" si="4">+S71-R71</f>
        <v>0</v>
      </c>
    </row>
    <row r="72" spans="1:23" x14ac:dyDescent="0.2">
      <c r="A72" s="33"/>
      <c r="B72" s="260">
        <v>55555</v>
      </c>
      <c r="C72" s="22"/>
      <c r="D72" s="49" t="s">
        <v>584</v>
      </c>
      <c r="E72" s="256">
        <f>'Resumen de Unidades'!E72*PVM!E72</f>
        <v>0</v>
      </c>
      <c r="F72" s="256">
        <f>'Resumen de Unidades'!F72*PVM!F72</f>
        <v>0</v>
      </c>
      <c r="G72" s="256">
        <f>'Resumen de Unidades'!G72*PVM!G72</f>
        <v>0</v>
      </c>
      <c r="H72" s="256">
        <f>'Resumen de Unidades'!H72*PVM!H72</f>
        <v>0</v>
      </c>
      <c r="I72" s="256">
        <f>'Resumen de Unidades'!I72*PVM!I72</f>
        <v>0</v>
      </c>
      <c r="J72" s="256">
        <f>'Resumen de Unidades'!J72*PVM!J72</f>
        <v>18768</v>
      </c>
      <c r="K72" s="256">
        <f>'Resumen de Unidades'!K72*PVM!K72</f>
        <v>4692</v>
      </c>
      <c r="L72" s="256">
        <f>'Resumen de Unidades'!L72*PVM!L72</f>
        <v>4692</v>
      </c>
      <c r="M72" s="256">
        <f>'Resumen de Unidades'!M72*PVM!M72</f>
        <v>10948</v>
      </c>
      <c r="N72" s="256">
        <f>'Resumen de Unidades'!N72*PVM!N72</f>
        <v>14076</v>
      </c>
      <c r="O72" s="256">
        <f>'Resumen de Unidades'!O72*PVM!O72</f>
        <v>14076</v>
      </c>
      <c r="P72" s="256">
        <f>'Resumen de Unidades'!P72*PVM!P72</f>
        <v>15640</v>
      </c>
      <c r="Q72" s="256">
        <f t="shared" si="3"/>
        <v>82892</v>
      </c>
      <c r="R72" s="104">
        <v>619109</v>
      </c>
      <c r="S72" s="104">
        <f>SUM(Q71:Q72)</f>
        <v>608104.22030000004</v>
      </c>
      <c r="T72" s="104">
        <f t="shared" si="4"/>
        <v>-11004.779699999955</v>
      </c>
      <c r="W72" s="104">
        <f>+S72</f>
        <v>608104.22030000004</v>
      </c>
    </row>
    <row r="73" spans="1:23" x14ac:dyDescent="0.2">
      <c r="A73" s="33"/>
      <c r="B73" s="31">
        <v>13032</v>
      </c>
      <c r="C73" s="22" t="s">
        <v>84</v>
      </c>
      <c r="D73" s="48" t="s">
        <v>85</v>
      </c>
      <c r="E73" s="256">
        <f>'Resumen de Unidades'!E73*PVM!E73</f>
        <v>40214.469000000005</v>
      </c>
      <c r="F73" s="256">
        <f>'Resumen de Unidades'!F73*PVM!F73</f>
        <v>41920.160100000001</v>
      </c>
      <c r="G73" s="256">
        <f>'Resumen de Unidades'!G73*PVM!G73</f>
        <v>45319.092000000004</v>
      </c>
      <c r="H73" s="256">
        <f>'Resumen de Unidades'!H73*PVM!H73</f>
        <v>48718.0239</v>
      </c>
      <c r="I73" s="256">
        <f>'Resumen de Unidades'!I73*PVM!I73</f>
        <v>50983.978500000005</v>
      </c>
      <c r="J73" s="256">
        <f>'Resumen de Unidades'!J73*PVM!J73</f>
        <v>49851.001199999999</v>
      </c>
      <c r="K73" s="256">
        <f>'Resumen de Unidades'!K73*PVM!K73</f>
        <v>49278.287400000001</v>
      </c>
      <c r="L73" s="256">
        <f>'Resumen de Unidades'!L73*PVM!L73</f>
        <v>45319.092000000004</v>
      </c>
      <c r="M73" s="256">
        <f>'Resumen de Unidades'!M73*PVM!M73</f>
        <v>50983.978500000005</v>
      </c>
      <c r="N73" s="256">
        <f>'Resumen de Unidades'!N73*PVM!N73</f>
        <v>52116.955800000003</v>
      </c>
      <c r="O73" s="256">
        <f>'Resumen de Unidades'!O73*PVM!O73</f>
        <v>47585.046600000001</v>
      </c>
      <c r="P73" s="256">
        <f>'Resumen de Unidades'!P73*PVM!P73</f>
        <v>44186.114699999998</v>
      </c>
      <c r="Q73" s="256">
        <f t="shared" si="3"/>
        <v>566476.19970000011</v>
      </c>
      <c r="R73" s="104"/>
      <c r="S73" s="104"/>
      <c r="T73" s="104">
        <f t="shared" si="4"/>
        <v>0</v>
      </c>
    </row>
    <row r="74" spans="1:23" x14ac:dyDescent="0.2">
      <c r="A74" s="33"/>
      <c r="B74" s="31">
        <v>13037</v>
      </c>
      <c r="C74" s="22"/>
      <c r="D74" s="48" t="s">
        <v>86</v>
      </c>
      <c r="E74" s="256">
        <f>'Resumen de Unidades'!E74*PVM!E74</f>
        <v>27667.029600000002</v>
      </c>
      <c r="F74" s="256">
        <f>'Resumen de Unidades'!F74*PVM!F74</f>
        <v>28835.889300000003</v>
      </c>
      <c r="G74" s="256">
        <f>'Resumen de Unidades'!G74*PVM!G74</f>
        <v>31173.608700000001</v>
      </c>
      <c r="H74" s="256">
        <f>'Resumen de Unidades'!H74*PVM!H74</f>
        <v>33511.328099999999</v>
      </c>
      <c r="I74" s="256">
        <f>'Resumen de Unidades'!I74*PVM!I74</f>
        <v>35065.791000000005</v>
      </c>
      <c r="J74" s="256">
        <f>'Resumen de Unidades'!J74*PVM!J74</f>
        <v>34282.534500000002</v>
      </c>
      <c r="K74" s="256">
        <f>'Resumen de Unidades'!K74*PVM!K74</f>
        <v>33896.931300000004</v>
      </c>
      <c r="L74" s="256">
        <f>'Resumen de Unidades'!L74*PVM!L74</f>
        <v>31173.608700000001</v>
      </c>
      <c r="M74" s="256">
        <f>'Resumen de Unidades'!M74*PVM!M74</f>
        <v>35065.791000000005</v>
      </c>
      <c r="N74" s="256">
        <f>'Resumen de Unidades'!N74*PVM!N74</f>
        <v>35849.047500000001</v>
      </c>
      <c r="O74" s="256">
        <f>'Resumen de Unidades'!O74*PVM!O74</f>
        <v>32728.071600000003</v>
      </c>
      <c r="P74" s="256">
        <f>'Resumen de Unidades'!P74*PVM!P74</f>
        <v>30390.352200000001</v>
      </c>
      <c r="Q74" s="256">
        <f t="shared" si="3"/>
        <v>389639.98350000009</v>
      </c>
      <c r="R74" s="104">
        <v>929878</v>
      </c>
      <c r="S74" s="104">
        <f>SUM(Q73:Q74)</f>
        <v>956116.1832000002</v>
      </c>
      <c r="T74" s="104">
        <f t="shared" si="4"/>
        <v>26238.183200000203</v>
      </c>
      <c r="W74" s="104">
        <f>+S74</f>
        <v>956116.1832000002</v>
      </c>
    </row>
    <row r="75" spans="1:23" x14ac:dyDescent="0.2">
      <c r="A75" s="33"/>
      <c r="B75" s="32">
        <v>13154</v>
      </c>
      <c r="C75" s="253" t="s">
        <v>87</v>
      </c>
      <c r="D75" s="50" t="s">
        <v>123</v>
      </c>
      <c r="E75" s="256">
        <f>'Resumen de Unidades'!E75*PVM!E75</f>
        <v>6116.8091000000004</v>
      </c>
      <c r="F75" s="256">
        <f>'Resumen de Unidades'!F75*PVM!F75</f>
        <v>6373.9952999999996</v>
      </c>
      <c r="G75" s="256">
        <f>'Resumen de Unidades'!G75*PVM!G75</f>
        <v>6892.2062999999998</v>
      </c>
      <c r="H75" s="256">
        <f>'Resumen de Unidades'!H75*PVM!H75</f>
        <v>7408.4979999999996</v>
      </c>
      <c r="I75" s="256">
        <f>'Resumen de Unidades'!I75*PVM!I75</f>
        <v>7752.0527000000002</v>
      </c>
      <c r="J75" s="256">
        <f>'Resumen de Unidades'!J75*PVM!J75</f>
        <v>7581.2349999999997</v>
      </c>
      <c r="K75" s="256">
        <f>'Resumen de Unidades'!K75*PVM!K75</f>
        <v>7494.8665000000001</v>
      </c>
      <c r="L75" s="256">
        <f>'Resumen de Unidades'!L75*PVM!L75</f>
        <v>6892.2062999999998</v>
      </c>
      <c r="M75" s="256">
        <f>'Resumen de Unidades'!M75*PVM!M75</f>
        <v>7752.0527000000002</v>
      </c>
      <c r="N75" s="256">
        <f>'Resumen de Unidades'!N75*PVM!N75</f>
        <v>7924.7897000000003</v>
      </c>
      <c r="O75" s="256">
        <f>'Resumen de Unidades'!O75*PVM!O75</f>
        <v>7235.7610000000004</v>
      </c>
      <c r="P75" s="256">
        <f>'Resumen de Unidades'!P75*PVM!P75</f>
        <v>6719.4692999999997</v>
      </c>
      <c r="Q75" s="256">
        <f t="shared" si="3"/>
        <v>86143.941899999991</v>
      </c>
      <c r="R75" s="104"/>
      <c r="S75" s="104"/>
      <c r="T75" s="104">
        <f t="shared" si="4"/>
        <v>0</v>
      </c>
    </row>
    <row r="76" spans="1:23" x14ac:dyDescent="0.2">
      <c r="A76" s="33"/>
      <c r="B76" s="32">
        <v>13155</v>
      </c>
      <c r="C76" s="253"/>
      <c r="D76" s="50" t="s">
        <v>124</v>
      </c>
      <c r="E76" s="256">
        <f>'Resumen de Unidades'!E76*PVM!E76</f>
        <v>3674.4641999999999</v>
      </c>
      <c r="F76" s="256">
        <f>'Resumen de Unidades'!F76*PVM!F76</f>
        <v>3829.9337999999998</v>
      </c>
      <c r="G76" s="256">
        <f>'Resumen de Unidades'!G76*PVM!G76</f>
        <v>4139.3780999999999</v>
      </c>
      <c r="H76" s="256">
        <f>'Resumen de Unidades'!H76*PVM!H76</f>
        <v>4450.3172999999997</v>
      </c>
      <c r="I76" s="256">
        <f>'Resumen de Unidades'!I76*PVM!I76</f>
        <v>4656.6134999999995</v>
      </c>
      <c r="J76" s="256">
        <f>'Resumen de Unidades'!J76*PVM!J76</f>
        <v>4553.4654</v>
      </c>
      <c r="K76" s="256">
        <f>'Resumen de Unidades'!K76*PVM!K76</f>
        <v>4502.6387999999997</v>
      </c>
      <c r="L76" s="256">
        <f>'Resumen de Unidades'!L76*PVM!L76</f>
        <v>4139.3780999999999</v>
      </c>
      <c r="M76" s="256">
        <f>'Resumen de Unidades'!M76*PVM!M76</f>
        <v>4656.6134999999995</v>
      </c>
      <c r="N76" s="256">
        <f>'Resumen de Unidades'!N76*PVM!N76</f>
        <v>4761.2564999999995</v>
      </c>
      <c r="O76" s="256">
        <f>'Resumen de Unidades'!O76*PVM!O76</f>
        <v>4347.1691999999994</v>
      </c>
      <c r="P76" s="256">
        <f>'Resumen de Unidades'!P76*PVM!P76</f>
        <v>4036.2299999999996</v>
      </c>
      <c r="Q76" s="256">
        <f t="shared" si="3"/>
        <v>51747.458400000003</v>
      </c>
      <c r="R76" s="104"/>
      <c r="S76" s="104"/>
      <c r="T76" s="104">
        <f t="shared" si="4"/>
        <v>0</v>
      </c>
    </row>
    <row r="77" spans="1:23" x14ac:dyDescent="0.2">
      <c r="A77" s="33"/>
      <c r="B77" s="32">
        <v>13152</v>
      </c>
      <c r="C77" s="253"/>
      <c r="D77" s="50" t="s">
        <v>125</v>
      </c>
      <c r="E77" s="256">
        <f>'Resumen de Unidades'!E77*PVM!E77</f>
        <v>5577.3094999999994</v>
      </c>
      <c r="F77" s="256">
        <f>'Resumen de Unidades'!F77*PVM!F77</f>
        <v>5813.4571999999998</v>
      </c>
      <c r="G77" s="256">
        <f>'Resumen de Unidades'!G77*PVM!G77</f>
        <v>6285.7525999999998</v>
      </c>
      <c r="H77" s="256">
        <f>'Resumen de Unidades'!H77*PVM!H77</f>
        <v>6756.1280999999999</v>
      </c>
      <c r="I77" s="256">
        <f>'Resumen de Unidades'!I77*PVM!I77</f>
        <v>7070.9916999999996</v>
      </c>
      <c r="J77" s="256">
        <f>'Resumen de Unidades'!J77*PVM!J77</f>
        <v>6913.5599000000002</v>
      </c>
      <c r="K77" s="256">
        <f>'Resumen de Unidades'!K77*PVM!K77</f>
        <v>6834.8440000000001</v>
      </c>
      <c r="L77" s="256">
        <f>'Resumen de Unidades'!L77*PVM!L77</f>
        <v>6285.7525999999998</v>
      </c>
      <c r="M77" s="256">
        <f>'Resumen de Unidades'!M77*PVM!M77</f>
        <v>7070.9916999999996</v>
      </c>
      <c r="N77" s="256">
        <f>'Resumen de Unidades'!N77*PVM!N77</f>
        <v>7228.4234999999999</v>
      </c>
      <c r="O77" s="256">
        <f>'Resumen de Unidades'!O77*PVM!O77</f>
        <v>6598.6962999999996</v>
      </c>
      <c r="P77" s="256">
        <f>'Resumen de Unidades'!P77*PVM!P77</f>
        <v>6128.3207999999995</v>
      </c>
      <c r="Q77" s="256">
        <f t="shared" si="3"/>
        <v>78564.227899999998</v>
      </c>
      <c r="R77" s="104"/>
      <c r="S77" s="104"/>
      <c r="T77" s="104">
        <f t="shared" si="4"/>
        <v>0</v>
      </c>
    </row>
    <row r="78" spans="1:23" x14ac:dyDescent="0.2">
      <c r="A78" s="33"/>
      <c r="B78" s="32">
        <v>13153</v>
      </c>
      <c r="C78" s="253"/>
      <c r="D78" s="50" t="s">
        <v>126</v>
      </c>
      <c r="E78" s="256">
        <f>'Resumen de Unidades'!E78*PVM!E78</f>
        <v>2688.7356999999997</v>
      </c>
      <c r="F78" s="256">
        <f>'Resumen de Unidades'!F78*PVM!F78</f>
        <v>2801.5398</v>
      </c>
      <c r="G78" s="256">
        <f>'Resumen de Unidades'!G78*PVM!G78</f>
        <v>3028.5758999999998</v>
      </c>
      <c r="H78" s="256">
        <f>'Resumen de Unidades'!H78*PVM!H78</f>
        <v>3255.6120000000001</v>
      </c>
      <c r="I78" s="256">
        <f>'Resumen de Unidades'!I78*PVM!I78</f>
        <v>3406.9694</v>
      </c>
      <c r="J78" s="256">
        <f>'Resumen de Unidades'!J78*PVM!J78</f>
        <v>3331.2907</v>
      </c>
      <c r="K78" s="256">
        <f>'Resumen de Unidades'!K78*PVM!K78</f>
        <v>3294.1652999999997</v>
      </c>
      <c r="L78" s="256">
        <f>'Resumen de Unidades'!L78*PVM!L78</f>
        <v>3028.5758999999998</v>
      </c>
      <c r="M78" s="256">
        <f>'Resumen de Unidades'!M78*PVM!M78</f>
        <v>3406.9694</v>
      </c>
      <c r="N78" s="256">
        <f>'Resumen de Unidades'!N78*PVM!N78</f>
        <v>3482.6480999999999</v>
      </c>
      <c r="O78" s="256">
        <f>'Resumen de Unidades'!O78*PVM!O78</f>
        <v>3179.9332999999997</v>
      </c>
      <c r="P78" s="256">
        <f>'Resumen de Unidades'!P78*PVM!P78</f>
        <v>2952.8971999999999</v>
      </c>
      <c r="Q78" s="256">
        <f t="shared" si="3"/>
        <v>37857.912699999993</v>
      </c>
      <c r="R78" s="104"/>
      <c r="S78" s="104"/>
      <c r="T78" s="104">
        <f t="shared" si="4"/>
        <v>0</v>
      </c>
    </row>
    <row r="79" spans="1:23" x14ac:dyDescent="0.2">
      <c r="A79" s="33"/>
      <c r="B79" s="32">
        <v>13157</v>
      </c>
      <c r="C79" s="253"/>
      <c r="D79" s="50" t="s">
        <v>127</v>
      </c>
      <c r="E79" s="256">
        <f>'Resumen de Unidades'!E79*PVM!E79</f>
        <v>8502.4264000000003</v>
      </c>
      <c r="F79" s="256">
        <f>'Resumen de Unidades'!F79*PVM!F79</f>
        <v>8862.4639999999999</v>
      </c>
      <c r="G79" s="256">
        <f>'Resumen de Unidades'!G79*PVM!G79</f>
        <v>9580.4087999999992</v>
      </c>
      <c r="H79" s="256">
        <f>'Resumen de Unidades'!H79*PVM!H79</f>
        <v>10300.483999999999</v>
      </c>
      <c r="I79" s="256">
        <f>'Resumen de Unidades'!I79*PVM!I79</f>
        <v>10779.823999999999</v>
      </c>
      <c r="J79" s="256">
        <f>'Resumen de Unidades'!J79*PVM!J79</f>
        <v>10539.0888</v>
      </c>
      <c r="K79" s="256">
        <f>'Resumen de Unidades'!K79*PVM!K79</f>
        <v>10419.786399999999</v>
      </c>
      <c r="L79" s="256">
        <f>'Resumen de Unidades'!L79*PVM!L79</f>
        <v>9580.4087999999992</v>
      </c>
      <c r="M79" s="256">
        <f>'Resumen de Unidades'!M79*PVM!M79</f>
        <v>10779.823999999999</v>
      </c>
      <c r="N79" s="256">
        <f>'Resumen de Unidades'!N79*PVM!N79</f>
        <v>11018.4288</v>
      </c>
      <c r="O79" s="256">
        <f>'Resumen de Unidades'!O79*PVM!O79</f>
        <v>10059.748799999999</v>
      </c>
      <c r="P79" s="256">
        <f>'Resumen de Unidades'!P79*PVM!P79</f>
        <v>9341.8040000000001</v>
      </c>
      <c r="Q79" s="256">
        <f t="shared" si="3"/>
        <v>119764.69679999999</v>
      </c>
      <c r="R79" s="104"/>
      <c r="S79" s="104"/>
      <c r="T79" s="104">
        <f t="shared" si="4"/>
        <v>0</v>
      </c>
    </row>
    <row r="80" spans="1:23" x14ac:dyDescent="0.2">
      <c r="A80" s="33"/>
      <c r="B80" s="32">
        <v>13149</v>
      </c>
      <c r="C80" s="253"/>
      <c r="D80" s="50" t="s">
        <v>128</v>
      </c>
      <c r="E80" s="256">
        <f>'Resumen de Unidades'!E80*PVM!E80</f>
        <v>12491.331999999999</v>
      </c>
      <c r="F80" s="256">
        <f>'Resumen de Unidades'!F80*PVM!F80</f>
        <v>13019.168399999999</v>
      </c>
      <c r="G80" s="256">
        <f>'Resumen de Unidades'!G80*PVM!G80</f>
        <v>14074.841199999999</v>
      </c>
      <c r="H80" s="256">
        <f>'Resumen de Unidades'!H80*PVM!H80</f>
        <v>15130.513999999999</v>
      </c>
      <c r="I80" s="256">
        <f>'Resumen de Unidades'!I80*PVM!I80</f>
        <v>15835.091999999999</v>
      </c>
      <c r="J80" s="256">
        <f>'Resumen de Unidades'!J80*PVM!J80</f>
        <v>15483.9972</v>
      </c>
      <c r="K80" s="256">
        <f>'Resumen de Unidades'!K80*PVM!K80</f>
        <v>15307.255599999999</v>
      </c>
      <c r="L80" s="256">
        <f>'Resumen de Unidades'!L80*PVM!L80</f>
        <v>14074.841199999999</v>
      </c>
      <c r="M80" s="256">
        <f>'Resumen de Unidades'!M80*PVM!M80</f>
        <v>15835.091999999999</v>
      </c>
      <c r="N80" s="256">
        <f>'Resumen de Unidades'!N80*PVM!N80</f>
        <v>16186.186799999999</v>
      </c>
      <c r="O80" s="256">
        <f>'Resumen de Unidades'!O80*PVM!O80</f>
        <v>14779.419199999998</v>
      </c>
      <c r="P80" s="256">
        <f>'Resumen de Unidades'!P80*PVM!P80</f>
        <v>13723.7464</v>
      </c>
      <c r="Q80" s="256">
        <f t="shared" si="3"/>
        <v>175941.486</v>
      </c>
      <c r="R80" s="104"/>
      <c r="S80" s="104"/>
      <c r="T80" s="104">
        <f t="shared" si="4"/>
        <v>0</v>
      </c>
    </row>
    <row r="81" spans="1:23" x14ac:dyDescent="0.2">
      <c r="A81" s="33"/>
      <c r="B81" s="32">
        <v>13150</v>
      </c>
      <c r="C81" s="253"/>
      <c r="D81" s="50" t="s">
        <v>129</v>
      </c>
      <c r="E81" s="256">
        <f>'Resumen de Unidades'!E81*PVM!E81</f>
        <v>8427.0591999999997</v>
      </c>
      <c r="F81" s="256">
        <f>'Resumen de Unidades'!F81*PVM!F81</f>
        <v>8783.3087999999989</v>
      </c>
      <c r="G81" s="256">
        <f>'Resumen de Unidades'!G81*PVM!G81</f>
        <v>9495.8079999999991</v>
      </c>
      <c r="H81" s="256">
        <f>'Resumen de Unidades'!H81*PVM!H81</f>
        <v>10208.307199999999</v>
      </c>
      <c r="I81" s="256">
        <f>'Resumen de Unidades'!I81*PVM!I81</f>
        <v>10682.4704</v>
      </c>
      <c r="J81" s="256">
        <f>'Resumen de Unidades'!J81*PVM!J81</f>
        <v>10446.6432</v>
      </c>
      <c r="K81" s="256">
        <f>'Resumen de Unidades'!K81*PVM!K81</f>
        <v>10326.220799999999</v>
      </c>
      <c r="L81" s="256">
        <f>'Resumen de Unidades'!L81*PVM!L81</f>
        <v>9495.8079999999991</v>
      </c>
      <c r="M81" s="256">
        <f>'Resumen de Unidades'!M81*PVM!M81</f>
        <v>10682.4704</v>
      </c>
      <c r="N81" s="256">
        <f>'Resumen de Unidades'!N81*PVM!N81</f>
        <v>10920.806399999999</v>
      </c>
      <c r="O81" s="256">
        <f>'Resumen de Unidades'!O81*PVM!O81</f>
        <v>9969.9712</v>
      </c>
      <c r="P81" s="256">
        <f>'Resumen de Unidades'!P81*PVM!P81</f>
        <v>9257.4719999999998</v>
      </c>
      <c r="Q81" s="256">
        <f t="shared" si="3"/>
        <v>118696.3456</v>
      </c>
      <c r="R81" s="104"/>
      <c r="S81" s="104"/>
      <c r="T81" s="104">
        <f t="shared" si="4"/>
        <v>0</v>
      </c>
    </row>
    <row r="82" spans="1:23" x14ac:dyDescent="0.2">
      <c r="A82" s="33"/>
      <c r="B82" s="32">
        <v>13108</v>
      </c>
      <c r="C82" s="253"/>
      <c r="D82" s="50" t="s">
        <v>130</v>
      </c>
      <c r="E82" s="256">
        <f>'Resumen de Unidades'!E82*PVM!E82</f>
        <v>2574.6336000000001</v>
      </c>
      <c r="F82" s="256">
        <f>'Resumen de Unidades'!F82*PVM!F82</f>
        <v>2683.6127999999999</v>
      </c>
      <c r="G82" s="256">
        <f>'Resumen de Unidades'!G82*PVM!G82</f>
        <v>2901.5712000000003</v>
      </c>
      <c r="H82" s="256">
        <f>'Resumen de Unidades'!H82*PVM!H82</f>
        <v>3119.5296000000003</v>
      </c>
      <c r="I82" s="256">
        <f>'Resumen de Unidades'!I82*PVM!I82</f>
        <v>3264.8352</v>
      </c>
      <c r="J82" s="256">
        <f>'Resumen de Unidades'!J82*PVM!J82</f>
        <v>3192.1824000000001</v>
      </c>
      <c r="K82" s="256">
        <f>'Resumen de Unidades'!K82*PVM!K82</f>
        <v>3155.8560000000002</v>
      </c>
      <c r="L82" s="256">
        <f>'Resumen de Unidades'!L82*PVM!L82</f>
        <v>2901.5712000000003</v>
      </c>
      <c r="M82" s="256">
        <f>'Resumen de Unidades'!M82*PVM!M82</f>
        <v>3264.8352</v>
      </c>
      <c r="N82" s="256">
        <f>'Resumen de Unidades'!N82*PVM!N82</f>
        <v>3337.4880000000003</v>
      </c>
      <c r="O82" s="256">
        <f>'Resumen de Unidades'!O82*PVM!O82</f>
        <v>3046.8768</v>
      </c>
      <c r="P82" s="256">
        <f>'Resumen de Unidades'!P82*PVM!P82</f>
        <v>2828.9184</v>
      </c>
      <c r="Q82" s="256">
        <f t="shared" si="3"/>
        <v>36271.910400000008</v>
      </c>
      <c r="R82" s="104"/>
      <c r="S82" s="104"/>
      <c r="T82" s="104">
        <f t="shared" si="4"/>
        <v>0</v>
      </c>
    </row>
    <row r="83" spans="1:23" x14ac:dyDescent="0.2">
      <c r="A83" s="33"/>
      <c r="B83" s="32">
        <v>13151</v>
      </c>
      <c r="C83" s="253"/>
      <c r="D83" s="50" t="s">
        <v>131</v>
      </c>
      <c r="E83" s="256">
        <f>'Resumen de Unidades'!E83*PVM!E83</f>
        <v>2330.5724999999998</v>
      </c>
      <c r="F83" s="256">
        <f>'Resumen de Unidades'!F83*PVM!F83</f>
        <v>2428.7374999999997</v>
      </c>
      <c r="G83" s="256">
        <f>'Resumen de Unidades'!G83*PVM!G83</f>
        <v>2625.0674999999997</v>
      </c>
      <c r="H83" s="256">
        <f>'Resumen de Unidades'!H83*PVM!H83</f>
        <v>2821.3975</v>
      </c>
      <c r="I83" s="256">
        <f>'Resumen de Unidades'!I83*PVM!I83</f>
        <v>2953.4124999999999</v>
      </c>
      <c r="J83" s="256">
        <f>'Resumen de Unidades'!J83*PVM!J83</f>
        <v>2887.4049999999997</v>
      </c>
      <c r="K83" s="256">
        <f>'Resumen de Unidades'!K83*PVM!K83</f>
        <v>2855.2474999999999</v>
      </c>
      <c r="L83" s="256">
        <f>'Resumen de Unidades'!L83*PVM!L83</f>
        <v>2625.0674999999997</v>
      </c>
      <c r="M83" s="256">
        <f>'Resumen de Unidades'!M83*PVM!M83</f>
        <v>2953.4124999999999</v>
      </c>
      <c r="N83" s="256">
        <f>'Resumen de Unidades'!N83*PVM!N83</f>
        <v>3019.4199999999996</v>
      </c>
      <c r="O83" s="256">
        <f>'Resumen de Unidades'!O83*PVM!O83</f>
        <v>2757.0825</v>
      </c>
      <c r="P83" s="256">
        <f>'Resumen de Unidades'!P83*PVM!P83</f>
        <v>2559.06</v>
      </c>
      <c r="Q83" s="256">
        <f t="shared" si="3"/>
        <v>32815.8825</v>
      </c>
      <c r="R83" s="104"/>
      <c r="S83" s="104"/>
      <c r="T83" s="104">
        <f t="shared" si="4"/>
        <v>0</v>
      </c>
    </row>
    <row r="84" spans="1:23" x14ac:dyDescent="0.2">
      <c r="A84" s="33"/>
      <c r="B84" s="31">
        <v>13093</v>
      </c>
      <c r="C84" s="10"/>
      <c r="D84" s="49" t="s">
        <v>97</v>
      </c>
      <c r="E84" s="256">
        <f>'Resumen de Unidades'!E84*PVM!E84</f>
        <v>13012.3128</v>
      </c>
      <c r="F84" s="256">
        <f>'Resumen de Unidades'!F84*PVM!F84</f>
        <v>13564.626700000001</v>
      </c>
      <c r="G84" s="256">
        <f>'Resumen de Unidades'!G84*PVM!G84</f>
        <v>14664.187400000001</v>
      </c>
      <c r="H84" s="256">
        <f>'Resumen de Unidades'!H84*PVM!H84</f>
        <v>15763.748100000001</v>
      </c>
      <c r="I84" s="256">
        <f>'Resumen de Unidades'!I84*PVM!I84</f>
        <v>16493.410499999998</v>
      </c>
      <c r="J84" s="256">
        <f>'Resumen de Unidades'!J84*PVM!J84</f>
        <v>16128.579299999999</v>
      </c>
      <c r="K84" s="256">
        <f>'Resumen de Unidades'!K84*PVM!K84</f>
        <v>15946.163699999999</v>
      </c>
      <c r="L84" s="256">
        <f>'Resumen de Unidades'!L84*PVM!L84</f>
        <v>14664.187400000001</v>
      </c>
      <c r="M84" s="256">
        <f>'Resumen de Unidades'!M84*PVM!M84</f>
        <v>16493.410499999998</v>
      </c>
      <c r="N84" s="256">
        <f>'Resumen de Unidades'!N84*PVM!N84</f>
        <v>16863.308799999999</v>
      </c>
      <c r="O84" s="256">
        <f>'Resumen de Unidades'!O84*PVM!O84</f>
        <v>15393.8498</v>
      </c>
      <c r="P84" s="256">
        <f>'Resumen de Unidades'!P84*PVM!P84</f>
        <v>14294.2891</v>
      </c>
      <c r="Q84" s="256">
        <f t="shared" si="3"/>
        <v>183282.0741</v>
      </c>
      <c r="R84" s="104"/>
      <c r="S84" s="104"/>
      <c r="T84" s="104">
        <f t="shared" si="4"/>
        <v>0</v>
      </c>
    </row>
    <row r="85" spans="1:23" x14ac:dyDescent="0.2">
      <c r="A85" s="33"/>
      <c r="B85" s="31">
        <v>13091</v>
      </c>
      <c r="C85" s="10"/>
      <c r="D85" s="49" t="s">
        <v>98</v>
      </c>
      <c r="E85" s="256">
        <f>'Resumen de Unidades'!E85*PVM!E85</f>
        <v>16350.651400000001</v>
      </c>
      <c r="F85" s="256">
        <f>'Resumen de Unidades'!F85*PVM!F85</f>
        <v>17040.136699999999</v>
      </c>
      <c r="G85" s="256">
        <f>'Resumen de Unidades'!G85*PVM!G85</f>
        <v>18424.291399999998</v>
      </c>
      <c r="H85" s="256">
        <f>'Resumen de Unidades'!H85*PVM!H85</f>
        <v>19803.261999999999</v>
      </c>
      <c r="I85" s="256">
        <f>'Resumen de Unidades'!I85*PVM!I85</f>
        <v>20726.031800000001</v>
      </c>
      <c r="J85" s="256">
        <f>'Resumen de Unidades'!J85*PVM!J85</f>
        <v>20264.6469</v>
      </c>
      <c r="K85" s="256">
        <f>'Resumen de Unidades'!K85*PVM!K85</f>
        <v>20036.5465</v>
      </c>
      <c r="L85" s="256">
        <f>'Resumen de Unidades'!L85*PVM!L85</f>
        <v>18424.291399999998</v>
      </c>
      <c r="M85" s="256">
        <f>'Resumen de Unidades'!M85*PVM!M85</f>
        <v>20726.031800000001</v>
      </c>
      <c r="N85" s="256">
        <f>'Resumen de Unidades'!N85*PVM!N85</f>
        <v>21187.416699999998</v>
      </c>
      <c r="O85" s="256">
        <f>'Resumen de Unidades'!O85*PVM!O85</f>
        <v>19341.877100000002</v>
      </c>
      <c r="P85" s="256">
        <f>'Resumen de Unidades'!P85*PVM!P85</f>
        <v>17962.906500000001</v>
      </c>
      <c r="Q85" s="256">
        <f t="shared" si="3"/>
        <v>230288.09020000001</v>
      </c>
      <c r="R85" s="104"/>
      <c r="S85" s="104"/>
      <c r="T85" s="104">
        <f t="shared" si="4"/>
        <v>0</v>
      </c>
    </row>
    <row r="86" spans="1:23" x14ac:dyDescent="0.2">
      <c r="A86" s="33"/>
      <c r="B86" s="31">
        <v>13089</v>
      </c>
      <c r="C86" s="22"/>
      <c r="D86" s="49" t="s">
        <v>99</v>
      </c>
      <c r="E86" s="256">
        <f>'Resumen de Unidades'!E86*PVM!E86</f>
        <v>14551.439</v>
      </c>
      <c r="F86" s="256">
        <f>'Resumen de Unidades'!F86*PVM!F86</f>
        <v>15170.756299999999</v>
      </c>
      <c r="G86" s="256">
        <f>'Resumen de Unidades'!G86*PVM!G86</f>
        <v>16399.3207</v>
      </c>
      <c r="H86" s="256">
        <f>'Resumen de Unidades'!H86*PVM!H86</f>
        <v>17627.8851</v>
      </c>
      <c r="I86" s="256">
        <f>'Resumen de Unidades'!I86*PVM!I86</f>
        <v>18448.606400000001</v>
      </c>
      <c r="J86" s="256">
        <f>'Resumen de Unidades'!J86*PVM!J86</f>
        <v>18035.728200000001</v>
      </c>
      <c r="K86" s="256">
        <f>'Resumen de Unidades'!K86*PVM!K86</f>
        <v>17834.324199999999</v>
      </c>
      <c r="L86" s="256">
        <f>'Resumen de Unidades'!L86*PVM!L86</f>
        <v>16399.3207</v>
      </c>
      <c r="M86" s="256">
        <f>'Resumen de Unidades'!M86*PVM!M86</f>
        <v>18448.606400000001</v>
      </c>
      <c r="N86" s="256">
        <f>'Resumen de Unidades'!N86*PVM!N86</f>
        <v>18856.449499999999</v>
      </c>
      <c r="O86" s="256">
        <f>'Resumen de Unidades'!O86*PVM!O86</f>
        <v>17220.042000000001</v>
      </c>
      <c r="P86" s="256">
        <f>'Resumen de Unidades'!P86*PVM!P86</f>
        <v>15986.442499999999</v>
      </c>
      <c r="Q86" s="256">
        <f t="shared" si="3"/>
        <v>204978.92099999997</v>
      </c>
      <c r="R86" s="104">
        <v>2128528</v>
      </c>
      <c r="S86" s="104">
        <f>SUM(Q75:Q86)</f>
        <v>1356352.9474999998</v>
      </c>
      <c r="T86" s="104">
        <f t="shared" si="4"/>
        <v>-772175.05250000022</v>
      </c>
      <c r="W86" s="104">
        <f>+S86</f>
        <v>1356352.9474999998</v>
      </c>
    </row>
    <row r="87" spans="1:23" x14ac:dyDescent="0.2">
      <c r="A87" s="33"/>
      <c r="B87" s="31">
        <v>19999</v>
      </c>
      <c r="C87" s="20" t="s">
        <v>102</v>
      </c>
      <c r="D87" s="294" t="s">
        <v>588</v>
      </c>
      <c r="E87" s="256">
        <f>'Resumen de Unidades'!E87*PVM!E87</f>
        <v>0</v>
      </c>
      <c r="F87" s="256">
        <f>'Resumen de Unidades'!F87*PVM!F87</f>
        <v>0</v>
      </c>
      <c r="G87" s="256">
        <f>'Resumen de Unidades'!G87*PVM!G87</f>
        <v>0</v>
      </c>
      <c r="H87" s="256">
        <f>'Resumen de Unidades'!H87*PVM!H87</f>
        <v>0</v>
      </c>
      <c r="I87" s="256">
        <f>'Resumen de Unidades'!I87*PVM!I87</f>
        <v>0</v>
      </c>
      <c r="J87" s="256">
        <f>'Resumen de Unidades'!J87*PVM!J87</f>
        <v>0</v>
      </c>
      <c r="K87" s="256">
        <f>'Resumen de Unidades'!K87*PVM!K87</f>
        <v>0</v>
      </c>
      <c r="L87" s="256">
        <f>'Resumen de Unidades'!L87*PVM!L87</f>
        <v>0</v>
      </c>
      <c r="M87" s="256">
        <f>'Resumen de Unidades'!M87*PVM!M87</f>
        <v>0</v>
      </c>
      <c r="N87" s="256">
        <f>'Resumen de Unidades'!N87*PVM!N87</f>
        <v>0</v>
      </c>
      <c r="O87" s="256">
        <f>'Resumen de Unidades'!O87*PVM!O87</f>
        <v>0</v>
      </c>
      <c r="P87" s="256">
        <f>'Resumen de Unidades'!P87*PVM!P87</f>
        <v>0</v>
      </c>
      <c r="Q87" s="256">
        <f t="shared" si="3"/>
        <v>0</v>
      </c>
      <c r="R87" s="104"/>
      <c r="S87" s="104"/>
      <c r="T87" s="104">
        <f t="shared" si="4"/>
        <v>0</v>
      </c>
      <c r="U87" s="104"/>
    </row>
    <row r="88" spans="1:23" x14ac:dyDescent="0.2">
      <c r="A88" s="33"/>
      <c r="B88" s="31">
        <v>29999</v>
      </c>
      <c r="C88" s="20"/>
      <c r="D88" s="294" t="s">
        <v>589</v>
      </c>
      <c r="E88" s="256">
        <f>'Resumen de Unidades'!E88*PVM!E88</f>
        <v>0</v>
      </c>
      <c r="F88" s="256">
        <f>'Resumen de Unidades'!F88*PVM!F88</f>
        <v>0</v>
      </c>
      <c r="G88" s="256">
        <f>'Resumen de Unidades'!G88*PVM!G88</f>
        <v>0</v>
      </c>
      <c r="H88" s="256">
        <f>'Resumen de Unidades'!H88*PVM!H88</f>
        <v>0</v>
      </c>
      <c r="I88" s="256">
        <f>'Resumen de Unidades'!I88*PVM!I88</f>
        <v>0</v>
      </c>
      <c r="J88" s="256">
        <f>'Resumen de Unidades'!J88*PVM!J88</f>
        <v>0</v>
      </c>
      <c r="K88" s="256">
        <f>'Resumen de Unidades'!K88*PVM!K88</f>
        <v>0</v>
      </c>
      <c r="L88" s="256">
        <f>'Resumen de Unidades'!L88*PVM!L88</f>
        <v>0</v>
      </c>
      <c r="M88" s="256">
        <f>'Resumen de Unidades'!M88*PVM!M88</f>
        <v>0</v>
      </c>
      <c r="N88" s="256">
        <f>'Resumen de Unidades'!N88*PVM!N88</f>
        <v>0</v>
      </c>
      <c r="O88" s="256">
        <f>'Resumen de Unidades'!O88*PVM!O88</f>
        <v>0</v>
      </c>
      <c r="P88" s="256">
        <f>'Resumen de Unidades'!P88*PVM!P88</f>
        <v>0</v>
      </c>
      <c r="Q88" s="256">
        <f t="shared" si="3"/>
        <v>0</v>
      </c>
      <c r="R88" s="104"/>
      <c r="S88" s="104"/>
      <c r="T88" s="104">
        <f t="shared" si="4"/>
        <v>0</v>
      </c>
    </row>
    <row r="89" spans="1:23" x14ac:dyDescent="0.2">
      <c r="A89" s="33"/>
      <c r="B89" s="31">
        <v>39999</v>
      </c>
      <c r="C89" s="20"/>
      <c r="D89" s="263" t="s">
        <v>590</v>
      </c>
      <c r="E89" s="256">
        <f>'Resumen de Unidades'!E89*PVM!E89</f>
        <v>0</v>
      </c>
      <c r="F89" s="256">
        <f>'Resumen de Unidades'!F89*PVM!F89</f>
        <v>0</v>
      </c>
      <c r="G89" s="256">
        <f>'Resumen de Unidades'!G89*PVM!G89</f>
        <v>0</v>
      </c>
      <c r="H89" s="256">
        <f>'Resumen de Unidades'!H89*PVM!H89</f>
        <v>0</v>
      </c>
      <c r="I89" s="256">
        <f>'Resumen de Unidades'!I89*PVM!I89</f>
        <v>0</v>
      </c>
      <c r="J89" s="256">
        <f>'Resumen de Unidades'!J89*PVM!J89</f>
        <v>0</v>
      </c>
      <c r="K89" s="256">
        <f>'Resumen de Unidades'!K89*PVM!K89</f>
        <v>0</v>
      </c>
      <c r="L89" s="256">
        <f>'Resumen de Unidades'!L89*PVM!L89</f>
        <v>0</v>
      </c>
      <c r="M89" s="256">
        <f>'Resumen de Unidades'!M89*PVM!M89</f>
        <v>0</v>
      </c>
      <c r="N89" s="256">
        <f>'Resumen de Unidades'!N89*PVM!N89</f>
        <v>0</v>
      </c>
      <c r="O89" s="256">
        <f>'Resumen de Unidades'!O89*PVM!O89</f>
        <v>0</v>
      </c>
      <c r="P89" s="256">
        <f>'Resumen de Unidades'!P89*PVM!P89</f>
        <v>0</v>
      </c>
      <c r="Q89" s="256">
        <f t="shared" si="3"/>
        <v>0</v>
      </c>
      <c r="R89" s="104"/>
      <c r="S89" s="104"/>
      <c r="T89" s="104">
        <f t="shared" si="4"/>
        <v>0</v>
      </c>
    </row>
    <row r="90" spans="1:23" x14ac:dyDescent="0.2">
      <c r="A90" s="33"/>
      <c r="B90" s="31">
        <v>49999</v>
      </c>
      <c r="C90" s="20"/>
      <c r="D90" s="263" t="s">
        <v>591</v>
      </c>
      <c r="E90" s="256">
        <f>'Resumen de Unidades'!E90*PVM!E90</f>
        <v>0</v>
      </c>
      <c r="F90" s="256">
        <f>'Resumen de Unidades'!F90*PVM!F90</f>
        <v>0</v>
      </c>
      <c r="G90" s="256">
        <f>'Resumen de Unidades'!G90*PVM!G90</f>
        <v>0</v>
      </c>
      <c r="H90" s="256">
        <f>'Resumen de Unidades'!H90*PVM!H90</f>
        <v>0</v>
      </c>
      <c r="I90" s="256">
        <f>'Resumen de Unidades'!I90*PVM!I90</f>
        <v>0</v>
      </c>
      <c r="J90" s="256">
        <f>'Resumen de Unidades'!J90*PVM!J90</f>
        <v>0</v>
      </c>
      <c r="K90" s="256">
        <f>'Resumen de Unidades'!K90*PVM!K90</f>
        <v>0</v>
      </c>
      <c r="L90" s="256">
        <f>'Resumen de Unidades'!L90*PVM!L90</f>
        <v>0</v>
      </c>
      <c r="M90" s="256">
        <f>'Resumen de Unidades'!M90*PVM!M90</f>
        <v>0</v>
      </c>
      <c r="N90" s="256">
        <f>'Resumen de Unidades'!N90*PVM!N90</f>
        <v>0</v>
      </c>
      <c r="O90" s="256">
        <f>'Resumen de Unidades'!O90*PVM!O90</f>
        <v>0</v>
      </c>
      <c r="P90" s="256">
        <f>'Resumen de Unidades'!P90*PVM!P90</f>
        <v>0</v>
      </c>
      <c r="Q90" s="256">
        <f t="shared" si="3"/>
        <v>0</v>
      </c>
      <c r="R90" s="104"/>
      <c r="S90" s="104">
        <f>SUM(Q87:Q90)</f>
        <v>0</v>
      </c>
      <c r="T90" s="104">
        <f t="shared" si="4"/>
        <v>0</v>
      </c>
      <c r="W90" s="104">
        <f>+S90</f>
        <v>0</v>
      </c>
    </row>
    <row r="91" spans="1:23" x14ac:dyDescent="0.2">
      <c r="A91" s="33"/>
      <c r="B91" s="31">
        <v>13015</v>
      </c>
      <c r="C91" s="9" t="s">
        <v>103</v>
      </c>
      <c r="D91" s="47" t="s">
        <v>104</v>
      </c>
      <c r="E91" s="256">
        <f>'Resumen de Unidades'!E91*PVM!E91</f>
        <v>4344.0718200000001</v>
      </c>
      <c r="F91" s="256">
        <f>'Resumen de Unidades'!F91*PVM!F91</f>
        <v>4532.0840399999997</v>
      </c>
      <c r="G91" s="256">
        <f>'Resumen de Unidades'!G91*PVM!G91</f>
        <v>4898.2130999999999</v>
      </c>
      <c r="H91" s="256">
        <f>'Resumen de Unidades'!H91*PVM!H91</f>
        <v>5264.3421599999992</v>
      </c>
      <c r="I91" s="256">
        <f>'Resumen de Unidades'!I91*PVM!I91</f>
        <v>5511.7266599999994</v>
      </c>
      <c r="J91" s="256">
        <f>'Resumen de Unidades'!J91*PVM!J91</f>
        <v>5388.0344099999993</v>
      </c>
      <c r="K91" s="256">
        <f>'Resumen de Unidades'!K91*PVM!K91</f>
        <v>5323.7144399999997</v>
      </c>
      <c r="L91" s="256">
        <f>'Resumen de Unidades'!L91*PVM!L91</f>
        <v>4898.2130999999999</v>
      </c>
      <c r="M91" s="256">
        <f>'Resumen de Unidades'!M91*PVM!M91</f>
        <v>5511.7266599999994</v>
      </c>
      <c r="N91" s="256">
        <f>'Resumen de Unidades'!N91*PVM!N91</f>
        <v>5630.4712199999994</v>
      </c>
      <c r="O91" s="256">
        <f>'Resumen de Unidades'!O91*PVM!O91</f>
        <v>5140.6499100000001</v>
      </c>
      <c r="P91" s="256">
        <f>'Resumen de Unidades'!P91*PVM!P91</f>
        <v>4774.5208499999999</v>
      </c>
      <c r="Q91" s="256">
        <f t="shared" si="3"/>
        <v>61217.768369999998</v>
      </c>
      <c r="R91" s="104"/>
      <c r="S91" s="104"/>
      <c r="T91" s="104">
        <f t="shared" si="4"/>
        <v>0</v>
      </c>
    </row>
    <row r="92" spans="1:23" x14ac:dyDescent="0.2">
      <c r="A92" s="33"/>
      <c r="B92" s="31">
        <v>13023</v>
      </c>
      <c r="C92" s="8"/>
      <c r="D92" s="263" t="s">
        <v>105</v>
      </c>
      <c r="E92" s="256">
        <f>'Resumen de Unidades'!E92*PVM!E92</f>
        <v>4901.7505000000001</v>
      </c>
      <c r="F92" s="256">
        <f>'Resumen de Unidades'!F92*PVM!F92</f>
        <v>5108.2435000000005</v>
      </c>
      <c r="G92" s="256">
        <f>'Resumen de Unidades'!G92*PVM!G92</f>
        <v>5521.2295000000004</v>
      </c>
      <c r="H92" s="256">
        <f>'Resumen de Unidades'!H92*PVM!H92</f>
        <v>5934.2155000000002</v>
      </c>
      <c r="I92" s="256">
        <f>'Resumen de Unidades'!I92*PVM!I92</f>
        <v>6209.5394999999999</v>
      </c>
      <c r="J92" s="256">
        <f>'Resumen de Unidades'!J92*PVM!J92</f>
        <v>6071.8775000000005</v>
      </c>
      <c r="K92" s="256">
        <f>'Resumen de Unidades'!K92*PVM!K92</f>
        <v>6003.0465000000004</v>
      </c>
      <c r="L92" s="256">
        <f>'Resumen de Unidades'!L92*PVM!L92</f>
        <v>5521.2295000000004</v>
      </c>
      <c r="M92" s="256">
        <f>'Resumen de Unidades'!M92*PVM!M92</f>
        <v>6209.5394999999999</v>
      </c>
      <c r="N92" s="256">
        <f>'Resumen de Unidades'!N92*PVM!N92</f>
        <v>6347.2015000000001</v>
      </c>
      <c r="O92" s="256">
        <f>'Resumen de Unidades'!O92*PVM!O92</f>
        <v>5796.5535</v>
      </c>
      <c r="P92" s="256">
        <f>'Resumen de Unidades'!P92*PVM!P92</f>
        <v>5383.5675000000001</v>
      </c>
      <c r="Q92" s="256">
        <f t="shared" si="3"/>
        <v>69007.994000000006</v>
      </c>
      <c r="R92" s="104">
        <v>51120</v>
      </c>
      <c r="S92" s="104">
        <f>SUM(Q91:Q92)</f>
        <v>130225.76237000001</v>
      </c>
      <c r="T92" s="104">
        <f t="shared" si="4"/>
        <v>79105.762370000011</v>
      </c>
      <c r="W92" s="104">
        <f>+S92</f>
        <v>130225.76237000001</v>
      </c>
    </row>
    <row r="93" spans="1:23" x14ac:dyDescent="0.2">
      <c r="A93" s="33"/>
      <c r="B93" s="32">
        <v>13145</v>
      </c>
      <c r="C93" s="14" t="s">
        <v>106</v>
      </c>
      <c r="D93" s="49" t="s">
        <v>107</v>
      </c>
      <c r="E93" s="256">
        <f>'Resumen de Unidades'!E93*PVM!E93</f>
        <v>12855.997000000001</v>
      </c>
      <c r="F93" s="256">
        <f>'Resumen de Unidades'!F93*PVM!F93</f>
        <v>13402.186</v>
      </c>
      <c r="G93" s="256">
        <f>'Resumen de Unidades'!G93*PVM!G93</f>
        <v>14488.691000000001</v>
      </c>
      <c r="H93" s="256">
        <f>'Resumen de Unidades'!H93*PVM!H93</f>
        <v>15575.196</v>
      </c>
      <c r="I93" s="256">
        <f>'Resumen de Unidades'!I93*PVM!I93</f>
        <v>16297.575000000001</v>
      </c>
      <c r="J93" s="256">
        <f>'Resumen de Unidades'!J93*PVM!J93</f>
        <v>15933.449000000001</v>
      </c>
      <c r="K93" s="256">
        <f>'Resumen de Unidades'!K93*PVM!K93</f>
        <v>15757.259</v>
      </c>
      <c r="L93" s="256">
        <f>'Resumen de Unidades'!L93*PVM!L93</f>
        <v>14488.691000000001</v>
      </c>
      <c r="M93" s="256">
        <f>'Resumen de Unidades'!M93*PVM!M93</f>
        <v>16297.575000000001</v>
      </c>
      <c r="N93" s="256">
        <f>'Resumen de Unidades'!N93*PVM!N93</f>
        <v>16661.701000000001</v>
      </c>
      <c r="O93" s="256">
        <f>'Resumen de Unidades'!O93*PVM!O93</f>
        <v>15211.07</v>
      </c>
      <c r="P93" s="256">
        <f>'Resumen de Unidades'!P93*PVM!P93</f>
        <v>14124.565000000001</v>
      </c>
      <c r="Q93" s="256">
        <f t="shared" si="3"/>
        <v>181093.95500000005</v>
      </c>
      <c r="R93" s="104">
        <v>383339</v>
      </c>
      <c r="S93" s="104">
        <f>+Q93</f>
        <v>181093.95500000005</v>
      </c>
      <c r="T93" s="104">
        <f t="shared" si="4"/>
        <v>-202245.04499999995</v>
      </c>
      <c r="W93" s="104">
        <f>+S93</f>
        <v>181093.95500000005</v>
      </c>
    </row>
    <row r="94" spans="1:23" x14ac:dyDescent="0.2">
      <c r="A94" s="33"/>
      <c r="B94" s="31">
        <v>13087</v>
      </c>
      <c r="C94" s="9" t="s">
        <v>108</v>
      </c>
      <c r="D94" s="49" t="s">
        <v>109</v>
      </c>
      <c r="E94" s="256">
        <f>'Resumen de Unidades'!E94*PVM!E94</f>
        <v>5064.7172399999999</v>
      </c>
      <c r="F94" s="256">
        <f>'Resumen de Unidades'!F94*PVM!F94</f>
        <v>5277.1791599999997</v>
      </c>
      <c r="G94" s="256">
        <f>'Resumen de Unidades'!G94*PVM!G94</f>
        <v>5705.2274399999997</v>
      </c>
      <c r="H94" s="256">
        <f>'Resumen de Unidades'!H94*PVM!H94</f>
        <v>6133.2757199999996</v>
      </c>
      <c r="I94" s="256">
        <f>'Resumen de Unidades'!I94*PVM!I94</f>
        <v>6420.7241999999997</v>
      </c>
      <c r="J94" s="256">
        <f>'Resumen de Unidades'!J94*PVM!J94</f>
        <v>6276.9999600000001</v>
      </c>
      <c r="K94" s="256">
        <f>'Resumen de Unidades'!K94*PVM!K94</f>
        <v>6205.1378399999994</v>
      </c>
      <c r="L94" s="256">
        <f>'Resumen de Unidades'!L94*PVM!L94</f>
        <v>5705.2274399999997</v>
      </c>
      <c r="M94" s="256">
        <f>'Resumen de Unidades'!M94*PVM!M94</f>
        <v>6420.7241999999997</v>
      </c>
      <c r="N94" s="256">
        <f>'Resumen de Unidades'!N94*PVM!N94</f>
        <v>6561.3239999999996</v>
      </c>
      <c r="O94" s="256">
        <f>'Resumen de Unidades'!O94*PVM!O94</f>
        <v>5992.6759199999997</v>
      </c>
      <c r="P94" s="256">
        <f>'Resumen de Unidades'!P94*PVM!P94</f>
        <v>5564.6276399999997</v>
      </c>
      <c r="Q94" s="256">
        <f t="shared" si="3"/>
        <v>71327.840760000006</v>
      </c>
      <c r="R94" s="104"/>
      <c r="S94" s="104"/>
      <c r="T94" s="104">
        <f t="shared" si="4"/>
        <v>0</v>
      </c>
    </row>
    <row r="95" spans="1:23" ht="13.5" thickBot="1" x14ac:dyDescent="0.25">
      <c r="A95" s="33"/>
      <c r="B95" s="31">
        <v>13085</v>
      </c>
      <c r="C95" s="10"/>
      <c r="D95" s="51" t="s">
        <v>110</v>
      </c>
      <c r="E95" s="256">
        <f>'Resumen de Unidades'!E95*PVM!E95</f>
        <v>7200.4984999999997</v>
      </c>
      <c r="F95" s="256">
        <f>'Resumen de Unidades'!F95*PVM!F95</f>
        <v>7507.2653</v>
      </c>
      <c r="G95" s="256">
        <f>'Resumen de Unidades'!G95*PVM!G95</f>
        <v>8112.2776000000003</v>
      </c>
      <c r="H95" s="256">
        <f>'Resumen de Unidades'!H95*PVM!H95</f>
        <v>8725.8112000000001</v>
      </c>
      <c r="I95" s="256">
        <f>'Resumen de Unidades'!I95*PVM!I95</f>
        <v>9134.8335999999999</v>
      </c>
      <c r="J95" s="256">
        <f>'Resumen de Unidades'!J95*PVM!J95</f>
        <v>8930.3224000000009</v>
      </c>
      <c r="K95" s="256">
        <f>'Resumen de Unidades'!K95*PVM!K95</f>
        <v>8828.0668000000005</v>
      </c>
      <c r="L95" s="256">
        <f>'Resumen de Unidades'!L95*PVM!L95</f>
        <v>8112.2776000000003</v>
      </c>
      <c r="M95" s="256">
        <f>'Resumen de Unidades'!M95*PVM!M95</f>
        <v>9134.8335999999999</v>
      </c>
      <c r="N95" s="256">
        <f>'Resumen de Unidades'!N95*PVM!N95</f>
        <v>9330.8235000000004</v>
      </c>
      <c r="O95" s="256">
        <f>'Resumen de Unidades'!O95*PVM!O95</f>
        <v>8521.2999999999993</v>
      </c>
      <c r="P95" s="256">
        <f>'Resumen de Unidades'!P95*PVM!P95</f>
        <v>7916.2876999999999</v>
      </c>
      <c r="Q95" s="256">
        <f t="shared" si="3"/>
        <v>101454.5978</v>
      </c>
      <c r="R95" s="104">
        <v>148287</v>
      </c>
      <c r="S95" s="104">
        <f>SUM(Q94:Q95)</f>
        <v>172782.43856000001</v>
      </c>
      <c r="T95" s="104">
        <f t="shared" si="4"/>
        <v>24495.43856000001</v>
      </c>
      <c r="W95" s="104">
        <f>+S95</f>
        <v>172782.43856000001</v>
      </c>
    </row>
    <row r="96" spans="1:23" x14ac:dyDescent="0.2">
      <c r="A96" s="33"/>
      <c r="B96" s="3"/>
      <c r="C96" s="27"/>
      <c r="D96" s="55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104"/>
      <c r="S96" s="104"/>
      <c r="T96" s="104"/>
    </row>
    <row r="97" spans="1:24" x14ac:dyDescent="0.2">
      <c r="A97" s="33"/>
      <c r="B97" s="3"/>
      <c r="C97" s="28"/>
      <c r="D97" s="56" t="s">
        <v>150</v>
      </c>
      <c r="E97" s="287">
        <f>SUM(E59:E95)</f>
        <v>665934.85994999972</v>
      </c>
      <c r="F97" s="287">
        <f>SUM(F59:F95)</f>
        <v>694105.50000999996</v>
      </c>
      <c r="G97" s="287">
        <f t="shared" ref="G97:Q97" si="5">SUM(G59:G95)</f>
        <v>750383.58289000008</v>
      </c>
      <c r="H97" s="287">
        <f t="shared" si="5"/>
        <v>806612.8867700001</v>
      </c>
      <c r="I97" s="287">
        <f t="shared" si="5"/>
        <v>844182.29603999981</v>
      </c>
      <c r="J97" s="287">
        <f t="shared" si="5"/>
        <v>844178.27721000009</v>
      </c>
      <c r="K97" s="287">
        <f t="shared" si="5"/>
        <v>811716.18564000039</v>
      </c>
      <c r="L97" s="287">
        <f t="shared" si="5"/>
        <v>746076.57289000018</v>
      </c>
      <c r="M97" s="287">
        <f t="shared" si="5"/>
        <v>834132.60603999987</v>
      </c>
      <c r="N97" s="287">
        <f t="shared" si="5"/>
        <v>849975.17134999996</v>
      </c>
      <c r="O97" s="287">
        <f t="shared" si="5"/>
        <v>774951.86317000003</v>
      </c>
      <c r="P97" s="287">
        <f t="shared" si="5"/>
        <v>717218.99469999992</v>
      </c>
      <c r="Q97" s="287">
        <f t="shared" si="5"/>
        <v>9339468.7966600005</v>
      </c>
      <c r="R97" s="104"/>
      <c r="S97" s="104"/>
      <c r="T97" s="104"/>
    </row>
    <row r="98" spans="1:24" ht="13.5" thickBot="1" x14ac:dyDescent="0.25">
      <c r="A98" s="33"/>
      <c r="B98" s="3"/>
      <c r="C98" s="29"/>
      <c r="D98" s="57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104"/>
      <c r="S98" s="104"/>
      <c r="T98" s="104"/>
    </row>
    <row r="99" spans="1:24" s="33" customFormat="1" ht="13.5" thickBot="1" x14ac:dyDescent="0.25">
      <c r="B99" s="35"/>
      <c r="C99" s="36"/>
      <c r="D99" s="45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</row>
    <row r="100" spans="1:24" x14ac:dyDescent="0.2">
      <c r="A100" s="33"/>
      <c r="B100" s="3"/>
      <c r="C100" s="27"/>
      <c r="D100" s="55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104"/>
      <c r="S100" s="104"/>
      <c r="T100" s="104"/>
    </row>
    <row r="101" spans="1:24" x14ac:dyDescent="0.2">
      <c r="A101" s="33"/>
      <c r="B101" s="3"/>
      <c r="C101" s="490" t="s">
        <v>151</v>
      </c>
      <c r="D101" s="491"/>
      <c r="E101" s="287">
        <f t="shared" ref="E101:Q101" si="6">SUM(E50,E97)</f>
        <v>1205351.1820579998</v>
      </c>
      <c r="F101" s="287">
        <f t="shared" si="6"/>
        <v>1316238.6746699999</v>
      </c>
      <c r="G101" s="287">
        <f t="shared" si="6"/>
        <v>1401957.632282</v>
      </c>
      <c r="H101" s="287">
        <f t="shared" si="6"/>
        <v>1494107.0156440001</v>
      </c>
      <c r="I101" s="287">
        <f t="shared" si="6"/>
        <v>1577186.5287139998</v>
      </c>
      <c r="J101" s="287">
        <f t="shared" si="6"/>
        <v>1590134.575464</v>
      </c>
      <c r="K101" s="287">
        <f t="shared" si="6"/>
        <v>1534047.5750940004</v>
      </c>
      <c r="L101" s="287">
        <f t="shared" si="6"/>
        <v>1429602.4921040002</v>
      </c>
      <c r="M101" s="287">
        <f t="shared" si="6"/>
        <v>1633087.5936459999</v>
      </c>
      <c r="N101" s="287">
        <f t="shared" si="6"/>
        <v>1664412.013396</v>
      </c>
      <c r="O101" s="287">
        <f t="shared" si="6"/>
        <v>1519420.8727719998</v>
      </c>
      <c r="P101" s="287">
        <f t="shared" si="6"/>
        <v>1375884.5380800001</v>
      </c>
      <c r="Q101" s="287">
        <f t="shared" si="6"/>
        <v>17741430.693924002</v>
      </c>
      <c r="R101" s="104">
        <f>SUM(R4:R95)</f>
        <v>17324645</v>
      </c>
      <c r="S101" s="104">
        <f t="shared" ref="S101:W101" si="7">SUM(S4:S95)</f>
        <v>17679802.093924001</v>
      </c>
      <c r="T101" s="104">
        <f t="shared" si="7"/>
        <v>355157.09392400063</v>
      </c>
      <c r="V101" s="104">
        <f t="shared" si="7"/>
        <v>6578164.9426640002</v>
      </c>
      <c r="W101" s="104">
        <f t="shared" si="7"/>
        <v>11101637.15126</v>
      </c>
      <c r="X101" s="313">
        <f>+V101/Q101</f>
        <v>0.37077984612125209</v>
      </c>
    </row>
    <row r="102" spans="1:24" ht="13.5" thickBot="1" x14ac:dyDescent="0.25">
      <c r="A102" s="33"/>
      <c r="B102" s="3"/>
      <c r="C102" s="29"/>
      <c r="D102" s="57"/>
      <c r="E102" s="58"/>
      <c r="F102" s="287"/>
      <c r="G102" s="287"/>
      <c r="H102" s="287"/>
      <c r="I102" s="287"/>
      <c r="J102" s="287"/>
      <c r="K102" s="287"/>
      <c r="L102" s="287"/>
      <c r="M102" s="287"/>
      <c r="N102" s="287"/>
      <c r="O102" s="287"/>
      <c r="P102" s="287"/>
      <c r="Q102" s="287"/>
      <c r="R102" s="104">
        <f>+R101-15000-71000</f>
        <v>17238645</v>
      </c>
      <c r="S102" s="104">
        <f>+S101-S10-S25-S45-S48-Q72-S90</f>
        <v>17372942.023924004</v>
      </c>
      <c r="V102" s="104">
        <f>+V101/1000+119</f>
        <v>6697.1649426640006</v>
      </c>
      <c r="W102" s="312">
        <f>+W101/1000</f>
        <v>11101.63715126</v>
      </c>
      <c r="X102" s="313">
        <f>+W101/Q101</f>
        <v>0.62574644304543225</v>
      </c>
    </row>
    <row r="103" spans="1:24" s="53" customFormat="1" x14ac:dyDescent="0.2">
      <c r="D103" s="54"/>
      <c r="R103" s="308"/>
      <c r="V103" s="53">
        <v>6128</v>
      </c>
      <c r="W103" s="53">
        <v>11125</v>
      </c>
    </row>
    <row r="104" spans="1:24" s="53" customFormat="1" x14ac:dyDescent="0.2">
      <c r="D104" s="54"/>
      <c r="V104" s="310">
        <f>+V102/V103-1</f>
        <v>9.2879396648825052E-2</v>
      </c>
      <c r="W104" s="310">
        <f>+W102/W103-1</f>
        <v>-2.100031347415765E-3</v>
      </c>
    </row>
    <row r="105" spans="1:24" s="53" customFormat="1" x14ac:dyDescent="0.2">
      <c r="D105" s="54"/>
    </row>
    <row r="106" spans="1:24" s="53" customFormat="1" x14ac:dyDescent="0.2">
      <c r="D106" s="54"/>
    </row>
    <row r="107" spans="1:24" s="53" customFormat="1" x14ac:dyDescent="0.2">
      <c r="D107" s="54"/>
    </row>
    <row r="108" spans="1:24" s="53" customFormat="1" x14ac:dyDescent="0.2">
      <c r="D108" s="54"/>
    </row>
    <row r="109" spans="1:24" s="53" customFormat="1" x14ac:dyDescent="0.2">
      <c r="D109" s="54"/>
    </row>
    <row r="110" spans="1:24" s="53" customFormat="1" x14ac:dyDescent="0.2">
      <c r="D110" s="54"/>
    </row>
    <row r="111" spans="1:24" s="53" customFormat="1" x14ac:dyDescent="0.2">
      <c r="D111" s="54"/>
    </row>
  </sheetData>
  <mergeCells count="1">
    <mergeCell ref="C101:D101"/>
  </mergeCells>
  <conditionalFormatting sqref="R5:T101">
    <cfRule type="cellIs" dxfId="6" priority="2" operator="lessThan">
      <formula>0</formula>
    </cfRule>
  </conditionalFormatting>
  <conditionalFormatting sqref="V101:W101">
    <cfRule type="cellIs" dxfId="5" priority="1" operator="lessThan">
      <formula>0</formula>
    </cfRule>
  </conditionalFormatting>
  <pageMargins left="0.7" right="0.7" top="0.75" bottom="0.75" header="0.3" footer="0.3"/>
  <pageSetup paperSize="9" scale="65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pageSetUpPr fitToPage="1"/>
  </sheetPr>
  <dimension ref="A1:Q112"/>
  <sheetViews>
    <sheetView topLeftCell="A76" zoomScale="90" zoomScaleNormal="90" workbookViewId="0">
      <selection activeCell="E2" sqref="E2"/>
    </sheetView>
  </sheetViews>
  <sheetFormatPr baseColWidth="10" defaultRowHeight="12.75" x14ac:dyDescent="0.2"/>
  <cols>
    <col min="1" max="1" width="0.7109375" style="53" customWidth="1"/>
    <col min="2" max="2" width="7.42578125" style="1" customWidth="1"/>
    <col min="3" max="3" width="11.42578125" style="1"/>
    <col min="4" max="4" width="33.5703125" style="52" customWidth="1"/>
    <col min="5" max="5" width="11.42578125" style="1"/>
    <col min="6" max="6" width="10.5703125" style="1" customWidth="1"/>
    <col min="7" max="16384" width="11.42578125" style="1"/>
  </cols>
  <sheetData>
    <row r="1" spans="1:17" s="33" customFormat="1" x14ac:dyDescent="0.2">
      <c r="D1" s="40"/>
      <c r="E1" s="34" t="s">
        <v>384</v>
      </c>
    </row>
    <row r="2" spans="1:17" x14ac:dyDescent="0.2">
      <c r="A2" s="33"/>
      <c r="B2" s="33"/>
      <c r="C2" s="33"/>
      <c r="D2" s="40"/>
      <c r="E2" s="286">
        <v>1</v>
      </c>
      <c r="F2" s="286">
        <v>2</v>
      </c>
      <c r="G2" s="286">
        <v>3</v>
      </c>
      <c r="H2" s="286">
        <v>4</v>
      </c>
      <c r="I2" s="286">
        <v>5</v>
      </c>
      <c r="J2" s="286">
        <v>6</v>
      </c>
      <c r="K2" s="286">
        <v>7</v>
      </c>
      <c r="L2" s="286">
        <v>8</v>
      </c>
      <c r="M2" s="286">
        <v>9</v>
      </c>
      <c r="N2" s="286">
        <v>10</v>
      </c>
      <c r="O2" s="286">
        <v>11</v>
      </c>
      <c r="P2" s="286">
        <v>12</v>
      </c>
      <c r="Q2" s="2" t="s">
        <v>146</v>
      </c>
    </row>
    <row r="3" spans="1:17" s="33" customFormat="1" x14ac:dyDescent="0.2">
      <c r="D3" s="40"/>
    </row>
    <row r="4" spans="1:17" x14ac:dyDescent="0.2">
      <c r="A4" s="33"/>
      <c r="B4" s="31">
        <v>13017</v>
      </c>
      <c r="C4" s="4" t="s">
        <v>5</v>
      </c>
      <c r="D4" s="41" t="s">
        <v>6</v>
      </c>
      <c r="E4" s="139">
        <v>6.5000000000000002E-2</v>
      </c>
      <c r="F4" s="139">
        <v>7.6999999999999999E-2</v>
      </c>
      <c r="G4" s="139">
        <v>0.08</v>
      </c>
      <c r="H4" s="139">
        <v>8.4000000000000005E-2</v>
      </c>
      <c r="I4" s="139">
        <v>0.09</v>
      </c>
      <c r="J4" s="139">
        <v>8.7999999999999995E-2</v>
      </c>
      <c r="K4" s="139">
        <v>8.4000000000000005E-2</v>
      </c>
      <c r="L4" s="139">
        <v>8.1000000000000003E-2</v>
      </c>
      <c r="M4" s="139">
        <v>9.4E-2</v>
      </c>
      <c r="N4" s="139">
        <v>9.6000000000000002E-2</v>
      </c>
      <c r="O4" s="139">
        <v>8.5999999999999993E-2</v>
      </c>
      <c r="P4" s="139">
        <v>7.4999999999999997E-2</v>
      </c>
      <c r="Q4" s="139">
        <f>SUM(E4:P4)</f>
        <v>0.99999999999999978</v>
      </c>
    </row>
    <row r="5" spans="1:17" x14ac:dyDescent="0.2">
      <c r="A5" s="33"/>
      <c r="B5" s="31">
        <v>13016</v>
      </c>
      <c r="C5" s="6"/>
      <c r="D5" s="41" t="s">
        <v>7</v>
      </c>
      <c r="E5" s="139">
        <v>6.5000000000000002E-2</v>
      </c>
      <c r="F5" s="139">
        <v>7.6999999999999999E-2</v>
      </c>
      <c r="G5" s="139">
        <v>0.08</v>
      </c>
      <c r="H5" s="139">
        <v>8.4000000000000005E-2</v>
      </c>
      <c r="I5" s="139">
        <v>0.09</v>
      </c>
      <c r="J5" s="139">
        <v>8.7999999999999995E-2</v>
      </c>
      <c r="K5" s="139">
        <v>8.4000000000000005E-2</v>
      </c>
      <c r="L5" s="139">
        <v>8.1000000000000003E-2</v>
      </c>
      <c r="M5" s="139">
        <v>9.4E-2</v>
      </c>
      <c r="N5" s="139">
        <v>9.6000000000000002E-2</v>
      </c>
      <c r="O5" s="139">
        <v>8.5999999999999993E-2</v>
      </c>
      <c r="P5" s="139">
        <v>7.4999999999999997E-2</v>
      </c>
      <c r="Q5" s="139">
        <f t="shared" ref="Q5:Q48" si="0">SUM(E5:P5)</f>
        <v>0.99999999999999978</v>
      </c>
    </row>
    <row r="6" spans="1:17" x14ac:dyDescent="0.2">
      <c r="A6" s="33"/>
      <c r="B6" s="32">
        <v>13078</v>
      </c>
      <c r="C6" s="9" t="s">
        <v>8</v>
      </c>
      <c r="D6" s="41" t="s">
        <v>9</v>
      </c>
      <c r="E6" s="139">
        <v>6.5000000000000002E-2</v>
      </c>
      <c r="F6" s="139">
        <v>7.6999999999999999E-2</v>
      </c>
      <c r="G6" s="139">
        <v>0.08</v>
      </c>
      <c r="H6" s="139">
        <v>8.4000000000000005E-2</v>
      </c>
      <c r="I6" s="139">
        <v>0.09</v>
      </c>
      <c r="J6" s="139">
        <v>8.7999999999999995E-2</v>
      </c>
      <c r="K6" s="139">
        <v>8.4000000000000005E-2</v>
      </c>
      <c r="L6" s="139">
        <v>8.1000000000000003E-2</v>
      </c>
      <c r="M6" s="139">
        <v>9.4E-2</v>
      </c>
      <c r="N6" s="139">
        <v>9.6000000000000002E-2</v>
      </c>
      <c r="O6" s="139">
        <v>8.5999999999999993E-2</v>
      </c>
      <c r="P6" s="139">
        <v>7.4999999999999997E-2</v>
      </c>
      <c r="Q6" s="139">
        <f t="shared" si="0"/>
        <v>0.99999999999999978</v>
      </c>
    </row>
    <row r="7" spans="1:17" x14ac:dyDescent="0.2">
      <c r="A7" s="33"/>
      <c r="B7" s="31">
        <v>13120</v>
      </c>
      <c r="C7" s="10"/>
      <c r="D7" s="41" t="s">
        <v>10</v>
      </c>
      <c r="E7" s="139">
        <v>6.5000000000000002E-2</v>
      </c>
      <c r="F7" s="139">
        <v>7.6999999999999999E-2</v>
      </c>
      <c r="G7" s="139">
        <v>0.08</v>
      </c>
      <c r="H7" s="139">
        <v>8.4000000000000005E-2</v>
      </c>
      <c r="I7" s="139">
        <v>0.09</v>
      </c>
      <c r="J7" s="139">
        <v>8.7999999999999995E-2</v>
      </c>
      <c r="K7" s="139">
        <v>8.4000000000000005E-2</v>
      </c>
      <c r="L7" s="139">
        <v>8.1000000000000003E-2</v>
      </c>
      <c r="M7" s="139">
        <v>9.4E-2</v>
      </c>
      <c r="N7" s="139">
        <v>9.6000000000000002E-2</v>
      </c>
      <c r="O7" s="139">
        <v>8.5999999999999993E-2</v>
      </c>
      <c r="P7" s="139">
        <v>7.4999999999999997E-2</v>
      </c>
      <c r="Q7" s="139">
        <f t="shared" si="0"/>
        <v>0.99999999999999978</v>
      </c>
    </row>
    <row r="8" spans="1:17" x14ac:dyDescent="0.2">
      <c r="A8" s="33"/>
      <c r="B8" s="31">
        <v>13053</v>
      </c>
      <c r="C8" s="11"/>
      <c r="D8" s="41" t="s">
        <v>11</v>
      </c>
      <c r="E8" s="139">
        <v>6.5000000000000002E-2</v>
      </c>
      <c r="F8" s="139">
        <v>7.6999999999999999E-2</v>
      </c>
      <c r="G8" s="139">
        <v>0.08</v>
      </c>
      <c r="H8" s="139">
        <v>8.4000000000000005E-2</v>
      </c>
      <c r="I8" s="139">
        <v>0.09</v>
      </c>
      <c r="J8" s="139">
        <v>8.7999999999999995E-2</v>
      </c>
      <c r="K8" s="139">
        <v>8.4000000000000005E-2</v>
      </c>
      <c r="L8" s="139">
        <v>8.1000000000000003E-2</v>
      </c>
      <c r="M8" s="139">
        <v>9.4E-2</v>
      </c>
      <c r="N8" s="139">
        <v>9.6000000000000002E-2</v>
      </c>
      <c r="O8" s="139">
        <v>8.5999999999999993E-2</v>
      </c>
      <c r="P8" s="139">
        <v>7.4999999999999997E-2</v>
      </c>
      <c r="Q8" s="139">
        <f t="shared" si="0"/>
        <v>0.99999999999999978</v>
      </c>
    </row>
    <row r="9" spans="1:17" x14ac:dyDescent="0.2">
      <c r="A9" s="33"/>
      <c r="B9" s="31">
        <v>13022</v>
      </c>
      <c r="C9" s="4" t="s">
        <v>12</v>
      </c>
      <c r="D9" s="41" t="s">
        <v>13</v>
      </c>
      <c r="E9" s="139">
        <v>6.5000000000000002E-2</v>
      </c>
      <c r="F9" s="139">
        <v>7.6999999999999999E-2</v>
      </c>
      <c r="G9" s="139">
        <v>0.08</v>
      </c>
      <c r="H9" s="139">
        <v>8.4000000000000005E-2</v>
      </c>
      <c r="I9" s="139">
        <v>0.09</v>
      </c>
      <c r="J9" s="139">
        <v>8.7999999999999995E-2</v>
      </c>
      <c r="K9" s="139">
        <v>8.4000000000000005E-2</v>
      </c>
      <c r="L9" s="139">
        <v>8.1000000000000003E-2</v>
      </c>
      <c r="M9" s="139">
        <v>9.4E-2</v>
      </c>
      <c r="N9" s="139">
        <v>9.6000000000000002E-2</v>
      </c>
      <c r="O9" s="139">
        <v>8.5999999999999993E-2</v>
      </c>
      <c r="P9" s="139">
        <v>7.4999999999999997E-2</v>
      </c>
      <c r="Q9" s="139">
        <f t="shared" si="0"/>
        <v>0.99999999999999978</v>
      </c>
    </row>
    <row r="10" spans="1:17" x14ac:dyDescent="0.2">
      <c r="A10" s="33"/>
      <c r="B10" s="260">
        <v>13163</v>
      </c>
      <c r="C10" s="4" t="s">
        <v>14</v>
      </c>
      <c r="D10" s="42" t="s">
        <v>573</v>
      </c>
      <c r="E10" s="139">
        <v>6.5000000000000002E-2</v>
      </c>
      <c r="F10" s="139">
        <v>7.6999999999999999E-2</v>
      </c>
      <c r="G10" s="139">
        <v>0.08</v>
      </c>
      <c r="H10" s="139">
        <v>8.4000000000000005E-2</v>
      </c>
      <c r="I10" s="139">
        <v>0.09</v>
      </c>
      <c r="J10" s="139">
        <v>8.7999999999999995E-2</v>
      </c>
      <c r="K10" s="139">
        <v>8.4000000000000005E-2</v>
      </c>
      <c r="L10" s="139">
        <v>8.1000000000000003E-2</v>
      </c>
      <c r="M10" s="139">
        <v>9.4E-2</v>
      </c>
      <c r="N10" s="139">
        <v>9.6000000000000002E-2</v>
      </c>
      <c r="O10" s="139">
        <v>8.5999999999999993E-2</v>
      </c>
      <c r="P10" s="139">
        <v>7.4999999999999997E-2</v>
      </c>
      <c r="Q10" s="139">
        <f t="shared" si="0"/>
        <v>0.99999999999999978</v>
      </c>
    </row>
    <row r="11" spans="1:17" x14ac:dyDescent="0.2">
      <c r="A11" s="33"/>
      <c r="B11" s="260">
        <v>13164</v>
      </c>
      <c r="C11" s="8"/>
      <c r="D11" s="42" t="s">
        <v>574</v>
      </c>
      <c r="E11" s="139">
        <v>6.5000000000000002E-2</v>
      </c>
      <c r="F11" s="139">
        <v>7.6999999999999999E-2</v>
      </c>
      <c r="G11" s="139">
        <v>0.08</v>
      </c>
      <c r="H11" s="139">
        <v>8.4000000000000005E-2</v>
      </c>
      <c r="I11" s="139">
        <v>0.09</v>
      </c>
      <c r="J11" s="139">
        <v>8.7999999999999995E-2</v>
      </c>
      <c r="K11" s="139">
        <v>8.4000000000000005E-2</v>
      </c>
      <c r="L11" s="139">
        <v>8.1000000000000003E-2</v>
      </c>
      <c r="M11" s="139">
        <v>9.4E-2</v>
      </c>
      <c r="N11" s="139">
        <v>9.6000000000000002E-2</v>
      </c>
      <c r="O11" s="139">
        <v>8.5999999999999993E-2</v>
      </c>
      <c r="P11" s="139">
        <v>7.4999999999999997E-2</v>
      </c>
      <c r="Q11" s="139">
        <f t="shared" si="0"/>
        <v>0.99999999999999978</v>
      </c>
    </row>
    <row r="12" spans="1:17" x14ac:dyDescent="0.2">
      <c r="A12" s="33"/>
      <c r="B12" s="31">
        <v>13133</v>
      </c>
      <c r="C12" s="253" t="s">
        <v>15</v>
      </c>
      <c r="D12" s="42" t="s">
        <v>16</v>
      </c>
      <c r="E12" s="139">
        <v>6.5000000000000002E-2</v>
      </c>
      <c r="F12" s="139">
        <v>7.6999999999999999E-2</v>
      </c>
      <c r="G12" s="139">
        <v>0.08</v>
      </c>
      <c r="H12" s="139">
        <v>8.4000000000000005E-2</v>
      </c>
      <c r="I12" s="139">
        <v>0.09</v>
      </c>
      <c r="J12" s="139">
        <v>8.7999999999999995E-2</v>
      </c>
      <c r="K12" s="139">
        <v>8.4000000000000005E-2</v>
      </c>
      <c r="L12" s="139">
        <v>8.1000000000000003E-2</v>
      </c>
      <c r="M12" s="139">
        <v>9.4E-2</v>
      </c>
      <c r="N12" s="139">
        <v>9.6000000000000002E-2</v>
      </c>
      <c r="O12" s="139">
        <v>8.5999999999999993E-2</v>
      </c>
      <c r="P12" s="139">
        <v>7.4999999999999997E-2</v>
      </c>
      <c r="Q12" s="139">
        <f t="shared" si="0"/>
        <v>0.99999999999999978</v>
      </c>
    </row>
    <row r="13" spans="1:17" x14ac:dyDescent="0.2">
      <c r="A13" s="33"/>
      <c r="B13" s="31">
        <v>13134</v>
      </c>
      <c r="C13" s="258"/>
      <c r="D13" s="42" t="s">
        <v>17</v>
      </c>
      <c r="E13" s="139">
        <v>6.5000000000000002E-2</v>
      </c>
      <c r="F13" s="139">
        <v>7.6999999999999999E-2</v>
      </c>
      <c r="G13" s="139">
        <v>0.08</v>
      </c>
      <c r="H13" s="139">
        <v>8.4000000000000005E-2</v>
      </c>
      <c r="I13" s="139">
        <v>0.09</v>
      </c>
      <c r="J13" s="139">
        <v>8.7999999999999995E-2</v>
      </c>
      <c r="K13" s="139">
        <v>8.4000000000000005E-2</v>
      </c>
      <c r="L13" s="139">
        <v>8.1000000000000003E-2</v>
      </c>
      <c r="M13" s="139">
        <v>9.4E-2</v>
      </c>
      <c r="N13" s="139">
        <v>9.6000000000000002E-2</v>
      </c>
      <c r="O13" s="139">
        <v>8.5999999999999993E-2</v>
      </c>
      <c r="P13" s="139">
        <v>7.4999999999999997E-2</v>
      </c>
      <c r="Q13" s="139">
        <f t="shared" si="0"/>
        <v>0.99999999999999978</v>
      </c>
    </row>
    <row r="14" spans="1:17" x14ac:dyDescent="0.2">
      <c r="A14" s="33"/>
      <c r="B14" s="31">
        <v>13142</v>
      </c>
      <c r="C14" s="252" t="s">
        <v>18</v>
      </c>
      <c r="D14" s="42" t="s">
        <v>19</v>
      </c>
      <c r="E14" s="139">
        <v>7.0999999999999994E-2</v>
      </c>
      <c r="F14" s="139">
        <v>7.3999999999999996E-2</v>
      </c>
      <c r="G14" s="139">
        <v>0.08</v>
      </c>
      <c r="H14" s="139">
        <v>8.5999999999999993E-2</v>
      </c>
      <c r="I14" s="139">
        <v>0.09</v>
      </c>
      <c r="J14" s="139">
        <v>8.7999999999999995E-2</v>
      </c>
      <c r="K14" s="139">
        <v>8.6999999999999994E-2</v>
      </c>
      <c r="L14" s="139">
        <v>0.08</v>
      </c>
      <c r="M14" s="139">
        <v>0.09</v>
      </c>
      <c r="N14" s="139">
        <v>9.1999999999999998E-2</v>
      </c>
      <c r="O14" s="139">
        <v>8.4000000000000005E-2</v>
      </c>
      <c r="P14" s="139">
        <v>7.8E-2</v>
      </c>
      <c r="Q14" s="139">
        <f t="shared" si="0"/>
        <v>0.99999999999999967</v>
      </c>
    </row>
    <row r="15" spans="1:17" x14ac:dyDescent="0.2">
      <c r="A15" s="33"/>
      <c r="B15" s="31">
        <v>13141</v>
      </c>
      <c r="C15" s="254"/>
      <c r="D15" s="42" t="s">
        <v>20</v>
      </c>
      <c r="E15" s="139">
        <v>7.0999999999999994E-2</v>
      </c>
      <c r="F15" s="139">
        <v>7.3999999999999996E-2</v>
      </c>
      <c r="G15" s="139">
        <v>0.08</v>
      </c>
      <c r="H15" s="139">
        <v>8.5999999999999993E-2</v>
      </c>
      <c r="I15" s="139">
        <v>0.09</v>
      </c>
      <c r="J15" s="139">
        <v>8.7999999999999995E-2</v>
      </c>
      <c r="K15" s="139">
        <v>8.6999999999999994E-2</v>
      </c>
      <c r="L15" s="139">
        <v>0.08</v>
      </c>
      <c r="M15" s="139">
        <v>0.09</v>
      </c>
      <c r="N15" s="139">
        <v>9.1999999999999998E-2</v>
      </c>
      <c r="O15" s="139">
        <v>8.4000000000000005E-2</v>
      </c>
      <c r="P15" s="139">
        <v>7.8E-2</v>
      </c>
      <c r="Q15" s="139">
        <f t="shared" si="0"/>
        <v>0.99999999999999967</v>
      </c>
    </row>
    <row r="16" spans="1:17" x14ac:dyDescent="0.2">
      <c r="A16" s="33"/>
      <c r="B16" s="31">
        <v>33333</v>
      </c>
      <c r="C16" s="254"/>
      <c r="D16" s="42" t="s">
        <v>587</v>
      </c>
      <c r="E16" s="139">
        <v>7.0999999999999994E-2</v>
      </c>
      <c r="F16" s="139">
        <v>7.3999999999999996E-2</v>
      </c>
      <c r="G16" s="139">
        <v>0.08</v>
      </c>
      <c r="H16" s="139">
        <v>8.5999999999999993E-2</v>
      </c>
      <c r="I16" s="139">
        <v>0.09</v>
      </c>
      <c r="J16" s="139">
        <v>8.7999999999999995E-2</v>
      </c>
      <c r="K16" s="139">
        <v>8.6999999999999994E-2</v>
      </c>
      <c r="L16" s="139">
        <v>0.08</v>
      </c>
      <c r="M16" s="139">
        <v>0.09</v>
      </c>
      <c r="N16" s="139">
        <v>9.1999999999999998E-2</v>
      </c>
      <c r="O16" s="139">
        <v>8.4000000000000005E-2</v>
      </c>
      <c r="P16" s="139">
        <v>7.8E-2</v>
      </c>
      <c r="Q16" s="139">
        <f t="shared" si="0"/>
        <v>0.99999999999999967</v>
      </c>
    </row>
    <row r="17" spans="1:17" x14ac:dyDescent="0.2">
      <c r="A17" s="33"/>
      <c r="B17" s="31">
        <v>22222</v>
      </c>
      <c r="C17" s="254"/>
      <c r="D17" s="42" t="s">
        <v>586</v>
      </c>
      <c r="E17" s="139">
        <v>7.0999999999999994E-2</v>
      </c>
      <c r="F17" s="139">
        <v>7.3999999999999996E-2</v>
      </c>
      <c r="G17" s="139">
        <v>0.08</v>
      </c>
      <c r="H17" s="139">
        <v>8.5999999999999993E-2</v>
      </c>
      <c r="I17" s="139">
        <v>0.09</v>
      </c>
      <c r="J17" s="139">
        <v>8.7999999999999995E-2</v>
      </c>
      <c r="K17" s="139">
        <v>8.6999999999999994E-2</v>
      </c>
      <c r="L17" s="139">
        <v>0.08</v>
      </c>
      <c r="M17" s="139">
        <v>0.09</v>
      </c>
      <c r="N17" s="139">
        <v>9.1999999999999998E-2</v>
      </c>
      <c r="O17" s="139">
        <v>8.4000000000000005E-2</v>
      </c>
      <c r="P17" s="139">
        <v>7.8E-2</v>
      </c>
      <c r="Q17" s="139">
        <f t="shared" si="0"/>
        <v>0.99999999999999967</v>
      </c>
    </row>
    <row r="18" spans="1:17" x14ac:dyDescent="0.2">
      <c r="A18" s="33"/>
      <c r="B18" s="31">
        <v>13068</v>
      </c>
      <c r="C18" s="4" t="s">
        <v>21</v>
      </c>
      <c r="D18" s="41" t="s">
        <v>113</v>
      </c>
      <c r="E18" s="139">
        <v>6.5000000000000002E-2</v>
      </c>
      <c r="F18" s="139">
        <v>7.6999999999999999E-2</v>
      </c>
      <c r="G18" s="139">
        <v>0.08</v>
      </c>
      <c r="H18" s="139">
        <v>8.4000000000000005E-2</v>
      </c>
      <c r="I18" s="139">
        <v>0.09</v>
      </c>
      <c r="J18" s="139">
        <v>8.7999999999999995E-2</v>
      </c>
      <c r="K18" s="139">
        <v>8.4000000000000005E-2</v>
      </c>
      <c r="L18" s="139">
        <v>8.1000000000000003E-2</v>
      </c>
      <c r="M18" s="139">
        <v>9.4E-2</v>
      </c>
      <c r="N18" s="139">
        <v>9.6000000000000002E-2</v>
      </c>
      <c r="O18" s="139">
        <v>8.5999999999999993E-2</v>
      </c>
      <c r="P18" s="139">
        <v>7.4999999999999997E-2</v>
      </c>
      <c r="Q18" s="139">
        <f t="shared" si="0"/>
        <v>0.99999999999999978</v>
      </c>
    </row>
    <row r="19" spans="1:17" x14ac:dyDescent="0.2">
      <c r="A19" s="33"/>
      <c r="B19" s="31">
        <v>13067</v>
      </c>
      <c r="C19" s="6"/>
      <c r="D19" s="41" t="s">
        <v>114</v>
      </c>
      <c r="E19" s="139">
        <v>6.5000000000000002E-2</v>
      </c>
      <c r="F19" s="139">
        <v>7.6999999999999999E-2</v>
      </c>
      <c r="G19" s="139">
        <v>0.08</v>
      </c>
      <c r="H19" s="139">
        <v>8.4000000000000005E-2</v>
      </c>
      <c r="I19" s="139">
        <v>0.09</v>
      </c>
      <c r="J19" s="139">
        <v>8.7999999999999995E-2</v>
      </c>
      <c r="K19" s="139">
        <v>8.4000000000000005E-2</v>
      </c>
      <c r="L19" s="139">
        <v>8.1000000000000003E-2</v>
      </c>
      <c r="M19" s="139">
        <v>9.4E-2</v>
      </c>
      <c r="N19" s="139">
        <v>9.6000000000000002E-2</v>
      </c>
      <c r="O19" s="139">
        <v>8.5999999999999993E-2</v>
      </c>
      <c r="P19" s="139">
        <v>7.4999999999999997E-2</v>
      </c>
      <c r="Q19" s="139">
        <f t="shared" si="0"/>
        <v>0.99999999999999978</v>
      </c>
    </row>
    <row r="20" spans="1:17" x14ac:dyDescent="0.2">
      <c r="A20" s="33"/>
      <c r="B20" s="31">
        <v>13146</v>
      </c>
      <c r="C20" s="6"/>
      <c r="D20" s="41" t="s">
        <v>24</v>
      </c>
      <c r="E20" s="139">
        <v>6.5000000000000002E-2</v>
      </c>
      <c r="F20" s="139">
        <v>7.6999999999999999E-2</v>
      </c>
      <c r="G20" s="139">
        <v>0.08</v>
      </c>
      <c r="H20" s="139">
        <v>8.4000000000000005E-2</v>
      </c>
      <c r="I20" s="139">
        <v>0.09</v>
      </c>
      <c r="J20" s="139">
        <v>8.7999999999999995E-2</v>
      </c>
      <c r="K20" s="139">
        <v>8.4000000000000005E-2</v>
      </c>
      <c r="L20" s="139">
        <v>8.1000000000000003E-2</v>
      </c>
      <c r="M20" s="139">
        <v>9.4E-2</v>
      </c>
      <c r="N20" s="139">
        <v>9.6000000000000002E-2</v>
      </c>
      <c r="O20" s="139">
        <v>8.5999999999999993E-2</v>
      </c>
      <c r="P20" s="139">
        <v>7.4999999999999997E-2</v>
      </c>
      <c r="Q20" s="139">
        <f t="shared" si="0"/>
        <v>0.99999999999999978</v>
      </c>
    </row>
    <row r="21" spans="1:17" x14ac:dyDescent="0.2">
      <c r="A21" s="33"/>
      <c r="B21" s="31">
        <v>13054</v>
      </c>
      <c r="C21" s="8"/>
      <c r="D21" s="41" t="s">
        <v>115</v>
      </c>
      <c r="E21" s="139">
        <v>6.5000000000000002E-2</v>
      </c>
      <c r="F21" s="139">
        <v>7.6999999999999999E-2</v>
      </c>
      <c r="G21" s="139">
        <v>0.08</v>
      </c>
      <c r="H21" s="139">
        <v>8.4000000000000005E-2</v>
      </c>
      <c r="I21" s="139">
        <v>0.09</v>
      </c>
      <c r="J21" s="139">
        <v>8.7999999999999995E-2</v>
      </c>
      <c r="K21" s="139">
        <v>8.4000000000000005E-2</v>
      </c>
      <c r="L21" s="139">
        <v>8.1000000000000003E-2</v>
      </c>
      <c r="M21" s="139">
        <v>9.4E-2</v>
      </c>
      <c r="N21" s="139">
        <v>9.6000000000000002E-2</v>
      </c>
      <c r="O21" s="139">
        <v>8.5999999999999993E-2</v>
      </c>
      <c r="P21" s="139">
        <v>7.4999999999999997E-2</v>
      </c>
      <c r="Q21" s="139">
        <f t="shared" si="0"/>
        <v>0.99999999999999978</v>
      </c>
    </row>
    <row r="22" spans="1:17" x14ac:dyDescent="0.2">
      <c r="A22" s="33"/>
      <c r="B22" s="31">
        <v>13137</v>
      </c>
      <c r="C22" s="16" t="s">
        <v>29</v>
      </c>
      <c r="D22" s="41" t="s">
        <v>116</v>
      </c>
      <c r="E22" s="139">
        <v>6.5000000000000002E-2</v>
      </c>
      <c r="F22" s="139">
        <v>7.6999999999999999E-2</v>
      </c>
      <c r="G22" s="139">
        <v>0.08</v>
      </c>
      <c r="H22" s="139">
        <v>8.4000000000000005E-2</v>
      </c>
      <c r="I22" s="139">
        <v>0.09</v>
      </c>
      <c r="J22" s="139">
        <v>8.7999999999999995E-2</v>
      </c>
      <c r="K22" s="139">
        <v>8.4000000000000005E-2</v>
      </c>
      <c r="L22" s="139">
        <v>8.1000000000000003E-2</v>
      </c>
      <c r="M22" s="139">
        <v>9.4E-2</v>
      </c>
      <c r="N22" s="139">
        <v>9.6000000000000002E-2</v>
      </c>
      <c r="O22" s="139">
        <v>8.5999999999999993E-2</v>
      </c>
      <c r="P22" s="139">
        <v>7.4999999999999997E-2</v>
      </c>
      <c r="Q22" s="139">
        <f t="shared" si="0"/>
        <v>0.99999999999999978</v>
      </c>
    </row>
    <row r="23" spans="1:17" x14ac:dyDescent="0.2">
      <c r="A23" s="33"/>
      <c r="B23" s="31">
        <v>13138</v>
      </c>
      <c r="C23" s="16"/>
      <c r="D23" s="41" t="s">
        <v>117</v>
      </c>
      <c r="E23" s="139">
        <v>6.5000000000000002E-2</v>
      </c>
      <c r="F23" s="139">
        <v>7.6999999999999999E-2</v>
      </c>
      <c r="G23" s="139">
        <v>0.08</v>
      </c>
      <c r="H23" s="139">
        <v>8.4000000000000005E-2</v>
      </c>
      <c r="I23" s="139">
        <v>0.09</v>
      </c>
      <c r="J23" s="139">
        <v>8.7999999999999995E-2</v>
      </c>
      <c r="K23" s="139">
        <v>8.4000000000000005E-2</v>
      </c>
      <c r="L23" s="139">
        <v>8.1000000000000003E-2</v>
      </c>
      <c r="M23" s="139">
        <v>9.4E-2</v>
      </c>
      <c r="N23" s="139">
        <v>9.6000000000000002E-2</v>
      </c>
      <c r="O23" s="139">
        <v>8.5999999999999993E-2</v>
      </c>
      <c r="P23" s="139">
        <v>7.4999999999999997E-2</v>
      </c>
      <c r="Q23" s="139">
        <f t="shared" si="0"/>
        <v>0.99999999999999978</v>
      </c>
    </row>
    <row r="24" spans="1:17" x14ac:dyDescent="0.2">
      <c r="A24" s="33"/>
      <c r="B24" s="31">
        <v>15514</v>
      </c>
      <c r="C24" s="4" t="s">
        <v>33</v>
      </c>
      <c r="D24" s="255" t="s">
        <v>34</v>
      </c>
      <c r="E24" s="139">
        <v>7.0999999999999994E-2</v>
      </c>
      <c r="F24" s="139">
        <v>7.3999999999999996E-2</v>
      </c>
      <c r="G24" s="139">
        <v>0.08</v>
      </c>
      <c r="H24" s="139">
        <v>8.5999999999999993E-2</v>
      </c>
      <c r="I24" s="139">
        <v>0.09</v>
      </c>
      <c r="J24" s="139">
        <v>8.7999999999999995E-2</v>
      </c>
      <c r="K24" s="139">
        <v>8.6999999999999994E-2</v>
      </c>
      <c r="L24" s="139">
        <v>0.08</v>
      </c>
      <c r="M24" s="139">
        <v>0.09</v>
      </c>
      <c r="N24" s="139">
        <v>9.1999999999999998E-2</v>
      </c>
      <c r="O24" s="139">
        <v>8.4000000000000005E-2</v>
      </c>
      <c r="P24" s="139">
        <v>7.8E-2</v>
      </c>
      <c r="Q24" s="139">
        <f t="shared" si="0"/>
        <v>0.99999999999999967</v>
      </c>
    </row>
    <row r="25" spans="1:17" x14ac:dyDescent="0.2">
      <c r="A25" s="33"/>
      <c r="B25" s="31">
        <v>15524</v>
      </c>
      <c r="C25" s="8"/>
      <c r="D25" s="255" t="s">
        <v>35</v>
      </c>
      <c r="E25" s="139">
        <v>7.0999999999999994E-2</v>
      </c>
      <c r="F25" s="139">
        <v>7.3999999999999996E-2</v>
      </c>
      <c r="G25" s="139">
        <v>0.08</v>
      </c>
      <c r="H25" s="139">
        <v>8.5999999999999993E-2</v>
      </c>
      <c r="I25" s="139">
        <v>0.09</v>
      </c>
      <c r="J25" s="139">
        <v>8.7999999999999995E-2</v>
      </c>
      <c r="K25" s="139">
        <v>8.6999999999999994E-2</v>
      </c>
      <c r="L25" s="139">
        <v>0.08</v>
      </c>
      <c r="M25" s="139">
        <v>0.09</v>
      </c>
      <c r="N25" s="139">
        <v>9.1999999999999998E-2</v>
      </c>
      <c r="O25" s="139">
        <v>8.4000000000000005E-2</v>
      </c>
      <c r="P25" s="139">
        <v>7.8E-2</v>
      </c>
      <c r="Q25" s="139">
        <f t="shared" si="0"/>
        <v>0.99999999999999967</v>
      </c>
    </row>
    <row r="26" spans="1:17" x14ac:dyDescent="0.2">
      <c r="A26" s="33"/>
      <c r="B26" s="31">
        <v>13122</v>
      </c>
      <c r="C26" s="18" t="s">
        <v>36</v>
      </c>
      <c r="D26" s="255" t="s">
        <v>118</v>
      </c>
      <c r="E26" s="139">
        <v>7.0999999999999994E-2</v>
      </c>
      <c r="F26" s="139">
        <v>7.3999999999999996E-2</v>
      </c>
      <c r="G26" s="139">
        <v>0.08</v>
      </c>
      <c r="H26" s="139">
        <v>8.5999999999999993E-2</v>
      </c>
      <c r="I26" s="139">
        <v>0.09</v>
      </c>
      <c r="J26" s="139">
        <v>8.7999999999999995E-2</v>
      </c>
      <c r="K26" s="139">
        <v>8.6999999999999994E-2</v>
      </c>
      <c r="L26" s="139">
        <v>0.08</v>
      </c>
      <c r="M26" s="139">
        <v>0.09</v>
      </c>
      <c r="N26" s="139">
        <v>9.1999999999999998E-2</v>
      </c>
      <c r="O26" s="139">
        <v>8.4000000000000005E-2</v>
      </c>
      <c r="P26" s="139">
        <v>7.8E-2</v>
      </c>
      <c r="Q26" s="139">
        <f t="shared" si="0"/>
        <v>0.99999999999999967</v>
      </c>
    </row>
    <row r="27" spans="1:17" x14ac:dyDescent="0.2">
      <c r="A27" s="33"/>
      <c r="B27" s="32">
        <v>13158</v>
      </c>
      <c r="C27" s="18"/>
      <c r="D27" s="255" t="s">
        <v>552</v>
      </c>
      <c r="E27" s="139">
        <v>7.0999999999999994E-2</v>
      </c>
      <c r="F27" s="139">
        <v>7.3999999999999996E-2</v>
      </c>
      <c r="G27" s="139">
        <v>0.08</v>
      </c>
      <c r="H27" s="139">
        <v>8.5999999999999993E-2</v>
      </c>
      <c r="I27" s="139">
        <v>0.09</v>
      </c>
      <c r="J27" s="139">
        <v>8.7999999999999995E-2</v>
      </c>
      <c r="K27" s="139">
        <v>8.6999999999999994E-2</v>
      </c>
      <c r="L27" s="139">
        <v>0.08</v>
      </c>
      <c r="M27" s="139">
        <v>0.09</v>
      </c>
      <c r="N27" s="139">
        <v>9.1999999999999998E-2</v>
      </c>
      <c r="O27" s="139">
        <v>8.4000000000000005E-2</v>
      </c>
      <c r="P27" s="139">
        <v>7.8E-2</v>
      </c>
      <c r="Q27" s="139">
        <f t="shared" si="0"/>
        <v>0.99999999999999967</v>
      </c>
    </row>
    <row r="28" spans="1:17" x14ac:dyDescent="0.2">
      <c r="A28" s="33"/>
      <c r="B28" s="31">
        <v>13110</v>
      </c>
      <c r="C28" s="19" t="s">
        <v>38</v>
      </c>
      <c r="D28" s="41" t="s">
        <v>39</v>
      </c>
      <c r="E28" s="139">
        <v>7.0999999999999994E-2</v>
      </c>
      <c r="F28" s="139">
        <v>7.3999999999999996E-2</v>
      </c>
      <c r="G28" s="139">
        <v>0.08</v>
      </c>
      <c r="H28" s="139">
        <v>8.5999999999999993E-2</v>
      </c>
      <c r="I28" s="139">
        <v>0.09</v>
      </c>
      <c r="J28" s="139">
        <v>8.7999999999999995E-2</v>
      </c>
      <c r="K28" s="139">
        <v>8.6999999999999994E-2</v>
      </c>
      <c r="L28" s="139">
        <v>0.08</v>
      </c>
      <c r="M28" s="139">
        <v>0.09</v>
      </c>
      <c r="N28" s="139">
        <v>9.1999999999999998E-2</v>
      </c>
      <c r="O28" s="139">
        <v>8.4000000000000005E-2</v>
      </c>
      <c r="P28" s="139">
        <v>7.8E-2</v>
      </c>
      <c r="Q28" s="139">
        <f t="shared" si="0"/>
        <v>0.99999999999999967</v>
      </c>
    </row>
    <row r="29" spans="1:17" x14ac:dyDescent="0.2">
      <c r="A29" s="33"/>
      <c r="B29" s="31">
        <v>13074</v>
      </c>
      <c r="C29" s="20" t="s">
        <v>40</v>
      </c>
      <c r="D29" s="41" t="s">
        <v>41</v>
      </c>
      <c r="E29" s="139">
        <v>6.5000000000000002E-2</v>
      </c>
      <c r="F29" s="139">
        <v>7.6999999999999999E-2</v>
      </c>
      <c r="G29" s="139">
        <v>0.08</v>
      </c>
      <c r="H29" s="139">
        <v>8.4000000000000005E-2</v>
      </c>
      <c r="I29" s="139">
        <v>0.09</v>
      </c>
      <c r="J29" s="139">
        <v>8.7999999999999995E-2</v>
      </c>
      <c r="K29" s="139">
        <v>8.4000000000000005E-2</v>
      </c>
      <c r="L29" s="139">
        <v>8.1000000000000003E-2</v>
      </c>
      <c r="M29" s="139">
        <v>9.4E-2</v>
      </c>
      <c r="N29" s="139">
        <v>9.6000000000000002E-2</v>
      </c>
      <c r="O29" s="139">
        <v>8.5999999999999993E-2</v>
      </c>
      <c r="P29" s="139">
        <v>7.4999999999999997E-2</v>
      </c>
      <c r="Q29" s="139">
        <f t="shared" si="0"/>
        <v>0.99999999999999978</v>
      </c>
    </row>
    <row r="30" spans="1:17" x14ac:dyDescent="0.2">
      <c r="A30" s="33"/>
      <c r="B30" s="31">
        <v>13072</v>
      </c>
      <c r="C30" s="20"/>
      <c r="D30" s="41" t="s">
        <v>42</v>
      </c>
      <c r="E30" s="139">
        <v>6.5000000000000002E-2</v>
      </c>
      <c r="F30" s="139">
        <v>7.6999999999999999E-2</v>
      </c>
      <c r="G30" s="139">
        <v>0.08</v>
      </c>
      <c r="H30" s="139">
        <v>8.4000000000000005E-2</v>
      </c>
      <c r="I30" s="139">
        <v>0.09</v>
      </c>
      <c r="J30" s="139">
        <v>8.7999999999999995E-2</v>
      </c>
      <c r="K30" s="139">
        <v>8.4000000000000005E-2</v>
      </c>
      <c r="L30" s="139">
        <v>8.1000000000000003E-2</v>
      </c>
      <c r="M30" s="139">
        <v>9.4E-2</v>
      </c>
      <c r="N30" s="139">
        <v>9.6000000000000002E-2</v>
      </c>
      <c r="O30" s="139">
        <v>8.5999999999999993E-2</v>
      </c>
      <c r="P30" s="139">
        <v>7.4999999999999997E-2</v>
      </c>
      <c r="Q30" s="139">
        <f t="shared" si="0"/>
        <v>0.99999999999999978</v>
      </c>
    </row>
    <row r="31" spans="1:17" x14ac:dyDescent="0.2">
      <c r="A31" s="33"/>
      <c r="B31" s="31">
        <v>13071</v>
      </c>
      <c r="C31" s="21"/>
      <c r="D31" s="41" t="s">
        <v>43</v>
      </c>
      <c r="E31" s="139">
        <v>6.5000000000000002E-2</v>
      </c>
      <c r="F31" s="139">
        <v>7.6999999999999999E-2</v>
      </c>
      <c r="G31" s="139">
        <v>0.08</v>
      </c>
      <c r="H31" s="139">
        <v>8.4000000000000005E-2</v>
      </c>
      <c r="I31" s="139">
        <v>0.09</v>
      </c>
      <c r="J31" s="139">
        <v>8.7999999999999995E-2</v>
      </c>
      <c r="K31" s="139">
        <v>8.4000000000000005E-2</v>
      </c>
      <c r="L31" s="139">
        <v>8.1000000000000003E-2</v>
      </c>
      <c r="M31" s="139">
        <v>9.4E-2</v>
      </c>
      <c r="N31" s="139">
        <v>9.6000000000000002E-2</v>
      </c>
      <c r="O31" s="139">
        <v>8.5999999999999993E-2</v>
      </c>
      <c r="P31" s="139">
        <v>7.4999999999999997E-2</v>
      </c>
      <c r="Q31" s="139">
        <f t="shared" si="0"/>
        <v>0.99999999999999978</v>
      </c>
    </row>
    <row r="32" spans="1:17" x14ac:dyDescent="0.2">
      <c r="A32" s="33"/>
      <c r="B32" s="31">
        <v>13082</v>
      </c>
      <c r="C32" s="12" t="s">
        <v>44</v>
      </c>
      <c r="D32" s="41" t="s">
        <v>119</v>
      </c>
      <c r="E32" s="139">
        <v>6.5000000000000002E-2</v>
      </c>
      <c r="F32" s="139">
        <v>7.6999999999999999E-2</v>
      </c>
      <c r="G32" s="139">
        <v>0.08</v>
      </c>
      <c r="H32" s="139">
        <v>8.4000000000000005E-2</v>
      </c>
      <c r="I32" s="139">
        <v>0.09</v>
      </c>
      <c r="J32" s="139">
        <v>8.7999999999999995E-2</v>
      </c>
      <c r="K32" s="139">
        <v>8.4000000000000005E-2</v>
      </c>
      <c r="L32" s="139">
        <v>8.1000000000000003E-2</v>
      </c>
      <c r="M32" s="139">
        <v>9.4E-2</v>
      </c>
      <c r="N32" s="139">
        <v>9.6000000000000002E-2</v>
      </c>
      <c r="O32" s="139">
        <v>8.5999999999999993E-2</v>
      </c>
      <c r="P32" s="139">
        <v>7.4999999999999997E-2</v>
      </c>
      <c r="Q32" s="139">
        <f t="shared" si="0"/>
        <v>0.99999999999999978</v>
      </c>
    </row>
    <row r="33" spans="1:17" x14ac:dyDescent="0.2">
      <c r="A33" s="33"/>
      <c r="B33" s="31">
        <v>13040</v>
      </c>
      <c r="C33" s="9" t="s">
        <v>47</v>
      </c>
      <c r="D33" s="41" t="s">
        <v>48</v>
      </c>
      <c r="E33" s="139">
        <v>6.5000000000000002E-2</v>
      </c>
      <c r="F33" s="139">
        <v>7.6999999999999999E-2</v>
      </c>
      <c r="G33" s="139">
        <v>0.08</v>
      </c>
      <c r="H33" s="139">
        <v>8.4000000000000005E-2</v>
      </c>
      <c r="I33" s="139">
        <v>0.09</v>
      </c>
      <c r="J33" s="139">
        <v>8.7999999999999995E-2</v>
      </c>
      <c r="K33" s="139">
        <v>8.4000000000000005E-2</v>
      </c>
      <c r="L33" s="139">
        <v>8.1000000000000003E-2</v>
      </c>
      <c r="M33" s="139">
        <v>9.4E-2</v>
      </c>
      <c r="N33" s="139">
        <v>9.6000000000000002E-2</v>
      </c>
      <c r="O33" s="139">
        <v>8.5999999999999993E-2</v>
      </c>
      <c r="P33" s="139">
        <v>7.4999999999999997E-2</v>
      </c>
      <c r="Q33" s="139">
        <f t="shared" si="0"/>
        <v>0.99999999999999978</v>
      </c>
    </row>
    <row r="34" spans="1:17" x14ac:dyDescent="0.2">
      <c r="A34" s="33"/>
      <c r="B34" s="31">
        <v>13066</v>
      </c>
      <c r="C34" s="20"/>
      <c r="D34" s="41" t="s">
        <v>148</v>
      </c>
      <c r="E34" s="139">
        <v>6.5000000000000002E-2</v>
      </c>
      <c r="F34" s="139">
        <v>7.6999999999999999E-2</v>
      </c>
      <c r="G34" s="139">
        <v>0.08</v>
      </c>
      <c r="H34" s="139">
        <v>8.4000000000000005E-2</v>
      </c>
      <c r="I34" s="139">
        <v>0.09</v>
      </c>
      <c r="J34" s="139">
        <v>8.7999999999999995E-2</v>
      </c>
      <c r="K34" s="139">
        <v>8.4000000000000005E-2</v>
      </c>
      <c r="L34" s="139">
        <v>8.1000000000000003E-2</v>
      </c>
      <c r="M34" s="139">
        <v>9.4E-2</v>
      </c>
      <c r="N34" s="139">
        <v>9.6000000000000002E-2</v>
      </c>
      <c r="O34" s="139">
        <v>8.5999999999999993E-2</v>
      </c>
      <c r="P34" s="139">
        <v>7.4999999999999997E-2</v>
      </c>
      <c r="Q34" s="139">
        <f t="shared" si="0"/>
        <v>0.99999999999999978</v>
      </c>
    </row>
    <row r="35" spans="1:17" x14ac:dyDescent="0.2">
      <c r="A35" s="33"/>
      <c r="B35" s="31">
        <v>13140</v>
      </c>
      <c r="C35" s="19" t="s">
        <v>54</v>
      </c>
      <c r="D35" s="41" t="s">
        <v>120</v>
      </c>
      <c r="E35" s="139">
        <v>6.5000000000000002E-2</v>
      </c>
      <c r="F35" s="139">
        <v>7.6999999999999999E-2</v>
      </c>
      <c r="G35" s="139">
        <v>0.08</v>
      </c>
      <c r="H35" s="139">
        <v>8.4000000000000005E-2</v>
      </c>
      <c r="I35" s="139">
        <v>0.09</v>
      </c>
      <c r="J35" s="139">
        <v>8.7999999999999995E-2</v>
      </c>
      <c r="K35" s="139">
        <v>8.4000000000000005E-2</v>
      </c>
      <c r="L35" s="139">
        <v>8.1000000000000003E-2</v>
      </c>
      <c r="M35" s="139">
        <v>9.4E-2</v>
      </c>
      <c r="N35" s="139">
        <v>9.6000000000000002E-2</v>
      </c>
      <c r="O35" s="139">
        <v>8.5999999999999993E-2</v>
      </c>
      <c r="P35" s="139">
        <v>7.4999999999999997E-2</v>
      </c>
      <c r="Q35" s="139">
        <f t="shared" si="0"/>
        <v>0.99999999999999978</v>
      </c>
    </row>
    <row r="36" spans="1:17" x14ac:dyDescent="0.2">
      <c r="A36" s="33"/>
      <c r="B36" s="260">
        <v>13112</v>
      </c>
      <c r="C36" s="4" t="s">
        <v>56</v>
      </c>
      <c r="D36" s="42" t="s">
        <v>57</v>
      </c>
      <c r="E36" s="139">
        <v>7.0999999999999994E-2</v>
      </c>
      <c r="F36" s="139">
        <v>7.3999999999999996E-2</v>
      </c>
      <c r="G36" s="139">
        <v>0.08</v>
      </c>
      <c r="H36" s="139">
        <v>8.5999999999999993E-2</v>
      </c>
      <c r="I36" s="139">
        <v>0.09</v>
      </c>
      <c r="J36" s="139">
        <v>8.7999999999999995E-2</v>
      </c>
      <c r="K36" s="139">
        <v>8.6999999999999994E-2</v>
      </c>
      <c r="L36" s="139">
        <v>0.08</v>
      </c>
      <c r="M36" s="139">
        <v>0.09</v>
      </c>
      <c r="N36" s="139">
        <v>9.1999999999999998E-2</v>
      </c>
      <c r="O36" s="139">
        <v>8.4000000000000005E-2</v>
      </c>
      <c r="P36" s="139">
        <v>7.8E-2</v>
      </c>
      <c r="Q36" s="139">
        <f t="shared" si="0"/>
        <v>0.99999999999999967</v>
      </c>
    </row>
    <row r="37" spans="1:17" x14ac:dyDescent="0.2">
      <c r="A37" s="33"/>
      <c r="B37" s="260">
        <v>44444</v>
      </c>
      <c r="C37" s="8"/>
      <c r="D37" s="42" t="s">
        <v>585</v>
      </c>
      <c r="E37" s="139">
        <v>7.0999999999999994E-2</v>
      </c>
      <c r="F37" s="139">
        <v>7.3999999999999996E-2</v>
      </c>
      <c r="G37" s="139">
        <v>0.08</v>
      </c>
      <c r="H37" s="139">
        <v>8.5999999999999993E-2</v>
      </c>
      <c r="I37" s="139">
        <v>0.09</v>
      </c>
      <c r="J37" s="139">
        <v>8.7999999999999995E-2</v>
      </c>
      <c r="K37" s="139">
        <v>8.6999999999999994E-2</v>
      </c>
      <c r="L37" s="139">
        <v>0.08</v>
      </c>
      <c r="M37" s="139">
        <v>0.09</v>
      </c>
      <c r="N37" s="139">
        <v>9.1999999999999998E-2</v>
      </c>
      <c r="O37" s="139">
        <v>8.4000000000000005E-2</v>
      </c>
      <c r="P37" s="139">
        <v>7.8E-2</v>
      </c>
      <c r="Q37" s="139">
        <f t="shared" si="0"/>
        <v>0.99999999999999967</v>
      </c>
    </row>
    <row r="38" spans="1:17" x14ac:dyDescent="0.2">
      <c r="A38" s="33"/>
      <c r="B38" s="31">
        <v>13081</v>
      </c>
      <c r="C38" s="15" t="s">
        <v>58</v>
      </c>
      <c r="D38" s="41" t="s">
        <v>121</v>
      </c>
      <c r="E38" s="139">
        <v>7.0999999999999994E-2</v>
      </c>
      <c r="F38" s="139">
        <v>7.3999999999999996E-2</v>
      </c>
      <c r="G38" s="139">
        <v>0.08</v>
      </c>
      <c r="H38" s="139">
        <v>8.5999999999999993E-2</v>
      </c>
      <c r="I38" s="139">
        <v>0.09</v>
      </c>
      <c r="J38" s="139">
        <v>8.7999999999999995E-2</v>
      </c>
      <c r="K38" s="139">
        <v>8.6999999999999994E-2</v>
      </c>
      <c r="L38" s="139">
        <v>0.08</v>
      </c>
      <c r="M38" s="139">
        <v>0.09</v>
      </c>
      <c r="N38" s="139">
        <v>9.1999999999999998E-2</v>
      </c>
      <c r="O38" s="139">
        <v>8.4000000000000005E-2</v>
      </c>
      <c r="P38" s="139">
        <v>7.8E-2</v>
      </c>
      <c r="Q38" s="139">
        <f t="shared" si="0"/>
        <v>0.99999999999999967</v>
      </c>
    </row>
    <row r="39" spans="1:17" x14ac:dyDescent="0.2">
      <c r="A39" s="33"/>
      <c r="B39" s="31">
        <v>13139</v>
      </c>
      <c r="C39" s="24" t="s">
        <v>60</v>
      </c>
      <c r="D39" s="41" t="s">
        <v>122</v>
      </c>
      <c r="E39" s="139">
        <v>6.5000000000000002E-2</v>
      </c>
      <c r="F39" s="139">
        <v>7.6999999999999999E-2</v>
      </c>
      <c r="G39" s="139">
        <v>0.08</v>
      </c>
      <c r="H39" s="139">
        <v>8.4000000000000005E-2</v>
      </c>
      <c r="I39" s="139">
        <v>0.09</v>
      </c>
      <c r="J39" s="139">
        <v>8.7999999999999995E-2</v>
      </c>
      <c r="K39" s="139">
        <v>8.4000000000000005E-2</v>
      </c>
      <c r="L39" s="139">
        <v>8.1000000000000003E-2</v>
      </c>
      <c r="M39" s="139">
        <v>9.4E-2</v>
      </c>
      <c r="N39" s="139">
        <v>9.6000000000000002E-2</v>
      </c>
      <c r="O39" s="139">
        <v>8.5999999999999993E-2</v>
      </c>
      <c r="P39" s="139">
        <v>7.4999999999999997E-2</v>
      </c>
      <c r="Q39" s="139">
        <f t="shared" si="0"/>
        <v>0.99999999999999978</v>
      </c>
    </row>
    <row r="40" spans="1:17" x14ac:dyDescent="0.2">
      <c r="A40" s="33"/>
      <c r="B40" s="31">
        <v>13051</v>
      </c>
      <c r="C40" s="25" t="s">
        <v>62</v>
      </c>
      <c r="D40" s="41" t="s">
        <v>63</v>
      </c>
      <c r="E40" s="139">
        <v>7.0999999999999994E-2</v>
      </c>
      <c r="F40" s="139">
        <v>7.3999999999999996E-2</v>
      </c>
      <c r="G40" s="139">
        <v>0.08</v>
      </c>
      <c r="H40" s="139">
        <v>8.5999999999999993E-2</v>
      </c>
      <c r="I40" s="139">
        <v>0.09</v>
      </c>
      <c r="J40" s="139">
        <v>8.7999999999999995E-2</v>
      </c>
      <c r="K40" s="139">
        <v>8.6999999999999994E-2</v>
      </c>
      <c r="L40" s="139">
        <v>0.08</v>
      </c>
      <c r="M40" s="139">
        <v>0.09</v>
      </c>
      <c r="N40" s="139">
        <v>9.1999999999999998E-2</v>
      </c>
      <c r="O40" s="139">
        <v>8.4000000000000005E-2</v>
      </c>
      <c r="P40" s="139">
        <v>7.8E-2</v>
      </c>
      <c r="Q40" s="139">
        <f t="shared" si="0"/>
        <v>0.99999999999999967</v>
      </c>
    </row>
    <row r="41" spans="1:17" x14ac:dyDescent="0.2">
      <c r="A41" s="33"/>
      <c r="B41" s="31">
        <v>13069</v>
      </c>
      <c r="C41" s="19" t="s">
        <v>64</v>
      </c>
      <c r="D41" s="44" t="s">
        <v>65</v>
      </c>
      <c r="E41" s="139">
        <v>6.5000000000000002E-2</v>
      </c>
      <c r="F41" s="139">
        <v>7.6999999999999999E-2</v>
      </c>
      <c r="G41" s="139">
        <v>0.08</v>
      </c>
      <c r="H41" s="139">
        <v>8.4000000000000005E-2</v>
      </c>
      <c r="I41" s="139">
        <v>0.09</v>
      </c>
      <c r="J41" s="139">
        <v>8.7999999999999995E-2</v>
      </c>
      <c r="K41" s="139">
        <v>8.4000000000000005E-2</v>
      </c>
      <c r="L41" s="139">
        <v>8.1000000000000003E-2</v>
      </c>
      <c r="M41" s="139">
        <v>9.4E-2</v>
      </c>
      <c r="N41" s="139">
        <v>9.6000000000000002E-2</v>
      </c>
      <c r="O41" s="139">
        <v>8.5999999999999993E-2</v>
      </c>
      <c r="P41" s="139">
        <v>7.4999999999999997E-2</v>
      </c>
      <c r="Q41" s="139">
        <f t="shared" si="0"/>
        <v>0.99999999999999978</v>
      </c>
    </row>
    <row r="42" spans="1:17" x14ac:dyDescent="0.2">
      <c r="A42" s="33"/>
      <c r="B42" s="31">
        <v>77777</v>
      </c>
      <c r="C42" s="4" t="s">
        <v>583</v>
      </c>
      <c r="D42" s="292" t="s">
        <v>578</v>
      </c>
      <c r="E42" s="139">
        <v>7.0999999999999994E-2</v>
      </c>
      <c r="F42" s="139">
        <v>7.3999999999999996E-2</v>
      </c>
      <c r="G42" s="139">
        <v>0.08</v>
      </c>
      <c r="H42" s="139">
        <v>8.5999999999999993E-2</v>
      </c>
      <c r="I42" s="139">
        <v>0.09</v>
      </c>
      <c r="J42" s="139">
        <v>8.7999999999999995E-2</v>
      </c>
      <c r="K42" s="139">
        <v>8.6999999999999994E-2</v>
      </c>
      <c r="L42" s="139">
        <v>0.08</v>
      </c>
      <c r="M42" s="139">
        <v>0.09</v>
      </c>
      <c r="N42" s="139">
        <v>9.1999999999999998E-2</v>
      </c>
      <c r="O42" s="139">
        <v>8.4000000000000005E-2</v>
      </c>
      <c r="P42" s="139">
        <v>7.8E-2</v>
      </c>
      <c r="Q42" s="139">
        <f t="shared" si="0"/>
        <v>0.99999999999999967</v>
      </c>
    </row>
    <row r="43" spans="1:17" x14ac:dyDescent="0.2">
      <c r="A43" s="33"/>
      <c r="B43" s="31">
        <v>88888</v>
      </c>
      <c r="C43" s="6"/>
      <c r="D43" s="292" t="s">
        <v>576</v>
      </c>
      <c r="E43" s="139">
        <v>7.0999999999999994E-2</v>
      </c>
      <c r="F43" s="139">
        <v>7.3999999999999996E-2</v>
      </c>
      <c r="G43" s="139">
        <v>0.08</v>
      </c>
      <c r="H43" s="139">
        <v>8.5999999999999993E-2</v>
      </c>
      <c r="I43" s="139">
        <v>0.09</v>
      </c>
      <c r="J43" s="139">
        <v>8.7999999999999995E-2</v>
      </c>
      <c r="K43" s="139">
        <v>8.6999999999999994E-2</v>
      </c>
      <c r="L43" s="139">
        <v>0.08</v>
      </c>
      <c r="M43" s="139">
        <v>0.09</v>
      </c>
      <c r="N43" s="139">
        <v>9.1999999999999998E-2</v>
      </c>
      <c r="O43" s="139">
        <v>8.4000000000000005E-2</v>
      </c>
      <c r="P43" s="139">
        <v>7.8E-2</v>
      </c>
      <c r="Q43" s="139">
        <f t="shared" si="0"/>
        <v>0.99999999999999967</v>
      </c>
    </row>
    <row r="44" spans="1:17" x14ac:dyDescent="0.2">
      <c r="A44" s="33"/>
      <c r="B44" s="31">
        <v>99999</v>
      </c>
      <c r="C44" s="6"/>
      <c r="D44" s="292" t="s">
        <v>579</v>
      </c>
      <c r="E44" s="139">
        <v>7.0999999999999994E-2</v>
      </c>
      <c r="F44" s="139">
        <v>7.3999999999999996E-2</v>
      </c>
      <c r="G44" s="139">
        <v>0.08</v>
      </c>
      <c r="H44" s="139">
        <v>8.5999999999999993E-2</v>
      </c>
      <c r="I44" s="139">
        <v>0.09</v>
      </c>
      <c r="J44" s="139">
        <v>8.7999999999999995E-2</v>
      </c>
      <c r="K44" s="139">
        <v>8.6999999999999994E-2</v>
      </c>
      <c r="L44" s="139">
        <v>0.08</v>
      </c>
      <c r="M44" s="139">
        <v>0.09</v>
      </c>
      <c r="N44" s="139">
        <v>9.1999999999999998E-2</v>
      </c>
      <c r="O44" s="139">
        <v>8.4000000000000005E-2</v>
      </c>
      <c r="P44" s="139">
        <v>7.8E-2</v>
      </c>
      <c r="Q44" s="139">
        <f t="shared" si="0"/>
        <v>0.99999999999999967</v>
      </c>
    </row>
    <row r="45" spans="1:17" x14ac:dyDescent="0.2">
      <c r="A45" s="33"/>
      <c r="B45" s="31">
        <v>66666</v>
      </c>
      <c r="C45" s="6"/>
      <c r="D45" s="292" t="s">
        <v>577</v>
      </c>
      <c r="E45" s="139">
        <v>7.0999999999999994E-2</v>
      </c>
      <c r="F45" s="139">
        <v>7.3999999999999996E-2</v>
      </c>
      <c r="G45" s="139">
        <v>0.08</v>
      </c>
      <c r="H45" s="139">
        <v>8.5999999999999993E-2</v>
      </c>
      <c r="I45" s="139">
        <v>0.09</v>
      </c>
      <c r="J45" s="139">
        <v>8.7999999999999995E-2</v>
      </c>
      <c r="K45" s="139">
        <v>8.6999999999999994E-2</v>
      </c>
      <c r="L45" s="139">
        <v>0.08</v>
      </c>
      <c r="M45" s="139">
        <v>0.09</v>
      </c>
      <c r="N45" s="139">
        <v>9.1999999999999998E-2</v>
      </c>
      <c r="O45" s="139">
        <v>8.4000000000000005E-2</v>
      </c>
      <c r="P45" s="139">
        <v>7.8E-2</v>
      </c>
      <c r="Q45" s="139">
        <f t="shared" si="0"/>
        <v>0.99999999999999967</v>
      </c>
    </row>
    <row r="46" spans="1:17" x14ac:dyDescent="0.2">
      <c r="A46" s="33"/>
      <c r="B46" s="260">
        <v>13160</v>
      </c>
      <c r="C46" s="4" t="s">
        <v>437</v>
      </c>
      <c r="D46" s="293" t="s">
        <v>580</v>
      </c>
      <c r="E46" s="139">
        <v>7.0999999999999994E-2</v>
      </c>
      <c r="F46" s="139">
        <v>7.3999999999999996E-2</v>
      </c>
      <c r="G46" s="139">
        <v>0.08</v>
      </c>
      <c r="H46" s="139">
        <v>8.5999999999999993E-2</v>
      </c>
      <c r="I46" s="139">
        <v>0.09</v>
      </c>
      <c r="J46" s="139">
        <v>8.7999999999999995E-2</v>
      </c>
      <c r="K46" s="139">
        <v>8.6999999999999994E-2</v>
      </c>
      <c r="L46" s="139">
        <v>0.08</v>
      </c>
      <c r="M46" s="139">
        <v>0.09</v>
      </c>
      <c r="N46" s="139">
        <v>9.1999999999999998E-2</v>
      </c>
      <c r="O46" s="139">
        <v>8.4000000000000005E-2</v>
      </c>
      <c r="P46" s="139">
        <v>7.8E-2</v>
      </c>
      <c r="Q46" s="139">
        <f t="shared" si="0"/>
        <v>0.99999999999999967</v>
      </c>
    </row>
    <row r="47" spans="1:17" x14ac:dyDescent="0.2">
      <c r="A47" s="33"/>
      <c r="B47" s="260">
        <v>13161</v>
      </c>
      <c r="C47" s="6"/>
      <c r="D47" s="293" t="s">
        <v>581</v>
      </c>
      <c r="E47" s="139">
        <v>7.0999999999999994E-2</v>
      </c>
      <c r="F47" s="139">
        <v>7.3999999999999996E-2</v>
      </c>
      <c r="G47" s="139">
        <v>0.08</v>
      </c>
      <c r="H47" s="139">
        <v>8.5999999999999993E-2</v>
      </c>
      <c r="I47" s="139">
        <v>0.09</v>
      </c>
      <c r="J47" s="139">
        <v>8.7999999999999995E-2</v>
      </c>
      <c r="K47" s="139">
        <v>8.6999999999999994E-2</v>
      </c>
      <c r="L47" s="139">
        <v>0.08</v>
      </c>
      <c r="M47" s="139">
        <v>0.09</v>
      </c>
      <c r="N47" s="139">
        <v>9.1999999999999998E-2</v>
      </c>
      <c r="O47" s="139">
        <v>8.4000000000000005E-2</v>
      </c>
      <c r="P47" s="139">
        <v>7.8E-2</v>
      </c>
      <c r="Q47" s="139">
        <f t="shared" si="0"/>
        <v>0.99999999999999967</v>
      </c>
    </row>
    <row r="48" spans="1:17" x14ac:dyDescent="0.2">
      <c r="A48" s="33"/>
      <c r="B48" s="260">
        <v>13162</v>
      </c>
      <c r="C48" s="8"/>
      <c r="D48" s="293" t="s">
        <v>582</v>
      </c>
      <c r="E48" s="139">
        <v>7.0999999999999994E-2</v>
      </c>
      <c r="F48" s="139">
        <v>7.3999999999999996E-2</v>
      </c>
      <c r="G48" s="139">
        <v>0.08</v>
      </c>
      <c r="H48" s="139">
        <v>8.5999999999999993E-2</v>
      </c>
      <c r="I48" s="139">
        <v>0.09</v>
      </c>
      <c r="J48" s="139">
        <v>8.7999999999999995E-2</v>
      </c>
      <c r="K48" s="139">
        <v>8.6999999999999994E-2</v>
      </c>
      <c r="L48" s="139">
        <v>0.08</v>
      </c>
      <c r="M48" s="139">
        <v>0.09</v>
      </c>
      <c r="N48" s="139">
        <v>9.1999999999999998E-2</v>
      </c>
      <c r="O48" s="139">
        <v>8.4000000000000005E-2</v>
      </c>
      <c r="P48" s="139">
        <v>7.8E-2</v>
      </c>
      <c r="Q48" s="139">
        <f t="shared" si="0"/>
        <v>0.99999999999999967</v>
      </c>
    </row>
    <row r="49" spans="1:17" x14ac:dyDescent="0.2">
      <c r="A49" s="33"/>
      <c r="B49" s="3"/>
      <c r="C49" s="281"/>
      <c r="D49" s="280"/>
      <c r="E49" s="27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</row>
    <row r="50" spans="1:17" x14ac:dyDescent="0.2">
      <c r="A50" s="33"/>
      <c r="B50" s="3"/>
      <c r="C50" s="281"/>
      <c r="D50" s="285" t="s">
        <v>149</v>
      </c>
      <c r="E50" s="278">
        <f t="shared" ref="E50:Q50" si="1">SUM(E4:E48)</f>
        <v>3.0450000000000008</v>
      </c>
      <c r="F50" s="58">
        <f t="shared" si="1"/>
        <v>3.404999999999998</v>
      </c>
      <c r="G50" s="58">
        <f t="shared" si="1"/>
        <v>3.6000000000000019</v>
      </c>
      <c r="H50" s="58">
        <f t="shared" si="1"/>
        <v>3.8199999999999994</v>
      </c>
      <c r="I50" s="58">
        <f t="shared" si="1"/>
        <v>4.049999999999998</v>
      </c>
      <c r="J50" s="58">
        <f t="shared" si="1"/>
        <v>3.9600000000000022</v>
      </c>
      <c r="K50" s="58">
        <f t="shared" si="1"/>
        <v>3.840000000000003</v>
      </c>
      <c r="L50" s="58">
        <f t="shared" si="1"/>
        <v>3.6250000000000004</v>
      </c>
      <c r="M50" s="58">
        <f t="shared" si="1"/>
        <v>4.1499999999999977</v>
      </c>
      <c r="N50" s="58">
        <f t="shared" si="1"/>
        <v>4.2400000000000011</v>
      </c>
      <c r="O50" s="58">
        <f t="shared" si="1"/>
        <v>3.83</v>
      </c>
      <c r="P50" s="58">
        <f t="shared" si="1"/>
        <v>3.4349999999999996</v>
      </c>
      <c r="Q50" s="58">
        <f t="shared" si="1"/>
        <v>44.999999999999993</v>
      </c>
    </row>
    <row r="51" spans="1:17" s="33" customFormat="1" x14ac:dyDescent="0.2">
      <c r="B51" s="35"/>
      <c r="C51" s="283"/>
      <c r="D51" s="284"/>
      <c r="E51" s="27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</row>
    <row r="52" spans="1:17" s="33" customFormat="1" x14ac:dyDescent="0.2">
      <c r="B52" s="35"/>
      <c r="C52" s="36"/>
      <c r="D52" s="45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</row>
    <row r="53" spans="1:17" s="33" customFormat="1" x14ac:dyDescent="0.2">
      <c r="B53" s="35"/>
      <c r="C53" s="36"/>
      <c r="D53" s="45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</row>
    <row r="54" spans="1:17" s="33" customFormat="1" x14ac:dyDescent="0.2">
      <c r="B54" s="35"/>
      <c r="C54" s="36"/>
      <c r="D54" s="45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</row>
    <row r="55" spans="1:17" s="33" customFormat="1" x14ac:dyDescent="0.2">
      <c r="B55" s="35"/>
      <c r="C55" s="36"/>
      <c r="D55" s="45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</row>
    <row r="56" spans="1:17" s="33" customFormat="1" x14ac:dyDescent="0.2">
      <c r="B56" s="35"/>
      <c r="C56" s="36"/>
      <c r="D56" s="45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</row>
    <row r="57" spans="1:17" s="33" customFormat="1" x14ac:dyDescent="0.2">
      <c r="B57" s="35"/>
      <c r="C57" s="36"/>
      <c r="D57" s="45"/>
      <c r="E57" s="34" t="s">
        <v>384</v>
      </c>
      <c r="Q57" s="37"/>
    </row>
    <row r="58" spans="1:17" s="33" customFormat="1" x14ac:dyDescent="0.2">
      <c r="B58" s="35"/>
      <c r="C58" s="38"/>
      <c r="D58" s="46"/>
      <c r="E58" s="286">
        <v>1</v>
      </c>
      <c r="F58" s="286">
        <v>2</v>
      </c>
      <c r="G58" s="286">
        <v>3</v>
      </c>
      <c r="H58" s="286">
        <v>4</v>
      </c>
      <c r="I58" s="286">
        <v>5</v>
      </c>
      <c r="J58" s="286">
        <v>6</v>
      </c>
      <c r="K58" s="286">
        <v>7</v>
      </c>
      <c r="L58" s="286">
        <v>8</v>
      </c>
      <c r="M58" s="286">
        <v>9</v>
      </c>
      <c r="N58" s="286">
        <v>10</v>
      </c>
      <c r="O58" s="286">
        <v>11</v>
      </c>
      <c r="P58" s="286">
        <v>12</v>
      </c>
      <c r="Q58" s="286" t="s">
        <v>146</v>
      </c>
    </row>
    <row r="59" spans="1:17" x14ac:dyDescent="0.2">
      <c r="A59" s="33"/>
      <c r="B59" s="31">
        <v>13035</v>
      </c>
      <c r="C59" s="30" t="s">
        <v>67</v>
      </c>
      <c r="D59" s="47" t="s">
        <v>68</v>
      </c>
      <c r="E59" s="139">
        <v>7.0999999999999994E-2</v>
      </c>
      <c r="F59" s="139">
        <v>7.3999999999999996E-2</v>
      </c>
      <c r="G59" s="139">
        <v>0.08</v>
      </c>
      <c r="H59" s="139">
        <v>8.5999999999999993E-2</v>
      </c>
      <c r="I59" s="139">
        <v>0.09</v>
      </c>
      <c r="J59" s="139">
        <v>8.7999999999999995E-2</v>
      </c>
      <c r="K59" s="139">
        <v>8.6999999999999994E-2</v>
      </c>
      <c r="L59" s="139">
        <v>0.08</v>
      </c>
      <c r="M59" s="139">
        <v>0.09</v>
      </c>
      <c r="N59" s="139">
        <v>9.1999999999999998E-2</v>
      </c>
      <c r="O59" s="139">
        <v>8.4000000000000005E-2</v>
      </c>
      <c r="P59" s="139">
        <v>7.8E-2</v>
      </c>
      <c r="Q59" s="139">
        <f>SUM(E59:P59)</f>
        <v>0.99999999999999967</v>
      </c>
    </row>
    <row r="60" spans="1:17" x14ac:dyDescent="0.2">
      <c r="A60" s="33"/>
      <c r="B60" s="260">
        <v>13060</v>
      </c>
      <c r="C60" s="4" t="s">
        <v>69</v>
      </c>
      <c r="D60" s="49" t="s">
        <v>70</v>
      </c>
      <c r="E60" s="139">
        <v>7.0999999999999994E-2</v>
      </c>
      <c r="F60" s="139">
        <v>7.3999999999999996E-2</v>
      </c>
      <c r="G60" s="139">
        <v>0.08</v>
      </c>
      <c r="H60" s="139">
        <v>8.5999999999999993E-2</v>
      </c>
      <c r="I60" s="139">
        <v>0.09</v>
      </c>
      <c r="J60" s="139">
        <v>8.7999999999999995E-2</v>
      </c>
      <c r="K60" s="139">
        <v>8.6999999999999994E-2</v>
      </c>
      <c r="L60" s="139">
        <v>0.08</v>
      </c>
      <c r="M60" s="139">
        <v>0.09</v>
      </c>
      <c r="N60" s="139">
        <v>9.1999999999999998E-2</v>
      </c>
      <c r="O60" s="139">
        <v>8.4000000000000005E-2</v>
      </c>
      <c r="P60" s="139">
        <v>7.8E-2</v>
      </c>
      <c r="Q60" s="139">
        <f t="shared" ref="Q60:Q95" si="2">SUM(E60:P60)</f>
        <v>0.99999999999999967</v>
      </c>
    </row>
    <row r="61" spans="1:17" x14ac:dyDescent="0.2">
      <c r="A61" s="33"/>
      <c r="B61" s="260">
        <v>13061</v>
      </c>
      <c r="C61" s="6"/>
      <c r="D61" s="49" t="s">
        <v>71</v>
      </c>
      <c r="E61" s="139">
        <v>7.0999999999999994E-2</v>
      </c>
      <c r="F61" s="139">
        <v>7.3999999999999996E-2</v>
      </c>
      <c r="G61" s="139">
        <v>0.08</v>
      </c>
      <c r="H61" s="139">
        <v>8.5999999999999993E-2</v>
      </c>
      <c r="I61" s="139">
        <v>0.09</v>
      </c>
      <c r="J61" s="139">
        <v>8.7999999999999995E-2</v>
      </c>
      <c r="K61" s="139">
        <v>8.6999999999999994E-2</v>
      </c>
      <c r="L61" s="139">
        <v>0.08</v>
      </c>
      <c r="M61" s="139">
        <v>0.09</v>
      </c>
      <c r="N61" s="139">
        <v>9.1999999999999998E-2</v>
      </c>
      <c r="O61" s="139">
        <v>8.4000000000000005E-2</v>
      </c>
      <c r="P61" s="139">
        <v>7.8E-2</v>
      </c>
      <c r="Q61" s="139">
        <f t="shared" si="2"/>
        <v>0.99999999999999967</v>
      </c>
    </row>
    <row r="62" spans="1:17" x14ac:dyDescent="0.2">
      <c r="A62" s="33"/>
      <c r="B62" s="260">
        <v>13062</v>
      </c>
      <c r="C62" s="6"/>
      <c r="D62" s="49" t="s">
        <v>72</v>
      </c>
      <c r="E62" s="139">
        <v>7.0999999999999994E-2</v>
      </c>
      <c r="F62" s="139">
        <v>7.3999999999999996E-2</v>
      </c>
      <c r="G62" s="139">
        <v>0.08</v>
      </c>
      <c r="H62" s="139">
        <v>8.5999999999999993E-2</v>
      </c>
      <c r="I62" s="139">
        <v>0.09</v>
      </c>
      <c r="J62" s="139">
        <v>8.7999999999999995E-2</v>
      </c>
      <c r="K62" s="139">
        <v>8.6999999999999994E-2</v>
      </c>
      <c r="L62" s="139">
        <v>0.08</v>
      </c>
      <c r="M62" s="139">
        <v>0.09</v>
      </c>
      <c r="N62" s="139">
        <v>9.1999999999999998E-2</v>
      </c>
      <c r="O62" s="139">
        <v>8.4000000000000005E-2</v>
      </c>
      <c r="P62" s="139">
        <v>7.8E-2</v>
      </c>
      <c r="Q62" s="139">
        <f t="shared" si="2"/>
        <v>0.99999999999999967</v>
      </c>
    </row>
    <row r="63" spans="1:17" x14ac:dyDescent="0.2">
      <c r="A63" s="33"/>
      <c r="B63" s="260">
        <v>13063</v>
      </c>
      <c r="C63" s="6"/>
      <c r="D63" s="49" t="s">
        <v>73</v>
      </c>
      <c r="E63" s="139">
        <v>7.0999999999999994E-2</v>
      </c>
      <c r="F63" s="139">
        <v>7.3999999999999996E-2</v>
      </c>
      <c r="G63" s="139">
        <v>0.08</v>
      </c>
      <c r="H63" s="139">
        <v>8.5999999999999993E-2</v>
      </c>
      <c r="I63" s="139">
        <v>0.09</v>
      </c>
      <c r="J63" s="139">
        <v>8.7999999999999995E-2</v>
      </c>
      <c r="K63" s="139">
        <v>8.6999999999999994E-2</v>
      </c>
      <c r="L63" s="139">
        <v>0.08</v>
      </c>
      <c r="M63" s="139">
        <v>0.09</v>
      </c>
      <c r="N63" s="139">
        <v>9.1999999999999998E-2</v>
      </c>
      <c r="O63" s="139">
        <v>8.4000000000000005E-2</v>
      </c>
      <c r="P63" s="139">
        <v>7.8E-2</v>
      </c>
      <c r="Q63" s="139">
        <f t="shared" si="2"/>
        <v>0.99999999999999967</v>
      </c>
    </row>
    <row r="64" spans="1:17" x14ac:dyDescent="0.2">
      <c r="A64" s="33"/>
      <c r="B64" s="260">
        <v>13165</v>
      </c>
      <c r="C64" s="6"/>
      <c r="D64" s="49" t="s">
        <v>570</v>
      </c>
      <c r="E64" s="139">
        <v>7.0999999999999994E-2</v>
      </c>
      <c r="F64" s="139">
        <v>7.3999999999999996E-2</v>
      </c>
      <c r="G64" s="139">
        <v>0.08</v>
      </c>
      <c r="H64" s="139">
        <v>8.5999999999999993E-2</v>
      </c>
      <c r="I64" s="139">
        <v>0.09</v>
      </c>
      <c r="J64" s="139">
        <v>8.7999999999999995E-2</v>
      </c>
      <c r="K64" s="139">
        <v>8.6999999999999994E-2</v>
      </c>
      <c r="L64" s="139">
        <v>0.08</v>
      </c>
      <c r="M64" s="139">
        <v>0.09</v>
      </c>
      <c r="N64" s="139">
        <v>9.1999999999999998E-2</v>
      </c>
      <c r="O64" s="139">
        <v>8.4000000000000005E-2</v>
      </c>
      <c r="P64" s="139">
        <v>7.8E-2</v>
      </c>
      <c r="Q64" s="139">
        <f t="shared" si="2"/>
        <v>0.99999999999999967</v>
      </c>
    </row>
    <row r="65" spans="1:17" x14ac:dyDescent="0.2">
      <c r="A65" s="33"/>
      <c r="B65" s="260">
        <v>13166</v>
      </c>
      <c r="C65" s="8"/>
      <c r="D65" s="49" t="s">
        <v>593</v>
      </c>
      <c r="E65" s="139">
        <v>7.0999999999999994E-2</v>
      </c>
      <c r="F65" s="139">
        <v>7.3999999999999996E-2</v>
      </c>
      <c r="G65" s="139">
        <v>0.08</v>
      </c>
      <c r="H65" s="139">
        <v>8.5999999999999993E-2</v>
      </c>
      <c r="I65" s="139">
        <v>0.09</v>
      </c>
      <c r="J65" s="139">
        <v>8.7999999999999995E-2</v>
      </c>
      <c r="K65" s="139">
        <v>8.6999999999999994E-2</v>
      </c>
      <c r="L65" s="139">
        <v>0.08</v>
      </c>
      <c r="M65" s="139">
        <v>0.09</v>
      </c>
      <c r="N65" s="139">
        <v>9.1999999999999998E-2</v>
      </c>
      <c r="O65" s="139">
        <v>8.4000000000000005E-2</v>
      </c>
      <c r="P65" s="139">
        <v>7.8E-2</v>
      </c>
      <c r="Q65" s="139">
        <f t="shared" si="2"/>
        <v>0.99999999999999967</v>
      </c>
    </row>
    <row r="66" spans="1:17" x14ac:dyDescent="0.2">
      <c r="A66" s="33"/>
      <c r="B66" s="32">
        <v>13159</v>
      </c>
      <c r="C66" s="24" t="s">
        <v>75</v>
      </c>
      <c r="D66" s="48" t="s">
        <v>497</v>
      </c>
      <c r="E66" s="139">
        <v>7.0999999999999994E-2</v>
      </c>
      <c r="F66" s="139">
        <v>7.3999999999999996E-2</v>
      </c>
      <c r="G66" s="139">
        <v>0.08</v>
      </c>
      <c r="H66" s="139">
        <v>8.5999999999999993E-2</v>
      </c>
      <c r="I66" s="139">
        <v>0.09</v>
      </c>
      <c r="J66" s="139">
        <v>8.7999999999999995E-2</v>
      </c>
      <c r="K66" s="139">
        <v>8.6999999999999994E-2</v>
      </c>
      <c r="L66" s="139">
        <v>0.08</v>
      </c>
      <c r="M66" s="139">
        <v>0.09</v>
      </c>
      <c r="N66" s="139">
        <v>9.1999999999999998E-2</v>
      </c>
      <c r="O66" s="139">
        <v>8.4000000000000005E-2</v>
      </c>
      <c r="P66" s="139">
        <v>7.8E-2</v>
      </c>
      <c r="Q66" s="139">
        <f t="shared" si="2"/>
        <v>0.99999999999999967</v>
      </c>
    </row>
    <row r="67" spans="1:17" x14ac:dyDescent="0.2">
      <c r="A67" s="33"/>
      <c r="B67" s="32">
        <v>13121</v>
      </c>
      <c r="C67" s="19" t="s">
        <v>555</v>
      </c>
      <c r="D67" s="48" t="s">
        <v>76</v>
      </c>
      <c r="E67" s="139">
        <v>7.0999999999999994E-2</v>
      </c>
      <c r="F67" s="139">
        <v>7.3999999999999996E-2</v>
      </c>
      <c r="G67" s="139">
        <v>0.08</v>
      </c>
      <c r="H67" s="139">
        <v>8.5999999999999993E-2</v>
      </c>
      <c r="I67" s="139">
        <v>0.09</v>
      </c>
      <c r="J67" s="139">
        <v>8.7999999999999995E-2</v>
      </c>
      <c r="K67" s="139">
        <v>8.6999999999999994E-2</v>
      </c>
      <c r="L67" s="139">
        <v>0.08</v>
      </c>
      <c r="M67" s="139">
        <v>0.09</v>
      </c>
      <c r="N67" s="139">
        <v>9.1999999999999998E-2</v>
      </c>
      <c r="O67" s="139">
        <v>8.4000000000000005E-2</v>
      </c>
      <c r="P67" s="139">
        <v>7.8E-2</v>
      </c>
      <c r="Q67" s="139">
        <f t="shared" si="2"/>
        <v>0.99999999999999967</v>
      </c>
    </row>
    <row r="68" spans="1:17" x14ac:dyDescent="0.2">
      <c r="A68" s="33"/>
      <c r="B68" s="31">
        <v>13143</v>
      </c>
      <c r="C68" s="4" t="s">
        <v>77</v>
      </c>
      <c r="D68" s="48" t="s">
        <v>78</v>
      </c>
      <c r="E68" s="139">
        <v>7.0999999999999994E-2</v>
      </c>
      <c r="F68" s="139">
        <v>7.3999999999999996E-2</v>
      </c>
      <c r="G68" s="139">
        <v>0.08</v>
      </c>
      <c r="H68" s="139">
        <v>8.5999999999999993E-2</v>
      </c>
      <c r="I68" s="139">
        <v>0.09</v>
      </c>
      <c r="J68" s="139">
        <v>8.7999999999999995E-2</v>
      </c>
      <c r="K68" s="139">
        <v>8.6999999999999994E-2</v>
      </c>
      <c r="L68" s="139">
        <v>0.08</v>
      </c>
      <c r="M68" s="139">
        <v>0.09</v>
      </c>
      <c r="N68" s="139">
        <v>9.1999999999999998E-2</v>
      </c>
      <c r="O68" s="139">
        <v>8.4000000000000005E-2</v>
      </c>
      <c r="P68" s="139">
        <v>7.8E-2</v>
      </c>
      <c r="Q68" s="139">
        <f t="shared" si="2"/>
        <v>0.99999999999999967</v>
      </c>
    </row>
    <row r="69" spans="1:17" x14ac:dyDescent="0.2">
      <c r="A69" s="33"/>
      <c r="B69" s="31">
        <v>13144</v>
      </c>
      <c r="C69" s="8"/>
      <c r="D69" s="48" t="s">
        <v>79</v>
      </c>
      <c r="E69" s="139">
        <v>7.0999999999999994E-2</v>
      </c>
      <c r="F69" s="139">
        <v>7.3999999999999996E-2</v>
      </c>
      <c r="G69" s="139">
        <v>0.08</v>
      </c>
      <c r="H69" s="139">
        <v>8.5999999999999993E-2</v>
      </c>
      <c r="I69" s="139">
        <v>0.09</v>
      </c>
      <c r="J69" s="139">
        <v>8.7999999999999995E-2</v>
      </c>
      <c r="K69" s="139">
        <v>8.6999999999999994E-2</v>
      </c>
      <c r="L69" s="139">
        <v>0.08</v>
      </c>
      <c r="M69" s="139">
        <v>0.09</v>
      </c>
      <c r="N69" s="139">
        <v>9.1999999999999998E-2</v>
      </c>
      <c r="O69" s="139">
        <v>8.4000000000000005E-2</v>
      </c>
      <c r="P69" s="139">
        <v>7.8E-2</v>
      </c>
      <c r="Q69" s="139">
        <f t="shared" si="2"/>
        <v>0.99999999999999967</v>
      </c>
    </row>
    <row r="70" spans="1:17" x14ac:dyDescent="0.2">
      <c r="A70" s="33"/>
      <c r="B70" s="31">
        <v>13079</v>
      </c>
      <c r="C70" s="24" t="s">
        <v>554</v>
      </c>
      <c r="D70" s="48" t="s">
        <v>553</v>
      </c>
      <c r="E70" s="139">
        <v>7.0999999999999994E-2</v>
      </c>
      <c r="F70" s="139">
        <v>7.3999999999999996E-2</v>
      </c>
      <c r="G70" s="139">
        <v>0.08</v>
      </c>
      <c r="H70" s="139">
        <v>8.5999999999999993E-2</v>
      </c>
      <c r="I70" s="139">
        <v>0.09</v>
      </c>
      <c r="J70" s="139">
        <v>8.7999999999999995E-2</v>
      </c>
      <c r="K70" s="139">
        <v>8.6999999999999994E-2</v>
      </c>
      <c r="L70" s="139">
        <v>0.08</v>
      </c>
      <c r="M70" s="139">
        <v>0.09</v>
      </c>
      <c r="N70" s="139">
        <v>9.1999999999999998E-2</v>
      </c>
      <c r="O70" s="139">
        <v>8.4000000000000005E-2</v>
      </c>
      <c r="P70" s="139">
        <v>7.8E-2</v>
      </c>
      <c r="Q70" s="139">
        <f t="shared" si="2"/>
        <v>0.99999999999999967</v>
      </c>
    </row>
    <row r="71" spans="1:17" x14ac:dyDescent="0.2">
      <c r="A71" s="33"/>
      <c r="B71" s="260">
        <v>13038</v>
      </c>
      <c r="C71" s="9" t="s">
        <v>82</v>
      </c>
      <c r="D71" s="49" t="s">
        <v>83</v>
      </c>
      <c r="E71" s="139">
        <v>7.0999999999999994E-2</v>
      </c>
      <c r="F71" s="139">
        <v>7.3999999999999996E-2</v>
      </c>
      <c r="G71" s="139">
        <v>0.08</v>
      </c>
      <c r="H71" s="139">
        <v>8.5999999999999993E-2</v>
      </c>
      <c r="I71" s="139">
        <v>0.09</v>
      </c>
      <c r="J71" s="139">
        <v>8.7999999999999995E-2</v>
      </c>
      <c r="K71" s="139">
        <v>8.6999999999999994E-2</v>
      </c>
      <c r="L71" s="139">
        <v>0.08</v>
      </c>
      <c r="M71" s="139">
        <v>0.09</v>
      </c>
      <c r="N71" s="139">
        <v>9.1999999999999998E-2</v>
      </c>
      <c r="O71" s="139">
        <v>8.4000000000000005E-2</v>
      </c>
      <c r="P71" s="139">
        <v>7.8E-2</v>
      </c>
      <c r="Q71" s="139">
        <f t="shared" si="2"/>
        <v>0.99999999999999967</v>
      </c>
    </row>
    <row r="72" spans="1:17" x14ac:dyDescent="0.2">
      <c r="A72" s="33"/>
      <c r="B72" s="260">
        <v>55555</v>
      </c>
      <c r="C72" s="22"/>
      <c r="D72" s="49" t="s">
        <v>584</v>
      </c>
      <c r="E72" s="139">
        <v>7.0999999999999994E-2</v>
      </c>
      <c r="F72" s="139">
        <v>7.3999999999999996E-2</v>
      </c>
      <c r="G72" s="139">
        <v>0.08</v>
      </c>
      <c r="H72" s="139">
        <v>8.5999999999999993E-2</v>
      </c>
      <c r="I72" s="139">
        <v>0.09</v>
      </c>
      <c r="J72" s="139">
        <v>8.7999999999999995E-2</v>
      </c>
      <c r="K72" s="139">
        <v>8.6999999999999994E-2</v>
      </c>
      <c r="L72" s="139">
        <v>0.08</v>
      </c>
      <c r="M72" s="139">
        <v>0.09</v>
      </c>
      <c r="N72" s="139">
        <v>9.1999999999999998E-2</v>
      </c>
      <c r="O72" s="139">
        <v>8.4000000000000005E-2</v>
      </c>
      <c r="P72" s="139">
        <v>7.8E-2</v>
      </c>
      <c r="Q72" s="139">
        <f t="shared" si="2"/>
        <v>0.99999999999999967</v>
      </c>
    </row>
    <row r="73" spans="1:17" x14ac:dyDescent="0.2">
      <c r="A73" s="33"/>
      <c r="B73" s="31">
        <v>13032</v>
      </c>
      <c r="C73" s="9" t="s">
        <v>84</v>
      </c>
      <c r="D73" s="263" t="s">
        <v>85</v>
      </c>
      <c r="E73" s="139">
        <v>7.0999999999999994E-2</v>
      </c>
      <c r="F73" s="139">
        <v>7.3999999999999996E-2</v>
      </c>
      <c r="G73" s="139">
        <v>0.08</v>
      </c>
      <c r="H73" s="139">
        <v>8.5999999999999993E-2</v>
      </c>
      <c r="I73" s="139">
        <v>0.09</v>
      </c>
      <c r="J73" s="139">
        <v>8.7999999999999995E-2</v>
      </c>
      <c r="K73" s="139">
        <v>8.6999999999999994E-2</v>
      </c>
      <c r="L73" s="139">
        <v>0.08</v>
      </c>
      <c r="M73" s="139">
        <v>0.09</v>
      </c>
      <c r="N73" s="139">
        <v>9.1999999999999998E-2</v>
      </c>
      <c r="O73" s="139">
        <v>8.4000000000000005E-2</v>
      </c>
      <c r="P73" s="139">
        <v>7.8E-2</v>
      </c>
      <c r="Q73" s="139">
        <f t="shared" si="2"/>
        <v>0.99999999999999967</v>
      </c>
    </row>
    <row r="74" spans="1:17" x14ac:dyDescent="0.2">
      <c r="A74" s="33"/>
      <c r="B74" s="31">
        <v>13037</v>
      </c>
      <c r="C74" s="22"/>
      <c r="D74" s="48" t="s">
        <v>86</v>
      </c>
      <c r="E74" s="139">
        <v>7.0999999999999994E-2</v>
      </c>
      <c r="F74" s="139">
        <v>7.3999999999999996E-2</v>
      </c>
      <c r="G74" s="139">
        <v>0.08</v>
      </c>
      <c r="H74" s="139">
        <v>8.5999999999999993E-2</v>
      </c>
      <c r="I74" s="139">
        <v>0.09</v>
      </c>
      <c r="J74" s="139">
        <v>8.7999999999999995E-2</v>
      </c>
      <c r="K74" s="139">
        <v>8.6999999999999994E-2</v>
      </c>
      <c r="L74" s="139">
        <v>0.08</v>
      </c>
      <c r="M74" s="139">
        <v>0.09</v>
      </c>
      <c r="N74" s="139">
        <v>9.1999999999999998E-2</v>
      </c>
      <c r="O74" s="139">
        <v>8.4000000000000005E-2</v>
      </c>
      <c r="P74" s="139">
        <v>7.8E-2</v>
      </c>
      <c r="Q74" s="139">
        <f t="shared" si="2"/>
        <v>0.99999999999999967</v>
      </c>
    </row>
    <row r="75" spans="1:17" x14ac:dyDescent="0.2">
      <c r="A75" s="33"/>
      <c r="B75" s="32">
        <v>13154</v>
      </c>
      <c r="C75" s="253" t="s">
        <v>87</v>
      </c>
      <c r="D75" s="50" t="s">
        <v>123</v>
      </c>
      <c r="E75" s="139">
        <v>7.0999999999999994E-2</v>
      </c>
      <c r="F75" s="139">
        <v>7.3999999999999996E-2</v>
      </c>
      <c r="G75" s="139">
        <v>0.08</v>
      </c>
      <c r="H75" s="139">
        <v>8.5999999999999993E-2</v>
      </c>
      <c r="I75" s="139">
        <v>0.09</v>
      </c>
      <c r="J75" s="139">
        <v>8.7999999999999995E-2</v>
      </c>
      <c r="K75" s="139">
        <v>8.6999999999999994E-2</v>
      </c>
      <c r="L75" s="139">
        <v>0.08</v>
      </c>
      <c r="M75" s="139">
        <v>0.09</v>
      </c>
      <c r="N75" s="139">
        <v>9.1999999999999998E-2</v>
      </c>
      <c r="O75" s="139">
        <v>8.4000000000000005E-2</v>
      </c>
      <c r="P75" s="139">
        <v>7.8E-2</v>
      </c>
      <c r="Q75" s="139">
        <f t="shared" si="2"/>
        <v>0.99999999999999967</v>
      </c>
    </row>
    <row r="76" spans="1:17" x14ac:dyDescent="0.2">
      <c r="A76" s="33"/>
      <c r="B76" s="32">
        <v>13155</v>
      </c>
      <c r="C76" s="253"/>
      <c r="D76" s="50" t="s">
        <v>124</v>
      </c>
      <c r="E76" s="139">
        <v>7.0999999999999994E-2</v>
      </c>
      <c r="F76" s="139">
        <v>7.3999999999999996E-2</v>
      </c>
      <c r="G76" s="139">
        <v>0.08</v>
      </c>
      <c r="H76" s="139">
        <v>8.5999999999999993E-2</v>
      </c>
      <c r="I76" s="139">
        <v>0.09</v>
      </c>
      <c r="J76" s="139">
        <v>8.7999999999999995E-2</v>
      </c>
      <c r="K76" s="139">
        <v>8.6999999999999994E-2</v>
      </c>
      <c r="L76" s="139">
        <v>0.08</v>
      </c>
      <c r="M76" s="139">
        <v>0.09</v>
      </c>
      <c r="N76" s="139">
        <v>9.1999999999999998E-2</v>
      </c>
      <c r="O76" s="139">
        <v>8.4000000000000005E-2</v>
      </c>
      <c r="P76" s="139">
        <v>7.8E-2</v>
      </c>
      <c r="Q76" s="139">
        <f t="shared" si="2"/>
        <v>0.99999999999999967</v>
      </c>
    </row>
    <row r="77" spans="1:17" x14ac:dyDescent="0.2">
      <c r="A77" s="33"/>
      <c r="B77" s="32">
        <v>13152</v>
      </c>
      <c r="C77" s="253"/>
      <c r="D77" s="50" t="s">
        <v>125</v>
      </c>
      <c r="E77" s="139">
        <v>7.0999999999999994E-2</v>
      </c>
      <c r="F77" s="139">
        <v>7.3999999999999996E-2</v>
      </c>
      <c r="G77" s="139">
        <v>0.08</v>
      </c>
      <c r="H77" s="139">
        <v>8.5999999999999993E-2</v>
      </c>
      <c r="I77" s="139">
        <v>0.09</v>
      </c>
      <c r="J77" s="139">
        <v>8.7999999999999995E-2</v>
      </c>
      <c r="K77" s="139">
        <v>8.6999999999999994E-2</v>
      </c>
      <c r="L77" s="139">
        <v>0.08</v>
      </c>
      <c r="M77" s="139">
        <v>0.09</v>
      </c>
      <c r="N77" s="139">
        <v>9.1999999999999998E-2</v>
      </c>
      <c r="O77" s="139">
        <v>8.4000000000000005E-2</v>
      </c>
      <c r="P77" s="139">
        <v>7.8E-2</v>
      </c>
      <c r="Q77" s="139">
        <f t="shared" si="2"/>
        <v>0.99999999999999967</v>
      </c>
    </row>
    <row r="78" spans="1:17" x14ac:dyDescent="0.2">
      <c r="A78" s="33"/>
      <c r="B78" s="32">
        <v>13153</v>
      </c>
      <c r="C78" s="253"/>
      <c r="D78" s="50" t="s">
        <v>126</v>
      </c>
      <c r="E78" s="139">
        <v>7.0999999999999994E-2</v>
      </c>
      <c r="F78" s="139">
        <v>7.3999999999999996E-2</v>
      </c>
      <c r="G78" s="139">
        <v>0.08</v>
      </c>
      <c r="H78" s="139">
        <v>8.5999999999999993E-2</v>
      </c>
      <c r="I78" s="139">
        <v>0.09</v>
      </c>
      <c r="J78" s="139">
        <v>8.7999999999999995E-2</v>
      </c>
      <c r="K78" s="139">
        <v>8.6999999999999994E-2</v>
      </c>
      <c r="L78" s="139">
        <v>0.08</v>
      </c>
      <c r="M78" s="139">
        <v>0.09</v>
      </c>
      <c r="N78" s="139">
        <v>9.1999999999999998E-2</v>
      </c>
      <c r="O78" s="139">
        <v>8.4000000000000005E-2</v>
      </c>
      <c r="P78" s="139">
        <v>7.8E-2</v>
      </c>
      <c r="Q78" s="139">
        <f t="shared" si="2"/>
        <v>0.99999999999999967</v>
      </c>
    </row>
    <row r="79" spans="1:17" x14ac:dyDescent="0.2">
      <c r="A79" s="33"/>
      <c r="B79" s="32">
        <v>13157</v>
      </c>
      <c r="C79" s="253"/>
      <c r="D79" s="50" t="s">
        <v>127</v>
      </c>
      <c r="E79" s="139">
        <v>7.0999999999999994E-2</v>
      </c>
      <c r="F79" s="139">
        <v>7.3999999999999996E-2</v>
      </c>
      <c r="G79" s="139">
        <v>0.08</v>
      </c>
      <c r="H79" s="139">
        <v>8.5999999999999993E-2</v>
      </c>
      <c r="I79" s="139">
        <v>0.09</v>
      </c>
      <c r="J79" s="139">
        <v>8.7999999999999995E-2</v>
      </c>
      <c r="K79" s="139">
        <v>8.6999999999999994E-2</v>
      </c>
      <c r="L79" s="139">
        <v>0.08</v>
      </c>
      <c r="M79" s="139">
        <v>0.09</v>
      </c>
      <c r="N79" s="139">
        <v>9.1999999999999998E-2</v>
      </c>
      <c r="O79" s="139">
        <v>8.4000000000000005E-2</v>
      </c>
      <c r="P79" s="139">
        <v>7.8E-2</v>
      </c>
      <c r="Q79" s="139">
        <f t="shared" si="2"/>
        <v>0.99999999999999967</v>
      </c>
    </row>
    <row r="80" spans="1:17" x14ac:dyDescent="0.2">
      <c r="A80" s="33"/>
      <c r="B80" s="32">
        <v>13149</v>
      </c>
      <c r="C80" s="253"/>
      <c r="D80" s="50" t="s">
        <v>128</v>
      </c>
      <c r="E80" s="139">
        <v>7.0999999999999994E-2</v>
      </c>
      <c r="F80" s="139">
        <v>7.3999999999999996E-2</v>
      </c>
      <c r="G80" s="139">
        <v>0.08</v>
      </c>
      <c r="H80" s="139">
        <v>8.5999999999999993E-2</v>
      </c>
      <c r="I80" s="139">
        <v>0.09</v>
      </c>
      <c r="J80" s="139">
        <v>8.7999999999999995E-2</v>
      </c>
      <c r="K80" s="139">
        <v>8.6999999999999994E-2</v>
      </c>
      <c r="L80" s="139">
        <v>0.08</v>
      </c>
      <c r="M80" s="139">
        <v>0.09</v>
      </c>
      <c r="N80" s="139">
        <v>9.1999999999999998E-2</v>
      </c>
      <c r="O80" s="139">
        <v>8.4000000000000005E-2</v>
      </c>
      <c r="P80" s="139">
        <v>7.8E-2</v>
      </c>
      <c r="Q80" s="139">
        <f t="shared" si="2"/>
        <v>0.99999999999999967</v>
      </c>
    </row>
    <row r="81" spans="1:17" x14ac:dyDescent="0.2">
      <c r="A81" s="33"/>
      <c r="B81" s="32">
        <v>13150</v>
      </c>
      <c r="C81" s="253"/>
      <c r="D81" s="50" t="s">
        <v>129</v>
      </c>
      <c r="E81" s="139">
        <v>7.0999999999999994E-2</v>
      </c>
      <c r="F81" s="139">
        <v>7.3999999999999996E-2</v>
      </c>
      <c r="G81" s="139">
        <v>0.08</v>
      </c>
      <c r="H81" s="139">
        <v>8.5999999999999993E-2</v>
      </c>
      <c r="I81" s="139">
        <v>0.09</v>
      </c>
      <c r="J81" s="139">
        <v>8.7999999999999995E-2</v>
      </c>
      <c r="K81" s="139">
        <v>8.6999999999999994E-2</v>
      </c>
      <c r="L81" s="139">
        <v>0.08</v>
      </c>
      <c r="M81" s="139">
        <v>0.09</v>
      </c>
      <c r="N81" s="139">
        <v>9.1999999999999998E-2</v>
      </c>
      <c r="O81" s="139">
        <v>8.4000000000000005E-2</v>
      </c>
      <c r="P81" s="139">
        <v>7.8E-2</v>
      </c>
      <c r="Q81" s="139">
        <f t="shared" si="2"/>
        <v>0.99999999999999967</v>
      </c>
    </row>
    <row r="82" spans="1:17" x14ac:dyDescent="0.2">
      <c r="A82" s="33"/>
      <c r="B82" s="32">
        <v>13108</v>
      </c>
      <c r="C82" s="253"/>
      <c r="D82" s="50" t="s">
        <v>130</v>
      </c>
      <c r="E82" s="139">
        <v>7.0999999999999994E-2</v>
      </c>
      <c r="F82" s="139">
        <v>7.3999999999999996E-2</v>
      </c>
      <c r="G82" s="139">
        <v>0.08</v>
      </c>
      <c r="H82" s="139">
        <v>8.5999999999999993E-2</v>
      </c>
      <c r="I82" s="139">
        <v>0.09</v>
      </c>
      <c r="J82" s="139">
        <v>8.7999999999999995E-2</v>
      </c>
      <c r="K82" s="139">
        <v>8.6999999999999994E-2</v>
      </c>
      <c r="L82" s="139">
        <v>0.08</v>
      </c>
      <c r="M82" s="139">
        <v>0.09</v>
      </c>
      <c r="N82" s="139">
        <v>9.1999999999999998E-2</v>
      </c>
      <c r="O82" s="139">
        <v>8.4000000000000005E-2</v>
      </c>
      <c r="P82" s="139">
        <v>7.8E-2</v>
      </c>
      <c r="Q82" s="139">
        <f t="shared" si="2"/>
        <v>0.99999999999999967</v>
      </c>
    </row>
    <row r="83" spans="1:17" x14ac:dyDescent="0.2">
      <c r="A83" s="33"/>
      <c r="B83" s="32">
        <v>13151</v>
      </c>
      <c r="C83" s="253"/>
      <c r="D83" s="50" t="s">
        <v>131</v>
      </c>
      <c r="E83" s="139">
        <v>7.0999999999999994E-2</v>
      </c>
      <c r="F83" s="139">
        <v>7.3999999999999996E-2</v>
      </c>
      <c r="G83" s="139">
        <v>0.08</v>
      </c>
      <c r="H83" s="139">
        <v>8.5999999999999993E-2</v>
      </c>
      <c r="I83" s="139">
        <v>0.09</v>
      </c>
      <c r="J83" s="139">
        <v>8.7999999999999995E-2</v>
      </c>
      <c r="K83" s="139">
        <v>8.6999999999999994E-2</v>
      </c>
      <c r="L83" s="139">
        <v>0.08</v>
      </c>
      <c r="M83" s="139">
        <v>0.09</v>
      </c>
      <c r="N83" s="139">
        <v>9.1999999999999998E-2</v>
      </c>
      <c r="O83" s="139">
        <v>8.4000000000000005E-2</v>
      </c>
      <c r="P83" s="139">
        <v>7.8E-2</v>
      </c>
      <c r="Q83" s="139">
        <f t="shared" si="2"/>
        <v>0.99999999999999967</v>
      </c>
    </row>
    <row r="84" spans="1:17" x14ac:dyDescent="0.2">
      <c r="A84" s="33"/>
      <c r="B84" s="31">
        <v>13093</v>
      </c>
      <c r="C84" s="10"/>
      <c r="D84" s="49" t="s">
        <v>97</v>
      </c>
      <c r="E84" s="139">
        <v>7.0999999999999994E-2</v>
      </c>
      <c r="F84" s="139">
        <v>7.3999999999999996E-2</v>
      </c>
      <c r="G84" s="139">
        <v>0.08</v>
      </c>
      <c r="H84" s="139">
        <v>8.5999999999999993E-2</v>
      </c>
      <c r="I84" s="139">
        <v>0.09</v>
      </c>
      <c r="J84" s="139">
        <v>8.7999999999999995E-2</v>
      </c>
      <c r="K84" s="139">
        <v>8.6999999999999994E-2</v>
      </c>
      <c r="L84" s="139">
        <v>0.08</v>
      </c>
      <c r="M84" s="139">
        <v>0.09</v>
      </c>
      <c r="N84" s="139">
        <v>9.1999999999999998E-2</v>
      </c>
      <c r="O84" s="139">
        <v>8.4000000000000005E-2</v>
      </c>
      <c r="P84" s="139">
        <v>7.8E-2</v>
      </c>
      <c r="Q84" s="139">
        <f t="shared" si="2"/>
        <v>0.99999999999999967</v>
      </c>
    </row>
    <row r="85" spans="1:17" x14ac:dyDescent="0.2">
      <c r="A85" s="33"/>
      <c r="B85" s="31">
        <v>13091</v>
      </c>
      <c r="C85" s="10"/>
      <c r="D85" s="49" t="s">
        <v>98</v>
      </c>
      <c r="E85" s="139">
        <v>7.0999999999999994E-2</v>
      </c>
      <c r="F85" s="139">
        <v>7.3999999999999996E-2</v>
      </c>
      <c r="G85" s="139">
        <v>0.08</v>
      </c>
      <c r="H85" s="139">
        <v>8.5999999999999993E-2</v>
      </c>
      <c r="I85" s="139">
        <v>0.09</v>
      </c>
      <c r="J85" s="139">
        <v>8.7999999999999995E-2</v>
      </c>
      <c r="K85" s="139">
        <v>8.6999999999999994E-2</v>
      </c>
      <c r="L85" s="139">
        <v>0.08</v>
      </c>
      <c r="M85" s="139">
        <v>0.09</v>
      </c>
      <c r="N85" s="139">
        <v>9.1999999999999998E-2</v>
      </c>
      <c r="O85" s="139">
        <v>8.4000000000000005E-2</v>
      </c>
      <c r="P85" s="139">
        <v>7.8E-2</v>
      </c>
      <c r="Q85" s="139">
        <f t="shared" si="2"/>
        <v>0.99999999999999967</v>
      </c>
    </row>
    <row r="86" spans="1:17" x14ac:dyDescent="0.2">
      <c r="A86" s="33"/>
      <c r="B86" s="31">
        <v>13089</v>
      </c>
      <c r="C86" s="22"/>
      <c r="D86" s="49" t="s">
        <v>99</v>
      </c>
      <c r="E86" s="139">
        <v>7.0999999999999994E-2</v>
      </c>
      <c r="F86" s="139">
        <v>7.3999999999999996E-2</v>
      </c>
      <c r="G86" s="139">
        <v>0.08</v>
      </c>
      <c r="H86" s="139">
        <v>8.5999999999999993E-2</v>
      </c>
      <c r="I86" s="139">
        <v>0.09</v>
      </c>
      <c r="J86" s="139">
        <v>8.7999999999999995E-2</v>
      </c>
      <c r="K86" s="139">
        <v>8.6999999999999994E-2</v>
      </c>
      <c r="L86" s="139">
        <v>0.08</v>
      </c>
      <c r="M86" s="139">
        <v>0.09</v>
      </c>
      <c r="N86" s="139">
        <v>9.1999999999999998E-2</v>
      </c>
      <c r="O86" s="139">
        <v>8.4000000000000005E-2</v>
      </c>
      <c r="P86" s="139">
        <v>7.8E-2</v>
      </c>
      <c r="Q86" s="139">
        <f t="shared" si="2"/>
        <v>0.99999999999999967</v>
      </c>
    </row>
    <row r="87" spans="1:17" x14ac:dyDescent="0.2">
      <c r="A87" s="33"/>
      <c r="B87" s="31">
        <v>19999</v>
      </c>
      <c r="C87" s="20" t="s">
        <v>102</v>
      </c>
      <c r="D87" s="263" t="s">
        <v>588</v>
      </c>
      <c r="E87" s="139">
        <v>7.0999999999999994E-2</v>
      </c>
      <c r="F87" s="139">
        <v>7.3999999999999996E-2</v>
      </c>
      <c r="G87" s="139">
        <v>0.08</v>
      </c>
      <c r="H87" s="139">
        <v>8.5999999999999993E-2</v>
      </c>
      <c r="I87" s="139">
        <v>0.09</v>
      </c>
      <c r="J87" s="139">
        <v>8.7999999999999995E-2</v>
      </c>
      <c r="K87" s="139">
        <v>8.6999999999999994E-2</v>
      </c>
      <c r="L87" s="139">
        <v>0.08</v>
      </c>
      <c r="M87" s="139">
        <v>0.09</v>
      </c>
      <c r="N87" s="139">
        <v>9.1999999999999998E-2</v>
      </c>
      <c r="O87" s="139">
        <v>8.4000000000000005E-2</v>
      </c>
      <c r="P87" s="139">
        <v>7.8E-2</v>
      </c>
      <c r="Q87" s="139">
        <f t="shared" si="2"/>
        <v>0.99999999999999967</v>
      </c>
    </row>
    <row r="88" spans="1:17" x14ac:dyDescent="0.2">
      <c r="A88" s="33"/>
      <c r="B88" s="31">
        <v>29999</v>
      </c>
      <c r="C88" s="20"/>
      <c r="D88" s="263" t="s">
        <v>589</v>
      </c>
      <c r="E88" s="139">
        <v>7.0999999999999994E-2</v>
      </c>
      <c r="F88" s="139">
        <v>7.3999999999999996E-2</v>
      </c>
      <c r="G88" s="139">
        <v>0.08</v>
      </c>
      <c r="H88" s="139">
        <v>8.5999999999999993E-2</v>
      </c>
      <c r="I88" s="139">
        <v>0.09</v>
      </c>
      <c r="J88" s="139">
        <v>8.7999999999999995E-2</v>
      </c>
      <c r="K88" s="139">
        <v>8.6999999999999994E-2</v>
      </c>
      <c r="L88" s="139">
        <v>0.08</v>
      </c>
      <c r="M88" s="139">
        <v>0.09</v>
      </c>
      <c r="N88" s="139">
        <v>9.1999999999999998E-2</v>
      </c>
      <c r="O88" s="139">
        <v>8.4000000000000005E-2</v>
      </c>
      <c r="P88" s="139">
        <v>7.8E-2</v>
      </c>
      <c r="Q88" s="139">
        <f t="shared" si="2"/>
        <v>0.99999999999999967</v>
      </c>
    </row>
    <row r="89" spans="1:17" x14ac:dyDescent="0.2">
      <c r="A89" s="33"/>
      <c r="B89" s="31">
        <v>39999</v>
      </c>
      <c r="C89" s="20"/>
      <c r="D89" s="263" t="s">
        <v>590</v>
      </c>
      <c r="E89" s="139">
        <v>7.0999999999999994E-2</v>
      </c>
      <c r="F89" s="139">
        <v>7.3999999999999996E-2</v>
      </c>
      <c r="G89" s="139">
        <v>0.08</v>
      </c>
      <c r="H89" s="139">
        <v>8.5999999999999993E-2</v>
      </c>
      <c r="I89" s="139">
        <v>0.09</v>
      </c>
      <c r="J89" s="139">
        <v>8.7999999999999995E-2</v>
      </c>
      <c r="K89" s="139">
        <v>8.6999999999999994E-2</v>
      </c>
      <c r="L89" s="139">
        <v>0.08</v>
      </c>
      <c r="M89" s="139">
        <v>0.09</v>
      </c>
      <c r="N89" s="139">
        <v>9.1999999999999998E-2</v>
      </c>
      <c r="O89" s="139">
        <v>8.4000000000000005E-2</v>
      </c>
      <c r="P89" s="139">
        <v>7.8E-2</v>
      </c>
      <c r="Q89" s="139">
        <f t="shared" si="2"/>
        <v>0.99999999999999967</v>
      </c>
    </row>
    <row r="90" spans="1:17" x14ac:dyDescent="0.2">
      <c r="A90" s="33"/>
      <c r="B90" s="31">
        <v>49999</v>
      </c>
      <c r="C90" s="20"/>
      <c r="D90" s="263" t="s">
        <v>591</v>
      </c>
      <c r="E90" s="139">
        <v>7.0999999999999994E-2</v>
      </c>
      <c r="F90" s="139">
        <v>7.3999999999999996E-2</v>
      </c>
      <c r="G90" s="139">
        <v>0.08</v>
      </c>
      <c r="H90" s="139">
        <v>8.5999999999999993E-2</v>
      </c>
      <c r="I90" s="139">
        <v>0.09</v>
      </c>
      <c r="J90" s="139">
        <v>8.7999999999999995E-2</v>
      </c>
      <c r="K90" s="139">
        <v>8.6999999999999994E-2</v>
      </c>
      <c r="L90" s="139">
        <v>0.08</v>
      </c>
      <c r="M90" s="139">
        <v>0.09</v>
      </c>
      <c r="N90" s="139">
        <v>9.1999999999999998E-2</v>
      </c>
      <c r="O90" s="139">
        <v>8.4000000000000005E-2</v>
      </c>
      <c r="P90" s="139">
        <v>7.8E-2</v>
      </c>
      <c r="Q90" s="139">
        <f t="shared" si="2"/>
        <v>0.99999999999999967</v>
      </c>
    </row>
    <row r="91" spans="1:17" x14ac:dyDescent="0.2">
      <c r="A91" s="33"/>
      <c r="B91" s="31">
        <v>13015</v>
      </c>
      <c r="C91" s="9" t="s">
        <v>103</v>
      </c>
      <c r="D91" s="47" t="s">
        <v>104</v>
      </c>
      <c r="E91" s="139">
        <v>7.0999999999999994E-2</v>
      </c>
      <c r="F91" s="139">
        <v>7.3999999999999996E-2</v>
      </c>
      <c r="G91" s="139">
        <v>0.08</v>
      </c>
      <c r="H91" s="139">
        <v>8.5999999999999993E-2</v>
      </c>
      <c r="I91" s="139">
        <v>0.09</v>
      </c>
      <c r="J91" s="139">
        <v>8.7999999999999995E-2</v>
      </c>
      <c r="K91" s="139">
        <v>8.6999999999999994E-2</v>
      </c>
      <c r="L91" s="139">
        <v>0.08</v>
      </c>
      <c r="M91" s="139">
        <v>0.09</v>
      </c>
      <c r="N91" s="139">
        <v>9.1999999999999998E-2</v>
      </c>
      <c r="O91" s="139">
        <v>8.4000000000000005E-2</v>
      </c>
      <c r="P91" s="139">
        <v>7.8E-2</v>
      </c>
      <c r="Q91" s="139">
        <f t="shared" si="2"/>
        <v>0.99999999999999967</v>
      </c>
    </row>
    <row r="92" spans="1:17" x14ac:dyDescent="0.2">
      <c r="A92" s="33"/>
      <c r="B92" s="31">
        <v>13023</v>
      </c>
      <c r="C92" s="8"/>
      <c r="D92" s="263" t="s">
        <v>105</v>
      </c>
      <c r="E92" s="139">
        <v>7.0999999999999994E-2</v>
      </c>
      <c r="F92" s="139">
        <v>7.3999999999999996E-2</v>
      </c>
      <c r="G92" s="139">
        <v>0.08</v>
      </c>
      <c r="H92" s="139">
        <v>8.5999999999999993E-2</v>
      </c>
      <c r="I92" s="139">
        <v>0.09</v>
      </c>
      <c r="J92" s="139">
        <v>8.7999999999999995E-2</v>
      </c>
      <c r="K92" s="139">
        <v>8.6999999999999994E-2</v>
      </c>
      <c r="L92" s="139">
        <v>0.08</v>
      </c>
      <c r="M92" s="139">
        <v>0.09</v>
      </c>
      <c r="N92" s="139">
        <v>9.1999999999999998E-2</v>
      </c>
      <c r="O92" s="139">
        <v>8.4000000000000005E-2</v>
      </c>
      <c r="P92" s="139">
        <v>7.8E-2</v>
      </c>
      <c r="Q92" s="139">
        <f t="shared" si="2"/>
        <v>0.99999999999999967</v>
      </c>
    </row>
    <row r="93" spans="1:17" x14ac:dyDescent="0.2">
      <c r="A93" s="33"/>
      <c r="B93" s="32">
        <v>13145</v>
      </c>
      <c r="C93" s="14" t="s">
        <v>106</v>
      </c>
      <c r="D93" s="49" t="s">
        <v>107</v>
      </c>
      <c r="E93" s="139">
        <v>7.0999999999999994E-2</v>
      </c>
      <c r="F93" s="139">
        <v>7.3999999999999996E-2</v>
      </c>
      <c r="G93" s="139">
        <v>0.08</v>
      </c>
      <c r="H93" s="139">
        <v>8.5999999999999993E-2</v>
      </c>
      <c r="I93" s="139">
        <v>0.09</v>
      </c>
      <c r="J93" s="139">
        <v>8.7999999999999995E-2</v>
      </c>
      <c r="K93" s="139">
        <v>8.6999999999999994E-2</v>
      </c>
      <c r="L93" s="139">
        <v>0.08</v>
      </c>
      <c r="M93" s="139">
        <v>0.09</v>
      </c>
      <c r="N93" s="139">
        <v>9.1999999999999998E-2</v>
      </c>
      <c r="O93" s="139">
        <v>8.4000000000000005E-2</v>
      </c>
      <c r="P93" s="139">
        <v>7.8E-2</v>
      </c>
      <c r="Q93" s="139">
        <f t="shared" si="2"/>
        <v>0.99999999999999967</v>
      </c>
    </row>
    <row r="94" spans="1:17" x14ac:dyDescent="0.2">
      <c r="A94" s="33"/>
      <c r="B94" s="31">
        <v>13087</v>
      </c>
      <c r="C94" s="9" t="s">
        <v>108</v>
      </c>
      <c r="D94" s="49" t="s">
        <v>109</v>
      </c>
      <c r="E94" s="139">
        <v>7.0999999999999994E-2</v>
      </c>
      <c r="F94" s="139">
        <v>7.3999999999999996E-2</v>
      </c>
      <c r="G94" s="139">
        <v>0.08</v>
      </c>
      <c r="H94" s="139">
        <v>8.5999999999999993E-2</v>
      </c>
      <c r="I94" s="139">
        <v>0.09</v>
      </c>
      <c r="J94" s="139">
        <v>8.7999999999999995E-2</v>
      </c>
      <c r="K94" s="139">
        <v>8.6999999999999994E-2</v>
      </c>
      <c r="L94" s="139">
        <v>0.08</v>
      </c>
      <c r="M94" s="139">
        <v>0.09</v>
      </c>
      <c r="N94" s="139">
        <v>9.1999999999999998E-2</v>
      </c>
      <c r="O94" s="139">
        <v>8.4000000000000005E-2</v>
      </c>
      <c r="P94" s="139">
        <v>7.8E-2</v>
      </c>
      <c r="Q94" s="139">
        <f t="shared" si="2"/>
        <v>0.99999999999999967</v>
      </c>
    </row>
    <row r="95" spans="1:17" x14ac:dyDescent="0.2">
      <c r="A95" s="33"/>
      <c r="B95" s="31">
        <v>13085</v>
      </c>
      <c r="C95" s="10"/>
      <c r="D95" s="51" t="s">
        <v>110</v>
      </c>
      <c r="E95" s="139">
        <v>7.0999999999999994E-2</v>
      </c>
      <c r="F95" s="139">
        <v>7.3999999999999996E-2</v>
      </c>
      <c r="G95" s="139">
        <v>0.08</v>
      </c>
      <c r="H95" s="139">
        <v>8.5999999999999993E-2</v>
      </c>
      <c r="I95" s="139">
        <v>0.09</v>
      </c>
      <c r="J95" s="139">
        <v>8.7999999999999995E-2</v>
      </c>
      <c r="K95" s="139">
        <v>8.6999999999999994E-2</v>
      </c>
      <c r="L95" s="139">
        <v>0.08</v>
      </c>
      <c r="M95" s="139">
        <v>0.09</v>
      </c>
      <c r="N95" s="139">
        <v>9.1999999999999998E-2</v>
      </c>
      <c r="O95" s="139">
        <v>8.4000000000000005E-2</v>
      </c>
      <c r="P95" s="139">
        <v>7.8E-2</v>
      </c>
      <c r="Q95" s="139">
        <f t="shared" si="2"/>
        <v>0.99999999999999967</v>
      </c>
    </row>
    <row r="96" spans="1:17" x14ac:dyDescent="0.2">
      <c r="A96" s="33"/>
      <c r="B96" s="3"/>
      <c r="C96" s="279"/>
      <c r="D96" s="280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</row>
    <row r="97" spans="1:17" x14ac:dyDescent="0.2">
      <c r="A97" s="33"/>
      <c r="B97" s="3"/>
      <c r="C97" s="281"/>
      <c r="D97" s="282" t="s">
        <v>150</v>
      </c>
      <c r="E97" s="58">
        <f t="shared" ref="E97:Q97" si="3">SUM(E59:E95)</f>
        <v>2.6270000000000007</v>
      </c>
      <c r="F97" s="58">
        <f t="shared" si="3"/>
        <v>2.7379999999999991</v>
      </c>
      <c r="G97" s="58">
        <f t="shared" si="3"/>
        <v>2.9600000000000013</v>
      </c>
      <c r="H97" s="58">
        <f t="shared" si="3"/>
        <v>3.1819999999999986</v>
      </c>
      <c r="I97" s="58">
        <f t="shared" si="3"/>
        <v>3.3299999999999987</v>
      </c>
      <c r="J97" s="58">
        <f t="shared" si="3"/>
        <v>3.2560000000000016</v>
      </c>
      <c r="K97" s="58">
        <f t="shared" si="3"/>
        <v>3.2190000000000021</v>
      </c>
      <c r="L97" s="58">
        <f t="shared" si="3"/>
        <v>2.9600000000000013</v>
      </c>
      <c r="M97" s="58">
        <f t="shared" si="3"/>
        <v>3.3299999999999987</v>
      </c>
      <c r="N97" s="58">
        <f t="shared" si="3"/>
        <v>3.4040000000000017</v>
      </c>
      <c r="O97" s="58">
        <f t="shared" si="3"/>
        <v>3.1080000000000014</v>
      </c>
      <c r="P97" s="58">
        <f t="shared" si="3"/>
        <v>2.8859999999999988</v>
      </c>
      <c r="Q97" s="58">
        <f t="shared" si="3"/>
        <v>36.999999999999993</v>
      </c>
    </row>
    <row r="98" spans="1:17" s="33" customFormat="1" x14ac:dyDescent="0.2">
      <c r="B98" s="35"/>
      <c r="C98" s="283"/>
      <c r="D98" s="284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</row>
    <row r="99" spans="1:17" ht="13.5" thickBot="1" x14ac:dyDescent="0.25">
      <c r="A99" s="33"/>
      <c r="B99" s="3"/>
      <c r="C99" s="275"/>
      <c r="D99" s="276"/>
      <c r="E99" s="273"/>
      <c r="F99" s="273"/>
      <c r="G99" s="273"/>
      <c r="H99" s="273"/>
      <c r="I99" s="273"/>
      <c r="J99" s="273"/>
      <c r="K99" s="273"/>
      <c r="L99" s="273"/>
      <c r="M99" s="273"/>
      <c r="N99" s="273"/>
      <c r="O99" s="273"/>
      <c r="P99" s="273"/>
      <c r="Q99" s="273"/>
    </row>
    <row r="100" spans="1:17" x14ac:dyDescent="0.2">
      <c r="A100" s="33"/>
      <c r="B100" s="3"/>
      <c r="C100" s="27"/>
      <c r="D100" s="55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</row>
    <row r="101" spans="1:17" s="53" customFormat="1" x14ac:dyDescent="0.2">
      <c r="C101" s="490" t="s">
        <v>151</v>
      </c>
      <c r="D101" s="491"/>
      <c r="E101" s="58">
        <f t="shared" ref="E101:Q101" si="4">SUM(E50,E97)</f>
        <v>5.6720000000000015</v>
      </c>
      <c r="F101" s="58">
        <f t="shared" si="4"/>
        <v>6.1429999999999971</v>
      </c>
      <c r="G101" s="58">
        <f t="shared" si="4"/>
        <v>6.5600000000000032</v>
      </c>
      <c r="H101" s="58">
        <f t="shared" si="4"/>
        <v>7.001999999999998</v>
      </c>
      <c r="I101" s="58">
        <f t="shared" si="4"/>
        <v>7.3799999999999972</v>
      </c>
      <c r="J101" s="58">
        <f t="shared" si="4"/>
        <v>7.2160000000000037</v>
      </c>
      <c r="K101" s="58">
        <f t="shared" si="4"/>
        <v>7.0590000000000046</v>
      </c>
      <c r="L101" s="58">
        <f t="shared" si="4"/>
        <v>6.5850000000000017</v>
      </c>
      <c r="M101" s="58">
        <f t="shared" si="4"/>
        <v>7.4799999999999969</v>
      </c>
      <c r="N101" s="58">
        <f t="shared" si="4"/>
        <v>7.6440000000000028</v>
      </c>
      <c r="O101" s="58">
        <f t="shared" si="4"/>
        <v>6.9380000000000015</v>
      </c>
      <c r="P101" s="58">
        <f t="shared" si="4"/>
        <v>6.320999999999998</v>
      </c>
      <c r="Q101" s="58">
        <f t="shared" si="4"/>
        <v>81.999999999999986</v>
      </c>
    </row>
    <row r="102" spans="1:17" s="53" customFormat="1" ht="13.5" thickBot="1" x14ac:dyDescent="0.25">
      <c r="C102" s="29"/>
      <c r="D102" s="57"/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58"/>
      <c r="Q102" s="58"/>
    </row>
    <row r="103" spans="1:17" s="53" customFormat="1" x14ac:dyDescent="0.2">
      <c r="C103" s="274"/>
      <c r="D103" s="277"/>
      <c r="E103" s="274"/>
      <c r="F103" s="274"/>
      <c r="G103" s="274"/>
      <c r="H103" s="274"/>
      <c r="I103" s="274"/>
      <c r="J103" s="274"/>
      <c r="K103" s="274"/>
      <c r="L103" s="274"/>
      <c r="M103" s="274"/>
      <c r="N103" s="274"/>
      <c r="O103" s="274"/>
      <c r="P103" s="274"/>
      <c r="Q103" s="273"/>
    </row>
    <row r="104" spans="1:17" s="53" customFormat="1" x14ac:dyDescent="0.2">
      <c r="D104" s="54"/>
    </row>
    <row r="105" spans="1:17" s="53" customFormat="1" x14ac:dyDescent="0.2">
      <c r="D105" s="54"/>
    </row>
    <row r="106" spans="1:17" s="53" customFormat="1" x14ac:dyDescent="0.2">
      <c r="D106" s="54"/>
    </row>
    <row r="107" spans="1:17" s="53" customFormat="1" x14ac:dyDescent="0.2">
      <c r="D107" s="54"/>
    </row>
    <row r="108" spans="1:17" s="53" customFormat="1" x14ac:dyDescent="0.2">
      <c r="D108" s="54"/>
    </row>
    <row r="109" spans="1:17" s="53" customFormat="1" x14ac:dyDescent="0.2">
      <c r="D109" s="54"/>
    </row>
    <row r="110" spans="1:17" x14ac:dyDescent="0.2">
      <c r="Q110" s="53"/>
    </row>
    <row r="111" spans="1:17" x14ac:dyDescent="0.2">
      <c r="Q111" s="53"/>
    </row>
    <row r="112" spans="1:17" x14ac:dyDescent="0.2">
      <c r="Q112" s="53"/>
    </row>
  </sheetData>
  <mergeCells count="1">
    <mergeCell ref="C101:D101"/>
  </mergeCells>
  <pageMargins left="0.7" right="0.7" top="0.75" bottom="0.75" header="0.3" footer="0.3"/>
  <pageSetup paperSize="9" scale="65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AU220"/>
  <sheetViews>
    <sheetView workbookViewId="0">
      <selection activeCell="O37" sqref="O37"/>
    </sheetView>
  </sheetViews>
  <sheetFormatPr baseColWidth="10" defaultColWidth="0" defaultRowHeight="12.75" zeroHeight="1" x14ac:dyDescent="0.25"/>
  <cols>
    <col min="1" max="2" width="2.7109375" style="141" customWidth="1"/>
    <col min="3" max="3" width="4.5703125" style="173" hidden="1" customWidth="1"/>
    <col min="4" max="4" width="7.42578125" style="173" hidden="1" customWidth="1"/>
    <col min="5" max="5" width="9" style="173" hidden="1" customWidth="1"/>
    <col min="6" max="6" width="7.42578125" style="173" hidden="1" customWidth="1"/>
    <col min="7" max="7" width="28" style="141" customWidth="1"/>
    <col min="8" max="8" width="18.140625" style="141" bestFit="1" customWidth="1"/>
    <col min="9" max="9" width="42.140625" style="141" customWidth="1"/>
    <col min="10" max="10" width="13.85546875" style="141" bestFit="1" customWidth="1"/>
    <col min="11" max="11" width="8.7109375" style="143" customWidth="1"/>
    <col min="12" max="12" width="10.140625" style="144" hidden="1" customWidth="1"/>
    <col min="13" max="13" width="10.140625" style="146" hidden="1" customWidth="1"/>
    <col min="14" max="15" width="12.7109375" style="145" customWidth="1"/>
    <col min="16" max="16" width="12.85546875" style="143" bestFit="1" customWidth="1"/>
    <col min="17" max="17" width="11.7109375" style="143" bestFit="1" customWidth="1"/>
    <col min="18" max="18" width="10.140625" style="146" hidden="1" customWidth="1"/>
    <col min="19" max="20" width="12.7109375" style="145" customWidth="1"/>
    <col min="21" max="21" width="12.85546875" style="143" bestFit="1" customWidth="1"/>
    <col min="22" max="22" width="11.7109375" style="143" bestFit="1" customWidth="1"/>
    <col min="23" max="23" width="15" style="145" bestFit="1" customWidth="1"/>
    <col min="24" max="24" width="12.85546875" style="143" bestFit="1" customWidth="1"/>
    <col min="25" max="25" width="12.7109375" style="145" customWidth="1"/>
    <col min="26" max="26" width="11.7109375" style="143" bestFit="1" customWidth="1"/>
    <col min="27" max="28" width="2.7109375" style="141" customWidth="1"/>
    <col min="29" max="47" width="0" style="141" hidden="1" customWidth="1"/>
    <col min="48" max="16384" width="9.140625" style="141" hidden="1"/>
  </cols>
  <sheetData>
    <row r="1" spans="2:27" ht="20.100000000000001" customHeight="1" thickBot="1" x14ac:dyDescent="0.3">
      <c r="C1" s="142"/>
      <c r="D1" s="142"/>
      <c r="E1" s="142"/>
      <c r="F1" s="142"/>
      <c r="G1" s="493" t="s">
        <v>601</v>
      </c>
      <c r="H1" s="493"/>
    </row>
    <row r="2" spans="2:27" ht="13.5" thickTop="1" x14ac:dyDescent="0.25">
      <c r="B2" s="147"/>
      <c r="C2" s="148"/>
      <c r="D2" s="148"/>
      <c r="E2" s="148"/>
      <c r="F2" s="148"/>
      <c r="G2" s="149"/>
      <c r="H2" s="149"/>
      <c r="I2" s="149"/>
      <c r="J2" s="149"/>
      <c r="K2" s="150"/>
      <c r="L2" s="151"/>
      <c r="M2" s="153"/>
      <c r="N2" s="152"/>
      <c r="O2" s="152"/>
      <c r="P2" s="150"/>
      <c r="Q2" s="150"/>
      <c r="R2" s="153"/>
      <c r="S2" s="152"/>
      <c r="T2" s="152"/>
      <c r="U2" s="150"/>
      <c r="V2" s="150"/>
      <c r="W2" s="152"/>
      <c r="X2" s="150"/>
      <c r="Y2" s="152"/>
      <c r="Z2" s="150"/>
      <c r="AA2" s="154"/>
    </row>
    <row r="3" spans="2:27" ht="24.95" customHeight="1" x14ac:dyDescent="0.25">
      <c r="B3" s="155"/>
      <c r="C3" s="156"/>
      <c r="D3" s="156"/>
      <c r="E3" s="156"/>
      <c r="F3" s="156"/>
      <c r="G3" s="157" t="s">
        <v>386</v>
      </c>
      <c r="H3" s="158"/>
      <c r="I3" s="158"/>
      <c r="J3" s="158"/>
      <c r="K3" s="159"/>
      <c r="L3" s="160"/>
      <c r="M3" s="162"/>
      <c r="N3" s="161"/>
      <c r="O3" s="161"/>
      <c r="P3" s="159"/>
      <c r="Q3" s="159"/>
      <c r="R3" s="162"/>
      <c r="S3" s="161"/>
      <c r="T3" s="161"/>
      <c r="U3" s="159"/>
      <c r="V3" s="159"/>
      <c r="W3" s="161"/>
      <c r="X3" s="159"/>
      <c r="Y3" s="161"/>
      <c r="Z3" s="159"/>
      <c r="AA3" s="163"/>
    </row>
    <row r="4" spans="2:27" ht="20.25" x14ac:dyDescent="0.25">
      <c r="B4" s="155"/>
      <c r="C4" s="156"/>
      <c r="D4" s="156"/>
      <c r="E4" s="156"/>
      <c r="F4" s="156"/>
      <c r="G4" s="157" t="s">
        <v>387</v>
      </c>
      <c r="H4" s="158"/>
      <c r="I4" s="158"/>
      <c r="J4" s="158"/>
      <c r="K4" s="159"/>
      <c r="L4" s="160"/>
      <c r="M4" s="162"/>
      <c r="N4" s="161"/>
      <c r="O4" s="161"/>
      <c r="P4" s="159"/>
      <c r="Q4" s="159"/>
      <c r="R4" s="162"/>
      <c r="S4" s="161"/>
      <c r="T4" s="161"/>
      <c r="U4" s="159"/>
      <c r="V4" s="159"/>
      <c r="W4" s="161"/>
      <c r="X4" s="159"/>
      <c r="Y4" s="161"/>
      <c r="Z4" s="159"/>
      <c r="AA4" s="163"/>
    </row>
    <row r="5" spans="2:27" x14ac:dyDescent="0.25">
      <c r="B5" s="155"/>
      <c r="C5" s="156"/>
      <c r="D5" s="156"/>
      <c r="E5" s="156"/>
      <c r="F5" s="156"/>
      <c r="G5" s="158"/>
      <c r="H5" s="158"/>
      <c r="I5" s="158"/>
      <c r="J5" s="158"/>
      <c r="K5" s="159"/>
      <c r="L5" s="160"/>
      <c r="M5" s="162"/>
      <c r="N5" s="161"/>
      <c r="O5" s="161"/>
      <c r="P5" s="159"/>
      <c r="Q5" s="159"/>
      <c r="R5" s="162"/>
      <c r="S5" s="161"/>
      <c r="T5" s="161"/>
      <c r="U5" s="159"/>
      <c r="V5" s="159"/>
      <c r="W5" s="161"/>
      <c r="X5" s="159"/>
      <c r="Y5" s="161"/>
      <c r="Z5" s="159"/>
      <c r="AA5" s="163"/>
    </row>
    <row r="6" spans="2:27" x14ac:dyDescent="0.25">
      <c r="B6" s="155"/>
      <c r="C6" s="156"/>
      <c r="D6" s="156"/>
      <c r="E6" s="156"/>
      <c r="F6" s="156"/>
      <c r="G6" s="158"/>
      <c r="H6" s="158"/>
      <c r="I6" s="164"/>
      <c r="J6" s="164"/>
      <c r="K6" s="165"/>
      <c r="L6" s="166"/>
      <c r="M6" s="167"/>
      <c r="N6" s="161"/>
      <c r="O6" s="161"/>
      <c r="P6" s="159"/>
      <c r="Q6" s="159"/>
      <c r="R6" s="167"/>
      <c r="S6" s="161"/>
      <c r="T6" s="161"/>
      <c r="U6" s="159"/>
      <c r="V6" s="159"/>
      <c r="W6" s="161"/>
      <c r="X6" s="159"/>
      <c r="Y6" s="161"/>
      <c r="Z6" s="159"/>
      <c r="AA6" s="163"/>
    </row>
    <row r="7" spans="2:27" x14ac:dyDescent="0.25">
      <c r="B7" s="155"/>
      <c r="C7" s="156"/>
      <c r="D7" s="156"/>
      <c r="E7" s="156"/>
      <c r="F7" s="156"/>
      <c r="G7" s="158"/>
      <c r="H7" s="158"/>
      <c r="I7" s="158"/>
      <c r="J7" s="158"/>
      <c r="K7" s="159"/>
      <c r="L7" s="160"/>
      <c r="M7" s="162"/>
      <c r="N7" s="161"/>
      <c r="O7" s="161"/>
      <c r="P7" s="159"/>
      <c r="Q7" s="159"/>
      <c r="R7" s="162"/>
      <c r="S7" s="161"/>
      <c r="T7" s="161"/>
      <c r="U7" s="159"/>
      <c r="V7" s="159"/>
      <c r="W7" s="161"/>
      <c r="X7" s="159"/>
      <c r="Y7" s="161"/>
      <c r="Z7" s="159"/>
      <c r="AA7" s="163"/>
    </row>
    <row r="8" spans="2:27" s="172" customFormat="1" ht="8.25" hidden="1" x14ac:dyDescent="0.25">
      <c r="B8" s="168"/>
      <c r="C8" s="169" t="s">
        <v>388</v>
      </c>
      <c r="D8" s="170" t="s">
        <v>389</v>
      </c>
      <c r="E8" s="171" t="s">
        <v>390</v>
      </c>
      <c r="F8" s="171"/>
      <c r="G8" s="171"/>
      <c r="H8" s="170"/>
      <c r="K8" s="173"/>
      <c r="L8" s="170" t="s">
        <v>389</v>
      </c>
      <c r="M8" s="170" t="s">
        <v>389</v>
      </c>
      <c r="N8" s="170" t="s">
        <v>389</v>
      </c>
      <c r="O8" s="171" t="s">
        <v>390</v>
      </c>
      <c r="P8" s="156"/>
      <c r="Q8" s="156"/>
      <c r="R8" s="170" t="s">
        <v>389</v>
      </c>
      <c r="S8" s="170" t="s">
        <v>389</v>
      </c>
      <c r="T8" s="171" t="s">
        <v>390</v>
      </c>
      <c r="U8" s="156"/>
      <c r="V8" s="156"/>
      <c r="W8" s="171" t="s">
        <v>390</v>
      </c>
      <c r="X8" s="156"/>
      <c r="Y8" s="171" t="s">
        <v>390</v>
      </c>
      <c r="Z8" s="156"/>
      <c r="AA8" s="174"/>
    </row>
    <row r="9" spans="2:27" s="172" customFormat="1" ht="8.25" hidden="1" x14ac:dyDescent="0.25">
      <c r="B9" s="168"/>
      <c r="C9" s="156"/>
      <c r="D9" s="170" t="s">
        <v>391</v>
      </c>
      <c r="E9" s="170" t="s">
        <v>392</v>
      </c>
      <c r="F9" s="170"/>
      <c r="G9" s="156" t="s">
        <v>393</v>
      </c>
      <c r="H9" s="156" t="s">
        <v>394</v>
      </c>
      <c r="I9" s="156" t="s">
        <v>395</v>
      </c>
      <c r="J9" s="156"/>
      <c r="K9" s="156"/>
      <c r="L9" s="170" t="s">
        <v>602</v>
      </c>
      <c r="M9" s="170" t="s">
        <v>396</v>
      </c>
      <c r="N9" s="170" t="s">
        <v>397</v>
      </c>
      <c r="O9" s="170" t="s">
        <v>398</v>
      </c>
      <c r="P9" s="156"/>
      <c r="Q9" s="156"/>
      <c r="R9" s="170" t="s">
        <v>399</v>
      </c>
      <c r="S9" s="170" t="s">
        <v>400</v>
      </c>
      <c r="T9" s="170" t="s">
        <v>401</v>
      </c>
      <c r="U9" s="156"/>
      <c r="V9" s="156"/>
      <c r="W9" s="170" t="s">
        <v>603</v>
      </c>
      <c r="X9" s="156"/>
      <c r="Y9" s="170" t="s">
        <v>604</v>
      </c>
      <c r="Z9" s="156"/>
      <c r="AA9" s="174"/>
    </row>
    <row r="10" spans="2:27" s="172" customFormat="1" ht="8.25" hidden="1" x14ac:dyDescent="0.25">
      <c r="B10" s="168"/>
      <c r="C10" s="169" t="s">
        <v>605</v>
      </c>
      <c r="D10" s="175" t="s">
        <v>402</v>
      </c>
      <c r="E10" s="156" t="s">
        <v>403</v>
      </c>
      <c r="F10" s="156"/>
      <c r="G10" s="176"/>
      <c r="H10" s="156"/>
      <c r="K10" s="173"/>
      <c r="L10" s="170" t="s">
        <v>606</v>
      </c>
      <c r="M10" s="170" t="s">
        <v>404</v>
      </c>
      <c r="N10" s="170" t="s">
        <v>405</v>
      </c>
      <c r="O10" s="170" t="s">
        <v>405</v>
      </c>
      <c r="P10" s="156"/>
      <c r="Q10" s="156"/>
      <c r="R10" s="170" t="s">
        <v>406</v>
      </c>
      <c r="S10" s="170" t="s">
        <v>407</v>
      </c>
      <c r="T10" s="170" t="s">
        <v>407</v>
      </c>
      <c r="U10" s="156"/>
      <c r="V10" s="156"/>
      <c r="W10" s="170" t="s">
        <v>607</v>
      </c>
      <c r="X10" s="156"/>
      <c r="Y10" s="170" t="s">
        <v>608</v>
      </c>
      <c r="Z10" s="156"/>
      <c r="AA10" s="174"/>
    </row>
    <row r="11" spans="2:27" s="182" customFormat="1" ht="15" customHeight="1" x14ac:dyDescent="0.25">
      <c r="B11" s="177"/>
      <c r="C11" s="156"/>
      <c r="D11" s="156"/>
      <c r="E11" s="156"/>
      <c r="F11" s="156"/>
      <c r="G11" s="178"/>
      <c r="H11" s="178"/>
      <c r="I11" s="178"/>
      <c r="J11" s="178"/>
      <c r="K11" s="179"/>
      <c r="L11" s="170"/>
      <c r="M11" s="180"/>
      <c r="N11" s="494" t="s">
        <v>609</v>
      </c>
      <c r="O11" s="495"/>
      <c r="P11" s="495"/>
      <c r="Q11" s="495"/>
      <c r="R11" s="495"/>
      <c r="S11" s="495"/>
      <c r="T11" s="495"/>
      <c r="U11" s="495"/>
      <c r="V11" s="496"/>
      <c r="W11" s="497" t="s">
        <v>610</v>
      </c>
      <c r="X11" s="498"/>
      <c r="Y11" s="498"/>
      <c r="Z11" s="499"/>
      <c r="AA11" s="181"/>
    </row>
    <row r="12" spans="2:27" s="143" customFormat="1" ht="15" customHeight="1" x14ac:dyDescent="0.25">
      <c r="B12" s="183"/>
      <c r="C12" s="184" t="s">
        <v>408</v>
      </c>
      <c r="D12" s="185"/>
      <c r="E12" s="185"/>
      <c r="F12" s="185"/>
      <c r="G12" s="186" t="s">
        <v>409</v>
      </c>
      <c r="H12" s="187" t="s">
        <v>410</v>
      </c>
      <c r="I12" s="188" t="s">
        <v>411</v>
      </c>
      <c r="J12" s="188" t="s">
        <v>412</v>
      </c>
      <c r="K12" s="189" t="s">
        <v>413</v>
      </c>
      <c r="L12" s="190" t="s">
        <v>414</v>
      </c>
      <c r="M12" s="191" t="s">
        <v>414</v>
      </c>
      <c r="N12" s="192" t="s">
        <v>415</v>
      </c>
      <c r="O12" s="193" t="s">
        <v>416</v>
      </c>
      <c r="P12" s="194" t="s">
        <v>417</v>
      </c>
      <c r="Q12" s="195" t="s">
        <v>418</v>
      </c>
      <c r="R12" s="191" t="s">
        <v>414</v>
      </c>
      <c r="S12" s="192" t="s">
        <v>419</v>
      </c>
      <c r="T12" s="193" t="s">
        <v>420</v>
      </c>
      <c r="U12" s="194" t="s">
        <v>421</v>
      </c>
      <c r="V12" s="195" t="s">
        <v>418</v>
      </c>
      <c r="W12" s="296" t="s">
        <v>611</v>
      </c>
      <c r="X12" s="297" t="s">
        <v>612</v>
      </c>
      <c r="Y12" s="298" t="s">
        <v>613</v>
      </c>
      <c r="Z12" s="299" t="s">
        <v>614</v>
      </c>
      <c r="AA12" s="196"/>
    </row>
    <row r="13" spans="2:27" ht="15" customHeight="1" x14ac:dyDescent="0.25">
      <c r="B13" s="155"/>
      <c r="C13" s="197">
        <v>3</v>
      </c>
      <c r="D13" s="198" t="s">
        <v>66</v>
      </c>
      <c r="E13" s="198" t="s">
        <v>5</v>
      </c>
      <c r="F13" s="199" t="s">
        <v>422</v>
      </c>
      <c r="G13" s="200" t="s">
        <v>66</v>
      </c>
      <c r="H13" s="201" t="s">
        <v>5</v>
      </c>
      <c r="I13" s="202" t="s">
        <v>423</v>
      </c>
      <c r="J13" s="203" t="s">
        <v>424</v>
      </c>
      <c r="K13" s="204">
        <v>13016</v>
      </c>
      <c r="L13" s="205">
        <v>80</v>
      </c>
      <c r="M13" s="209">
        <v>4416</v>
      </c>
      <c r="N13" s="210">
        <v>-818</v>
      </c>
      <c r="O13" s="206">
        <v>3961.3346182304435</v>
      </c>
      <c r="P13" s="207" t="s">
        <v>425</v>
      </c>
      <c r="Q13" s="208" t="s">
        <v>425</v>
      </c>
      <c r="R13" s="209">
        <v>-27238.04</v>
      </c>
      <c r="S13" s="210">
        <v>-7448.6900000000005</v>
      </c>
      <c r="T13" s="206">
        <v>8616.5630170875884</v>
      </c>
      <c r="U13" s="207" t="s">
        <v>425</v>
      </c>
      <c r="V13" s="208" t="s">
        <v>425</v>
      </c>
      <c r="W13" s="206">
        <v>8100.8887898373087</v>
      </c>
      <c r="X13" s="301">
        <v>-0.10097657445022498</v>
      </c>
      <c r="Y13" s="300">
        <v>17620.783266027789</v>
      </c>
      <c r="Z13" s="208">
        <v>-0.42272184428718307</v>
      </c>
      <c r="AA13" s="163"/>
    </row>
    <row r="14" spans="2:27" ht="15" customHeight="1" x14ac:dyDescent="0.25">
      <c r="B14" s="155"/>
      <c r="C14" s="197">
        <v>3</v>
      </c>
      <c r="D14" s="211" t="s">
        <v>66</v>
      </c>
      <c r="E14" s="211" t="s">
        <v>5</v>
      </c>
      <c r="F14" s="199" t="s">
        <v>422</v>
      </c>
      <c r="G14" s="200" t="s">
        <v>426</v>
      </c>
      <c r="H14" s="201" t="s">
        <v>426</v>
      </c>
      <c r="I14" s="202" t="s">
        <v>427</v>
      </c>
      <c r="J14" s="202" t="s">
        <v>424</v>
      </c>
      <c r="K14" s="204">
        <v>13017</v>
      </c>
      <c r="L14" s="205">
        <v>99</v>
      </c>
      <c r="M14" s="209">
        <v>3714</v>
      </c>
      <c r="N14" s="213">
        <v>-2593</v>
      </c>
      <c r="O14" s="212">
        <v>3099.2459414604086</v>
      </c>
      <c r="P14" s="207" t="s">
        <v>425</v>
      </c>
      <c r="Q14" s="208" t="s">
        <v>425</v>
      </c>
      <c r="R14" s="209">
        <v>-2217.0999999999995</v>
      </c>
      <c r="S14" s="213">
        <v>-7894.3400000000011</v>
      </c>
      <c r="T14" s="212">
        <v>7828.6952481289918</v>
      </c>
      <c r="U14" s="207" t="s">
        <v>425</v>
      </c>
      <c r="V14" s="208" t="s">
        <v>425</v>
      </c>
      <c r="W14" s="212">
        <v>6337.9262606552329</v>
      </c>
      <c r="X14" s="301">
        <v>-0.40912435603691105</v>
      </c>
      <c r="Y14" s="302">
        <v>16009.601734415117</v>
      </c>
      <c r="Z14" s="208">
        <v>-0.49310033634565031</v>
      </c>
      <c r="AA14" s="163"/>
    </row>
    <row r="15" spans="2:27" ht="15" customHeight="1" x14ac:dyDescent="0.25">
      <c r="B15" s="155"/>
      <c r="C15" s="197">
        <v>2</v>
      </c>
      <c r="D15" s="211" t="s">
        <v>66</v>
      </c>
      <c r="E15" s="211" t="s">
        <v>426</v>
      </c>
      <c r="F15" s="199" t="s">
        <v>422</v>
      </c>
      <c r="G15" s="200" t="s">
        <v>426</v>
      </c>
      <c r="H15" s="201" t="s">
        <v>428</v>
      </c>
      <c r="I15" s="202" t="s">
        <v>426</v>
      </c>
      <c r="J15" s="202" t="s">
        <v>426</v>
      </c>
      <c r="K15" s="204" t="s">
        <v>426</v>
      </c>
      <c r="L15" s="205">
        <v>179</v>
      </c>
      <c r="M15" s="209">
        <v>8130</v>
      </c>
      <c r="N15" s="213">
        <v>-3411</v>
      </c>
      <c r="O15" s="212">
        <v>7060.5805596908522</v>
      </c>
      <c r="P15" s="207" t="s">
        <v>425</v>
      </c>
      <c r="Q15" s="208" t="s">
        <v>425</v>
      </c>
      <c r="R15" s="209">
        <v>-29455.14</v>
      </c>
      <c r="S15" s="213">
        <v>-15343.030000000002</v>
      </c>
      <c r="T15" s="212">
        <v>16445.25826521658</v>
      </c>
      <c r="U15" s="207" t="s">
        <v>425</v>
      </c>
      <c r="V15" s="208" t="s">
        <v>425</v>
      </c>
      <c r="W15" s="212">
        <v>14438.815050492542</v>
      </c>
      <c r="X15" s="301">
        <v>-0.23623822232445887</v>
      </c>
      <c r="Y15" s="302">
        <v>33630.385000442904</v>
      </c>
      <c r="Z15" s="208">
        <v>-0.45622522608046084</v>
      </c>
      <c r="AA15" s="163"/>
    </row>
    <row r="16" spans="2:27" ht="15" customHeight="1" x14ac:dyDescent="0.25">
      <c r="B16" s="155"/>
      <c r="C16" s="197">
        <v>3</v>
      </c>
      <c r="D16" s="211" t="s">
        <v>66</v>
      </c>
      <c r="E16" s="211" t="s">
        <v>8</v>
      </c>
      <c r="F16" s="199" t="s">
        <v>422</v>
      </c>
      <c r="G16" s="200" t="s">
        <v>426</v>
      </c>
      <c r="H16" s="201" t="s">
        <v>8</v>
      </c>
      <c r="I16" s="202" t="s">
        <v>9</v>
      </c>
      <c r="J16" s="202" t="s">
        <v>429</v>
      </c>
      <c r="K16" s="204">
        <v>13078</v>
      </c>
      <c r="L16" s="205">
        <v>1543</v>
      </c>
      <c r="M16" s="209">
        <v>5433</v>
      </c>
      <c r="N16" s="213">
        <v>2793</v>
      </c>
      <c r="O16" s="212">
        <v>5684.6943177507346</v>
      </c>
      <c r="P16" s="207">
        <v>-0.50868070578945268</v>
      </c>
      <c r="Q16" s="208">
        <v>-0.48591938155715075</v>
      </c>
      <c r="R16" s="209">
        <v>124802.76</v>
      </c>
      <c r="S16" s="213">
        <v>56029.249999999993</v>
      </c>
      <c r="T16" s="212">
        <v>130584.4911856449</v>
      </c>
      <c r="U16" s="207">
        <v>-0.57093488291541261</v>
      </c>
      <c r="V16" s="208">
        <v>-0.55105760481579091</v>
      </c>
      <c r="W16" s="212">
        <v>11625.141754091484</v>
      </c>
      <c r="X16" s="301">
        <v>0.24025513486895761</v>
      </c>
      <c r="Y16" s="302">
        <v>267043.94925489754</v>
      </c>
      <c r="Z16" s="208">
        <v>0.20981284225436322</v>
      </c>
      <c r="AA16" s="163"/>
    </row>
    <row r="17" spans="2:27" ht="15" customHeight="1" x14ac:dyDescent="0.25">
      <c r="B17" s="155"/>
      <c r="C17" s="197">
        <v>3</v>
      </c>
      <c r="D17" s="211" t="s">
        <v>66</v>
      </c>
      <c r="E17" s="211" t="s">
        <v>8</v>
      </c>
      <c r="F17" s="199" t="s">
        <v>422</v>
      </c>
      <c r="G17" s="200" t="s">
        <v>426</v>
      </c>
      <c r="H17" s="201" t="s">
        <v>426</v>
      </c>
      <c r="I17" s="202" t="s">
        <v>430</v>
      </c>
      <c r="J17" s="202" t="s">
        <v>429</v>
      </c>
      <c r="K17" s="204">
        <v>13053</v>
      </c>
      <c r="L17" s="205">
        <v>1799</v>
      </c>
      <c r="M17" s="209">
        <v>6553</v>
      </c>
      <c r="N17" s="213">
        <v>9305</v>
      </c>
      <c r="O17" s="212">
        <v>8581.2667979867147</v>
      </c>
      <c r="P17" s="207">
        <v>8.4338736814835169E-2</v>
      </c>
      <c r="Q17" s="208">
        <v>0.41996032351594681</v>
      </c>
      <c r="R17" s="209">
        <v>193806.52000000002</v>
      </c>
      <c r="S17" s="213">
        <v>278611.21999999997</v>
      </c>
      <c r="T17" s="212">
        <v>256796.4321339647</v>
      </c>
      <c r="U17" s="207">
        <v>8.4949731134329021E-2</v>
      </c>
      <c r="V17" s="208">
        <v>0.43757403001715289</v>
      </c>
      <c r="W17" s="212">
        <v>17548.602858868537</v>
      </c>
      <c r="X17" s="301">
        <v>0.53024164230245441</v>
      </c>
      <c r="Y17" s="302">
        <v>525146.07798356796</v>
      </c>
      <c r="Z17" s="208">
        <v>0.53054041852468681</v>
      </c>
      <c r="AA17" s="163"/>
    </row>
    <row r="18" spans="2:27" ht="15" customHeight="1" x14ac:dyDescent="0.25">
      <c r="B18" s="155"/>
      <c r="C18" s="197">
        <v>3</v>
      </c>
      <c r="D18" s="211" t="s">
        <v>66</v>
      </c>
      <c r="E18" s="211" t="s">
        <v>8</v>
      </c>
      <c r="F18" s="199" t="s">
        <v>422</v>
      </c>
      <c r="G18" s="200" t="s">
        <v>426</v>
      </c>
      <c r="H18" s="201" t="s">
        <v>426</v>
      </c>
      <c r="I18" s="202" t="s">
        <v>431</v>
      </c>
      <c r="J18" s="202" t="s">
        <v>429</v>
      </c>
      <c r="K18" s="204">
        <v>13120</v>
      </c>
      <c r="L18" s="205">
        <v>-4</v>
      </c>
      <c r="M18" s="209">
        <v>-250</v>
      </c>
      <c r="N18" s="213">
        <v>1040</v>
      </c>
      <c r="O18" s="212">
        <v>1693.9022348927001</v>
      </c>
      <c r="P18" s="207">
        <v>-0.38603304336163258</v>
      </c>
      <c r="Q18" s="208" t="s">
        <v>425</v>
      </c>
      <c r="R18" s="209">
        <v>-5814.26</v>
      </c>
      <c r="S18" s="213">
        <v>21933.500000000004</v>
      </c>
      <c r="T18" s="212">
        <v>39395.152032988924</v>
      </c>
      <c r="U18" s="207">
        <v>-0.44324367674395038</v>
      </c>
      <c r="V18" s="208" t="s">
        <v>425</v>
      </c>
      <c r="W18" s="212">
        <v>3464.0127502918208</v>
      </c>
      <c r="X18" s="301">
        <v>0.30022984179616158</v>
      </c>
      <c r="Y18" s="302">
        <v>80562.683094046864</v>
      </c>
      <c r="Z18" s="208">
        <v>0.27225384207220832</v>
      </c>
      <c r="AA18" s="163"/>
    </row>
    <row r="19" spans="2:27" ht="15" customHeight="1" x14ac:dyDescent="0.25">
      <c r="B19" s="155"/>
      <c r="C19" s="197">
        <v>2</v>
      </c>
      <c r="D19" s="211" t="s">
        <v>66</v>
      </c>
      <c r="E19" s="211" t="s">
        <v>426</v>
      </c>
      <c r="F19" s="199" t="s">
        <v>422</v>
      </c>
      <c r="G19" s="200" t="s">
        <v>426</v>
      </c>
      <c r="H19" s="201" t="s">
        <v>432</v>
      </c>
      <c r="I19" s="202" t="s">
        <v>426</v>
      </c>
      <c r="J19" s="202" t="s">
        <v>426</v>
      </c>
      <c r="K19" s="204" t="s">
        <v>426</v>
      </c>
      <c r="L19" s="205">
        <v>3338</v>
      </c>
      <c r="M19" s="209">
        <v>11736</v>
      </c>
      <c r="N19" s="213">
        <v>13138</v>
      </c>
      <c r="O19" s="212">
        <v>15959.863350630148</v>
      </c>
      <c r="P19" s="207">
        <v>-0.17680999446143331</v>
      </c>
      <c r="Q19" s="208">
        <v>0.11946148602590312</v>
      </c>
      <c r="R19" s="209">
        <v>312795.02</v>
      </c>
      <c r="S19" s="213">
        <v>356573.97</v>
      </c>
      <c r="T19" s="212">
        <v>426776.07535259851</v>
      </c>
      <c r="U19" s="207">
        <v>-0.16449400378078405</v>
      </c>
      <c r="V19" s="208">
        <v>0.13996050832267071</v>
      </c>
      <c r="W19" s="212">
        <v>32637.757363251843</v>
      </c>
      <c r="X19" s="301">
        <v>0.40253991270835904</v>
      </c>
      <c r="Y19" s="302">
        <v>872752.71033251239</v>
      </c>
      <c r="Z19" s="208">
        <v>0.40856243215119653</v>
      </c>
      <c r="AA19" s="163"/>
    </row>
    <row r="20" spans="2:27" ht="15" customHeight="1" x14ac:dyDescent="0.25">
      <c r="B20" s="155"/>
      <c r="C20" s="197">
        <v>3</v>
      </c>
      <c r="D20" s="211" t="s">
        <v>66</v>
      </c>
      <c r="E20" s="211" t="s">
        <v>12</v>
      </c>
      <c r="F20" s="199" t="s">
        <v>422</v>
      </c>
      <c r="G20" s="200" t="s">
        <v>426</v>
      </c>
      <c r="H20" s="201" t="s">
        <v>12</v>
      </c>
      <c r="I20" s="202" t="s">
        <v>433</v>
      </c>
      <c r="J20" s="202" t="s">
        <v>429</v>
      </c>
      <c r="K20" s="204">
        <v>13022</v>
      </c>
      <c r="L20" s="205">
        <v>64864</v>
      </c>
      <c r="M20" s="209">
        <v>219494</v>
      </c>
      <c r="N20" s="213">
        <v>283265</v>
      </c>
      <c r="O20" s="212">
        <v>208235.2365842727</v>
      </c>
      <c r="P20" s="207">
        <v>0.36031252273369585</v>
      </c>
      <c r="Q20" s="208">
        <v>0.290536415574002</v>
      </c>
      <c r="R20" s="209">
        <v>1084215.6600000001</v>
      </c>
      <c r="S20" s="213">
        <v>1406278.31</v>
      </c>
      <c r="T20" s="212">
        <v>1056373.9596030971</v>
      </c>
      <c r="U20" s="207">
        <v>0.33123151817219143</v>
      </c>
      <c r="V20" s="208">
        <v>0.29704666874116148</v>
      </c>
      <c r="W20" s="212">
        <v>425838.92962018953</v>
      </c>
      <c r="X20" s="301">
        <v>0.66519282361677734</v>
      </c>
      <c r="Y20" s="302">
        <v>2160273.9460186036</v>
      </c>
      <c r="Z20" s="208">
        <v>0.65097221238620151</v>
      </c>
      <c r="AA20" s="163"/>
    </row>
    <row r="21" spans="2:27" ht="15" customHeight="1" x14ac:dyDescent="0.25">
      <c r="B21" s="155"/>
      <c r="C21" s="197">
        <v>2</v>
      </c>
      <c r="D21" s="211" t="s">
        <v>66</v>
      </c>
      <c r="E21" s="211" t="s">
        <v>426</v>
      </c>
      <c r="F21" s="199" t="s">
        <v>422</v>
      </c>
      <c r="G21" s="200" t="s">
        <v>426</v>
      </c>
      <c r="H21" s="201" t="s">
        <v>434</v>
      </c>
      <c r="I21" s="202" t="s">
        <v>426</v>
      </c>
      <c r="J21" s="202" t="s">
        <v>426</v>
      </c>
      <c r="K21" s="204" t="s">
        <v>426</v>
      </c>
      <c r="L21" s="205">
        <v>64864</v>
      </c>
      <c r="M21" s="209">
        <v>219494</v>
      </c>
      <c r="N21" s="213">
        <v>283265</v>
      </c>
      <c r="O21" s="212">
        <v>208235.2365842727</v>
      </c>
      <c r="P21" s="207">
        <v>0.36031252273369585</v>
      </c>
      <c r="Q21" s="208">
        <v>0.290536415574002</v>
      </c>
      <c r="R21" s="209">
        <v>1084215.6600000001</v>
      </c>
      <c r="S21" s="213">
        <v>1406278.31</v>
      </c>
      <c r="T21" s="212">
        <v>1056373.9596030971</v>
      </c>
      <c r="U21" s="207">
        <v>0.33123151817219143</v>
      </c>
      <c r="V21" s="208">
        <v>0.29704666874116148</v>
      </c>
      <c r="W21" s="212">
        <v>425838.92962018953</v>
      </c>
      <c r="X21" s="301">
        <v>0.66519282361677734</v>
      </c>
      <c r="Y21" s="302">
        <v>2160273.9460186036</v>
      </c>
      <c r="Z21" s="208">
        <v>0.65097221238620151</v>
      </c>
      <c r="AA21" s="163"/>
    </row>
    <row r="22" spans="2:27" ht="15" customHeight="1" x14ac:dyDescent="0.25">
      <c r="B22" s="155"/>
      <c r="C22" s="197">
        <v>3</v>
      </c>
      <c r="D22" s="211" t="s">
        <v>66</v>
      </c>
      <c r="E22" s="211" t="s">
        <v>58</v>
      </c>
      <c r="F22" s="199" t="s">
        <v>422</v>
      </c>
      <c r="G22" s="200" t="s">
        <v>426</v>
      </c>
      <c r="H22" s="201" t="s">
        <v>58</v>
      </c>
      <c r="I22" s="202" t="s">
        <v>435</v>
      </c>
      <c r="J22" s="202" t="s">
        <v>424</v>
      </c>
      <c r="K22" s="204">
        <v>13081</v>
      </c>
      <c r="L22" s="205">
        <v>140</v>
      </c>
      <c r="M22" s="209">
        <v>704</v>
      </c>
      <c r="N22" s="213">
        <v>1731</v>
      </c>
      <c r="O22" s="212">
        <v>1919.7022285714283</v>
      </c>
      <c r="P22" s="207">
        <v>-9.8297655627484271E-2</v>
      </c>
      <c r="Q22" s="208">
        <v>1.4588068181818183</v>
      </c>
      <c r="R22" s="209">
        <v>11938.370000000003</v>
      </c>
      <c r="S22" s="213">
        <v>33697.680000000008</v>
      </c>
      <c r="T22" s="212">
        <v>34339.464400000812</v>
      </c>
      <c r="U22" s="207">
        <v>-1.8689412057364185E-2</v>
      </c>
      <c r="V22" s="208">
        <v>1.8226365910924187</v>
      </c>
      <c r="W22" s="212">
        <v>3925.7714285714278</v>
      </c>
      <c r="X22" s="301">
        <v>0.4409324463981602</v>
      </c>
      <c r="Y22" s="302">
        <v>70223.853578733775</v>
      </c>
      <c r="Z22" s="208">
        <v>0.47986087750394885</v>
      </c>
      <c r="AA22" s="163"/>
    </row>
    <row r="23" spans="2:27" ht="15" customHeight="1" x14ac:dyDescent="0.25">
      <c r="B23" s="155"/>
      <c r="C23" s="197">
        <v>2</v>
      </c>
      <c r="D23" s="211" t="s">
        <v>66</v>
      </c>
      <c r="E23" s="211" t="s">
        <v>426</v>
      </c>
      <c r="F23" s="199" t="s">
        <v>422</v>
      </c>
      <c r="G23" s="200" t="s">
        <v>426</v>
      </c>
      <c r="H23" s="201" t="s">
        <v>436</v>
      </c>
      <c r="I23" s="202" t="s">
        <v>426</v>
      </c>
      <c r="J23" s="202" t="s">
        <v>426</v>
      </c>
      <c r="K23" s="204" t="s">
        <v>426</v>
      </c>
      <c r="L23" s="205">
        <v>140</v>
      </c>
      <c r="M23" s="209">
        <v>704</v>
      </c>
      <c r="N23" s="213">
        <v>1731</v>
      </c>
      <c r="O23" s="212">
        <v>1919.7022285714283</v>
      </c>
      <c r="P23" s="207">
        <v>-9.8297655627484271E-2</v>
      </c>
      <c r="Q23" s="208">
        <v>1.4588068181818183</v>
      </c>
      <c r="R23" s="209">
        <v>11938.370000000003</v>
      </c>
      <c r="S23" s="213">
        <v>33697.680000000008</v>
      </c>
      <c r="T23" s="212">
        <v>34339.464400000812</v>
      </c>
      <c r="U23" s="207">
        <v>-1.8689412057364185E-2</v>
      </c>
      <c r="V23" s="208">
        <v>1.8226365910924187</v>
      </c>
      <c r="W23" s="212">
        <v>3925.7714285714278</v>
      </c>
      <c r="X23" s="301">
        <v>0.4409324463981602</v>
      </c>
      <c r="Y23" s="302">
        <v>70223.853578733775</v>
      </c>
      <c r="Z23" s="208">
        <v>0.47986087750394885</v>
      </c>
      <c r="AA23" s="163"/>
    </row>
    <row r="24" spans="2:27" ht="15" customHeight="1" x14ac:dyDescent="0.25">
      <c r="B24" s="155"/>
      <c r="C24" s="197">
        <v>3</v>
      </c>
      <c r="D24" s="211" t="s">
        <v>66</v>
      </c>
      <c r="E24" s="211" t="s">
        <v>437</v>
      </c>
      <c r="F24" s="199" t="s">
        <v>422</v>
      </c>
      <c r="G24" s="200" t="s">
        <v>426</v>
      </c>
      <c r="H24" s="201" t="s">
        <v>437</v>
      </c>
      <c r="I24" s="202" t="s">
        <v>438</v>
      </c>
      <c r="J24" s="202" t="s">
        <v>439</v>
      </c>
      <c r="K24" s="204">
        <v>13162</v>
      </c>
      <c r="L24" s="205">
        <v>0</v>
      </c>
      <c r="M24" s="209">
        <v>0</v>
      </c>
      <c r="N24" s="213">
        <v>0</v>
      </c>
      <c r="O24" s="212">
        <v>0</v>
      </c>
      <c r="P24" s="207" t="s">
        <v>425</v>
      </c>
      <c r="Q24" s="208" t="s">
        <v>425</v>
      </c>
      <c r="R24" s="209">
        <v>0</v>
      </c>
      <c r="S24" s="213">
        <v>0</v>
      </c>
      <c r="T24" s="212">
        <v>0</v>
      </c>
      <c r="U24" s="207" t="s">
        <v>425</v>
      </c>
      <c r="V24" s="208" t="s">
        <v>425</v>
      </c>
      <c r="W24" s="212">
        <v>1647</v>
      </c>
      <c r="X24" s="301">
        <v>0</v>
      </c>
      <c r="Y24" s="302">
        <v>27591.762780000005</v>
      </c>
      <c r="Z24" s="208">
        <v>0</v>
      </c>
      <c r="AA24" s="163"/>
    </row>
    <row r="25" spans="2:27" ht="15" customHeight="1" x14ac:dyDescent="0.25">
      <c r="B25" s="155"/>
      <c r="C25" s="197">
        <v>3</v>
      </c>
      <c r="D25" s="211" t="s">
        <v>66</v>
      </c>
      <c r="E25" s="211" t="s">
        <v>437</v>
      </c>
      <c r="F25" s="199" t="s">
        <v>422</v>
      </c>
      <c r="G25" s="200" t="s">
        <v>426</v>
      </c>
      <c r="H25" s="201" t="s">
        <v>426</v>
      </c>
      <c r="I25" s="202" t="s">
        <v>440</v>
      </c>
      <c r="J25" s="202" t="s">
        <v>439</v>
      </c>
      <c r="K25" s="204">
        <v>13160</v>
      </c>
      <c r="L25" s="205">
        <v>0</v>
      </c>
      <c r="M25" s="209">
        <v>0</v>
      </c>
      <c r="N25" s="213">
        <v>0</v>
      </c>
      <c r="O25" s="212">
        <v>0</v>
      </c>
      <c r="P25" s="207" t="s">
        <v>425</v>
      </c>
      <c r="Q25" s="208" t="s">
        <v>425</v>
      </c>
      <c r="R25" s="209">
        <v>0</v>
      </c>
      <c r="S25" s="213">
        <v>0</v>
      </c>
      <c r="T25" s="212">
        <v>0</v>
      </c>
      <c r="U25" s="207" t="s">
        <v>425</v>
      </c>
      <c r="V25" s="208" t="s">
        <v>425</v>
      </c>
      <c r="W25" s="212">
        <v>2745</v>
      </c>
      <c r="X25" s="301">
        <v>0</v>
      </c>
      <c r="Y25" s="302">
        <v>27552.955800000003</v>
      </c>
      <c r="Z25" s="208">
        <v>0</v>
      </c>
      <c r="AA25" s="163"/>
    </row>
    <row r="26" spans="2:27" ht="15" customHeight="1" x14ac:dyDescent="0.25">
      <c r="B26" s="155"/>
      <c r="C26" s="197">
        <v>3</v>
      </c>
      <c r="D26" s="211" t="s">
        <v>66</v>
      </c>
      <c r="E26" s="211" t="s">
        <v>437</v>
      </c>
      <c r="F26" s="199" t="s">
        <v>422</v>
      </c>
      <c r="G26" s="200" t="s">
        <v>426</v>
      </c>
      <c r="H26" s="201" t="s">
        <v>426</v>
      </c>
      <c r="I26" s="202" t="s">
        <v>441</v>
      </c>
      <c r="J26" s="202" t="s">
        <v>439</v>
      </c>
      <c r="K26" s="204">
        <v>13161</v>
      </c>
      <c r="L26" s="205">
        <v>0</v>
      </c>
      <c r="M26" s="209">
        <v>0</v>
      </c>
      <c r="N26" s="213">
        <v>0</v>
      </c>
      <c r="O26" s="212">
        <v>0</v>
      </c>
      <c r="P26" s="207" t="s">
        <v>425</v>
      </c>
      <c r="Q26" s="208" t="s">
        <v>425</v>
      </c>
      <c r="R26" s="209">
        <v>0</v>
      </c>
      <c r="S26" s="213">
        <v>0</v>
      </c>
      <c r="T26" s="212">
        <v>0</v>
      </c>
      <c r="U26" s="207" t="s">
        <v>425</v>
      </c>
      <c r="V26" s="208" t="s">
        <v>425</v>
      </c>
      <c r="W26" s="212">
        <v>1098</v>
      </c>
      <c r="X26" s="301">
        <v>0</v>
      </c>
      <c r="Y26" s="302">
        <v>15910.861800000002</v>
      </c>
      <c r="Z26" s="208">
        <v>0</v>
      </c>
      <c r="AA26" s="163"/>
    </row>
    <row r="27" spans="2:27" ht="15" customHeight="1" x14ac:dyDescent="0.25">
      <c r="B27" s="155"/>
      <c r="C27" s="197">
        <v>2</v>
      </c>
      <c r="D27" s="211" t="s">
        <v>66</v>
      </c>
      <c r="E27" s="211" t="s">
        <v>426</v>
      </c>
      <c r="F27" s="199" t="s">
        <v>422</v>
      </c>
      <c r="G27" s="200" t="s">
        <v>426</v>
      </c>
      <c r="H27" s="201" t="s">
        <v>442</v>
      </c>
      <c r="I27" s="202" t="s">
        <v>426</v>
      </c>
      <c r="J27" s="202" t="s">
        <v>426</v>
      </c>
      <c r="K27" s="204" t="s">
        <v>426</v>
      </c>
      <c r="L27" s="205">
        <v>0</v>
      </c>
      <c r="M27" s="209">
        <v>0</v>
      </c>
      <c r="N27" s="213">
        <v>0</v>
      </c>
      <c r="O27" s="212">
        <v>0</v>
      </c>
      <c r="P27" s="207" t="s">
        <v>425</v>
      </c>
      <c r="Q27" s="208" t="s">
        <v>425</v>
      </c>
      <c r="R27" s="209">
        <v>0</v>
      </c>
      <c r="S27" s="213">
        <v>0</v>
      </c>
      <c r="T27" s="212">
        <v>0</v>
      </c>
      <c r="U27" s="207" t="s">
        <v>425</v>
      </c>
      <c r="V27" s="208" t="s">
        <v>425</v>
      </c>
      <c r="W27" s="212">
        <v>5490</v>
      </c>
      <c r="X27" s="301">
        <v>0</v>
      </c>
      <c r="Y27" s="302">
        <v>71055.580380000014</v>
      </c>
      <c r="Z27" s="208">
        <v>0</v>
      </c>
      <c r="AA27" s="163"/>
    </row>
    <row r="28" spans="2:27" ht="15" customHeight="1" x14ac:dyDescent="0.25">
      <c r="B28" s="155"/>
      <c r="C28" s="197">
        <v>3</v>
      </c>
      <c r="D28" s="211" t="s">
        <v>66</v>
      </c>
      <c r="E28" s="211" t="s">
        <v>443</v>
      </c>
      <c r="F28" s="199" t="s">
        <v>422</v>
      </c>
      <c r="G28" s="200" t="s">
        <v>426</v>
      </c>
      <c r="H28" s="201" t="s">
        <v>443</v>
      </c>
      <c r="I28" s="202" t="s">
        <v>444</v>
      </c>
      <c r="J28" s="202" t="s">
        <v>424</v>
      </c>
      <c r="K28" s="204">
        <v>13000</v>
      </c>
      <c r="L28" s="205">
        <v>0</v>
      </c>
      <c r="M28" s="209">
        <v>0</v>
      </c>
      <c r="N28" s="213">
        <v>-49</v>
      </c>
      <c r="O28" s="212">
        <v>0</v>
      </c>
      <c r="P28" s="207" t="s">
        <v>425</v>
      </c>
      <c r="Q28" s="208" t="s">
        <v>425</v>
      </c>
      <c r="R28" s="209">
        <v>-12.75</v>
      </c>
      <c r="S28" s="213">
        <v>-305.37</v>
      </c>
      <c r="T28" s="212">
        <v>0</v>
      </c>
      <c r="U28" s="207" t="s">
        <v>425</v>
      </c>
      <c r="V28" s="208" t="s">
        <v>425</v>
      </c>
      <c r="W28" s="212">
        <v>0</v>
      </c>
      <c r="X28" s="301" t="s">
        <v>425</v>
      </c>
      <c r="Y28" s="302">
        <v>0</v>
      </c>
      <c r="Z28" s="208">
        <v>0</v>
      </c>
      <c r="AA28" s="163"/>
    </row>
    <row r="29" spans="2:27" ht="15" customHeight="1" x14ac:dyDescent="0.25">
      <c r="B29" s="155"/>
      <c r="C29" s="197">
        <v>3</v>
      </c>
      <c r="D29" s="211" t="s">
        <v>66</v>
      </c>
      <c r="E29" s="211" t="s">
        <v>443</v>
      </c>
      <c r="F29" s="199" t="s">
        <v>422</v>
      </c>
      <c r="G29" s="200" t="s">
        <v>426</v>
      </c>
      <c r="H29" s="201" t="s">
        <v>426</v>
      </c>
      <c r="I29" s="202" t="s">
        <v>445</v>
      </c>
      <c r="J29" s="202" t="s">
        <v>424</v>
      </c>
      <c r="K29" s="204">
        <v>13001</v>
      </c>
      <c r="L29" s="205">
        <v>-2</v>
      </c>
      <c r="M29" s="209">
        <v>-4</v>
      </c>
      <c r="N29" s="213">
        <v>-17</v>
      </c>
      <c r="O29" s="212">
        <v>0</v>
      </c>
      <c r="P29" s="207" t="s">
        <v>425</v>
      </c>
      <c r="Q29" s="208" t="s">
        <v>425</v>
      </c>
      <c r="R29" s="209">
        <v>-38.29</v>
      </c>
      <c r="S29" s="213">
        <v>-175.88</v>
      </c>
      <c r="T29" s="212">
        <v>0</v>
      </c>
      <c r="U29" s="207" t="s">
        <v>425</v>
      </c>
      <c r="V29" s="208" t="s">
        <v>425</v>
      </c>
      <c r="W29" s="212">
        <v>0</v>
      </c>
      <c r="X29" s="301" t="s">
        <v>425</v>
      </c>
      <c r="Y29" s="302">
        <v>0</v>
      </c>
      <c r="Z29" s="208">
        <v>0</v>
      </c>
      <c r="AA29" s="163"/>
    </row>
    <row r="30" spans="2:27" ht="15" customHeight="1" x14ac:dyDescent="0.25">
      <c r="B30" s="155"/>
      <c r="C30" s="197">
        <v>2</v>
      </c>
      <c r="D30" s="211" t="s">
        <v>66</v>
      </c>
      <c r="E30" s="211" t="s">
        <v>426</v>
      </c>
      <c r="F30" s="199" t="s">
        <v>422</v>
      </c>
      <c r="G30" s="200" t="s">
        <v>426</v>
      </c>
      <c r="H30" s="201" t="s">
        <v>446</v>
      </c>
      <c r="I30" s="202" t="s">
        <v>426</v>
      </c>
      <c r="J30" s="202" t="s">
        <v>426</v>
      </c>
      <c r="K30" s="204" t="s">
        <v>426</v>
      </c>
      <c r="L30" s="205">
        <v>-2</v>
      </c>
      <c r="M30" s="209">
        <v>-4</v>
      </c>
      <c r="N30" s="213">
        <v>-66</v>
      </c>
      <c r="O30" s="212">
        <v>0</v>
      </c>
      <c r="P30" s="207" t="s">
        <v>425</v>
      </c>
      <c r="Q30" s="208" t="s">
        <v>425</v>
      </c>
      <c r="R30" s="209">
        <v>-51.04</v>
      </c>
      <c r="S30" s="213">
        <v>-481.25</v>
      </c>
      <c r="T30" s="212">
        <v>0</v>
      </c>
      <c r="U30" s="207" t="s">
        <v>425</v>
      </c>
      <c r="V30" s="208" t="s">
        <v>425</v>
      </c>
      <c r="W30" s="212">
        <v>0</v>
      </c>
      <c r="X30" s="301" t="s">
        <v>425</v>
      </c>
      <c r="Y30" s="302">
        <v>0</v>
      </c>
      <c r="Z30" s="208">
        <v>0</v>
      </c>
      <c r="AA30" s="163"/>
    </row>
    <row r="31" spans="2:27" ht="15" customHeight="1" x14ac:dyDescent="0.25">
      <c r="B31" s="155"/>
      <c r="C31" s="197">
        <v>3</v>
      </c>
      <c r="D31" s="211" t="s">
        <v>66</v>
      </c>
      <c r="E31" s="211" t="s">
        <v>21</v>
      </c>
      <c r="F31" s="199" t="s">
        <v>422</v>
      </c>
      <c r="G31" s="200" t="s">
        <v>426</v>
      </c>
      <c r="H31" s="201" t="s">
        <v>21</v>
      </c>
      <c r="I31" s="202" t="s">
        <v>447</v>
      </c>
      <c r="J31" s="202" t="s">
        <v>439</v>
      </c>
      <c r="K31" s="204">
        <v>13054</v>
      </c>
      <c r="L31" s="205">
        <v>547</v>
      </c>
      <c r="M31" s="209">
        <v>2409</v>
      </c>
      <c r="N31" s="213">
        <v>4663</v>
      </c>
      <c r="O31" s="212">
        <v>2951.40076740012</v>
      </c>
      <c r="P31" s="207">
        <v>0.57992775888163184</v>
      </c>
      <c r="Q31" s="208">
        <v>0.93565794935657953</v>
      </c>
      <c r="R31" s="209">
        <v>30272.720000000001</v>
      </c>
      <c r="S31" s="213">
        <v>61981.770000000004</v>
      </c>
      <c r="T31" s="212">
        <v>38092.280345303319</v>
      </c>
      <c r="U31" s="207">
        <v>0.62714779577752955</v>
      </c>
      <c r="V31" s="208">
        <v>1.0474463477348586</v>
      </c>
      <c r="W31" s="212">
        <v>6035.5843914112875</v>
      </c>
      <c r="X31" s="301">
        <v>0.77258467409311804</v>
      </c>
      <c r="Y31" s="302">
        <v>77898.323814526215</v>
      </c>
      <c r="Z31" s="208">
        <v>0.79567527213521194</v>
      </c>
      <c r="AA31" s="163"/>
    </row>
    <row r="32" spans="2:27" ht="15" customHeight="1" x14ac:dyDescent="0.25">
      <c r="B32" s="155"/>
      <c r="C32" s="197">
        <v>3</v>
      </c>
      <c r="D32" s="211" t="s">
        <v>66</v>
      </c>
      <c r="E32" s="211" t="s">
        <v>21</v>
      </c>
      <c r="F32" s="199" t="s">
        <v>422</v>
      </c>
      <c r="G32" s="200" t="s">
        <v>426</v>
      </c>
      <c r="H32" s="201" t="s">
        <v>426</v>
      </c>
      <c r="I32" s="202" t="s">
        <v>24</v>
      </c>
      <c r="J32" s="202" t="s">
        <v>439</v>
      </c>
      <c r="K32" s="204">
        <v>13146</v>
      </c>
      <c r="L32" s="205">
        <v>2300</v>
      </c>
      <c r="M32" s="209">
        <v>2300</v>
      </c>
      <c r="N32" s="213">
        <v>8727</v>
      </c>
      <c r="O32" s="212">
        <v>7335</v>
      </c>
      <c r="P32" s="207">
        <v>0.18977505112474446</v>
      </c>
      <c r="Q32" s="208">
        <v>2.7943478260869563</v>
      </c>
      <c r="R32" s="209">
        <v>29164</v>
      </c>
      <c r="S32" s="213">
        <v>99635.08</v>
      </c>
      <c r="T32" s="212">
        <v>93007.799999999988</v>
      </c>
      <c r="U32" s="207">
        <v>7.1255099034704728E-2</v>
      </c>
      <c r="V32" s="208">
        <v>2.4163722397476342</v>
      </c>
      <c r="W32" s="212">
        <v>15000</v>
      </c>
      <c r="X32" s="301">
        <v>0.58179999999999998</v>
      </c>
      <c r="Y32" s="302">
        <v>190199.99999999997</v>
      </c>
      <c r="Z32" s="208">
        <v>0.52384374342797069</v>
      </c>
      <c r="AA32" s="163"/>
    </row>
    <row r="33" spans="2:27" ht="15" customHeight="1" x14ac:dyDescent="0.25">
      <c r="B33" s="155"/>
      <c r="C33" s="197">
        <v>3</v>
      </c>
      <c r="D33" s="211" t="s">
        <v>66</v>
      </c>
      <c r="E33" s="211" t="s">
        <v>21</v>
      </c>
      <c r="F33" s="199" t="s">
        <v>422</v>
      </c>
      <c r="G33" s="200" t="s">
        <v>426</v>
      </c>
      <c r="H33" s="201" t="s">
        <v>426</v>
      </c>
      <c r="I33" s="202" t="s">
        <v>113</v>
      </c>
      <c r="J33" s="202" t="s">
        <v>439</v>
      </c>
      <c r="K33" s="204">
        <v>13068</v>
      </c>
      <c r="L33" s="205">
        <v>825</v>
      </c>
      <c r="M33" s="209">
        <v>6209</v>
      </c>
      <c r="N33" s="213">
        <v>6090</v>
      </c>
      <c r="O33" s="212">
        <v>4948.6187421458208</v>
      </c>
      <c r="P33" s="207">
        <v>0.23064643233340965</v>
      </c>
      <c r="Q33" s="208">
        <v>-1.916572717023679E-2</v>
      </c>
      <c r="R33" s="209">
        <v>60707.929999999993</v>
      </c>
      <c r="S33" s="213">
        <v>60402.93</v>
      </c>
      <c r="T33" s="212">
        <v>48384.667449649947</v>
      </c>
      <c r="U33" s="207">
        <v>0.24838989671379874</v>
      </c>
      <c r="V33" s="208">
        <v>-5.0240553416990297E-3</v>
      </c>
      <c r="W33" s="212">
        <v>10119.874728314564</v>
      </c>
      <c r="X33" s="301">
        <v>0.60178610541103728</v>
      </c>
      <c r="Y33" s="302">
        <v>98946.150203783123</v>
      </c>
      <c r="Z33" s="208">
        <v>0.61046265949304757</v>
      </c>
      <c r="AA33" s="163"/>
    </row>
    <row r="34" spans="2:27" ht="15" customHeight="1" x14ac:dyDescent="0.25">
      <c r="B34" s="155"/>
      <c r="C34" s="197">
        <v>3</v>
      </c>
      <c r="D34" s="211" t="s">
        <v>66</v>
      </c>
      <c r="E34" s="211" t="s">
        <v>21</v>
      </c>
      <c r="F34" s="199" t="s">
        <v>422</v>
      </c>
      <c r="G34" s="200" t="s">
        <v>426</v>
      </c>
      <c r="H34" s="201" t="s">
        <v>426</v>
      </c>
      <c r="I34" s="202" t="s">
        <v>114</v>
      </c>
      <c r="J34" s="202" t="s">
        <v>439</v>
      </c>
      <c r="K34" s="204">
        <v>13067</v>
      </c>
      <c r="L34" s="205">
        <v>1642</v>
      </c>
      <c r="M34" s="209">
        <v>9386</v>
      </c>
      <c r="N34" s="213">
        <v>12974</v>
      </c>
      <c r="O34" s="212">
        <v>11753.450159270191</v>
      </c>
      <c r="P34" s="207">
        <v>0.10384608980258747</v>
      </c>
      <c r="Q34" s="208">
        <v>0.38227146814404422</v>
      </c>
      <c r="R34" s="209">
        <v>89766.18</v>
      </c>
      <c r="S34" s="213">
        <v>129067.41</v>
      </c>
      <c r="T34" s="212">
        <v>115463.98596300377</v>
      </c>
      <c r="U34" s="207">
        <v>0.11781529906091204</v>
      </c>
      <c r="V34" s="208">
        <v>0.43781778393599913</v>
      </c>
      <c r="W34" s="212">
        <v>24035.685397280555</v>
      </c>
      <c r="X34" s="301">
        <v>0.53978073791346526</v>
      </c>
      <c r="Y34" s="302">
        <v>236122.67068098931</v>
      </c>
      <c r="Z34" s="208">
        <v>0.54661168124078596</v>
      </c>
      <c r="AA34" s="163"/>
    </row>
    <row r="35" spans="2:27" ht="15" customHeight="1" x14ac:dyDescent="0.25">
      <c r="B35" s="155"/>
      <c r="C35" s="197">
        <v>2</v>
      </c>
      <c r="D35" s="211" t="s">
        <v>66</v>
      </c>
      <c r="E35" s="211" t="s">
        <v>426</v>
      </c>
      <c r="F35" s="199" t="s">
        <v>422</v>
      </c>
      <c r="G35" s="200" t="s">
        <v>426</v>
      </c>
      <c r="H35" s="201" t="s">
        <v>448</v>
      </c>
      <c r="I35" s="202" t="s">
        <v>426</v>
      </c>
      <c r="J35" s="202" t="s">
        <v>426</v>
      </c>
      <c r="K35" s="204" t="s">
        <v>426</v>
      </c>
      <c r="L35" s="205">
        <v>5314</v>
      </c>
      <c r="M35" s="209">
        <v>20304</v>
      </c>
      <c r="N35" s="213">
        <v>32454</v>
      </c>
      <c r="O35" s="212">
        <v>26988.469668816131</v>
      </c>
      <c r="P35" s="207">
        <v>0.20251353256605809</v>
      </c>
      <c r="Q35" s="208">
        <v>0.59840425531914887</v>
      </c>
      <c r="R35" s="209">
        <v>209910.83</v>
      </c>
      <c r="S35" s="213">
        <v>351087.19</v>
      </c>
      <c r="T35" s="212">
        <v>294948.733757957</v>
      </c>
      <c r="U35" s="207">
        <v>0.1903329284610924</v>
      </c>
      <c r="V35" s="208">
        <v>0.67255396017442282</v>
      </c>
      <c r="W35" s="212">
        <v>55191.144517006411</v>
      </c>
      <c r="X35" s="301">
        <v>0.58802911742480235</v>
      </c>
      <c r="Y35" s="302">
        <v>603167.14469929866</v>
      </c>
      <c r="Z35" s="208">
        <v>0.58207280201747402</v>
      </c>
      <c r="AA35" s="163"/>
    </row>
    <row r="36" spans="2:27" ht="15" customHeight="1" x14ac:dyDescent="0.25">
      <c r="B36" s="155"/>
      <c r="C36" s="197">
        <v>3</v>
      </c>
      <c r="D36" s="211" t="s">
        <v>66</v>
      </c>
      <c r="E36" s="211" t="s">
        <v>26</v>
      </c>
      <c r="F36" s="199" t="s">
        <v>422</v>
      </c>
      <c r="G36" s="200" t="s">
        <v>426</v>
      </c>
      <c r="H36" s="201" t="s">
        <v>26</v>
      </c>
      <c r="I36" s="202" t="s">
        <v>27</v>
      </c>
      <c r="J36" s="202" t="s">
        <v>429</v>
      </c>
      <c r="K36" s="204">
        <v>13008</v>
      </c>
      <c r="L36" s="205">
        <v>-1</v>
      </c>
      <c r="M36" s="209">
        <v>-17</v>
      </c>
      <c r="N36" s="213">
        <v>0</v>
      </c>
      <c r="O36" s="212">
        <v>0</v>
      </c>
      <c r="P36" s="207" t="s">
        <v>425</v>
      </c>
      <c r="Q36" s="208" t="s">
        <v>425</v>
      </c>
      <c r="R36" s="209">
        <v>-188.63</v>
      </c>
      <c r="S36" s="213">
        <v>0</v>
      </c>
      <c r="T36" s="212">
        <v>0</v>
      </c>
      <c r="U36" s="207" t="s">
        <v>425</v>
      </c>
      <c r="V36" s="208" t="s">
        <v>425</v>
      </c>
      <c r="W36" s="212">
        <v>0</v>
      </c>
      <c r="X36" s="301" t="s">
        <v>425</v>
      </c>
      <c r="Y36" s="302">
        <v>0</v>
      </c>
      <c r="Z36" s="208">
        <v>0</v>
      </c>
      <c r="AA36" s="163"/>
    </row>
    <row r="37" spans="2:27" ht="15" customHeight="1" x14ac:dyDescent="0.25">
      <c r="B37" s="155"/>
      <c r="C37" s="197">
        <v>3</v>
      </c>
      <c r="D37" s="211" t="s">
        <v>66</v>
      </c>
      <c r="E37" s="211" t="s">
        <v>26</v>
      </c>
      <c r="F37" s="199" t="s">
        <v>422</v>
      </c>
      <c r="G37" s="200" t="s">
        <v>426</v>
      </c>
      <c r="H37" s="201" t="s">
        <v>426</v>
      </c>
      <c r="I37" s="202" t="s">
        <v>28</v>
      </c>
      <c r="J37" s="202" t="s">
        <v>429</v>
      </c>
      <c r="K37" s="204">
        <v>13009</v>
      </c>
      <c r="L37" s="205">
        <v>-7</v>
      </c>
      <c r="M37" s="209">
        <v>342</v>
      </c>
      <c r="N37" s="213">
        <v>-189</v>
      </c>
      <c r="O37" s="212">
        <v>0</v>
      </c>
      <c r="P37" s="207" t="s">
        <v>425</v>
      </c>
      <c r="Q37" s="208" t="s">
        <v>425</v>
      </c>
      <c r="R37" s="209">
        <v>-10443.009999999998</v>
      </c>
      <c r="S37" s="213">
        <v>-1780.33</v>
      </c>
      <c r="T37" s="212">
        <v>0</v>
      </c>
      <c r="U37" s="207" t="s">
        <v>425</v>
      </c>
      <c r="V37" s="208" t="s">
        <v>425</v>
      </c>
      <c r="W37" s="212">
        <v>0</v>
      </c>
      <c r="X37" s="301" t="s">
        <v>425</v>
      </c>
      <c r="Y37" s="302">
        <v>0</v>
      </c>
      <c r="Z37" s="208">
        <v>0</v>
      </c>
      <c r="AA37" s="163"/>
    </row>
    <row r="38" spans="2:27" ht="15" customHeight="1" x14ac:dyDescent="0.25">
      <c r="B38" s="155"/>
      <c r="C38" s="197">
        <v>2</v>
      </c>
      <c r="D38" s="211" t="s">
        <v>66</v>
      </c>
      <c r="E38" s="211" t="s">
        <v>426</v>
      </c>
      <c r="F38" s="199" t="s">
        <v>422</v>
      </c>
      <c r="G38" s="200" t="s">
        <v>426</v>
      </c>
      <c r="H38" s="201" t="s">
        <v>449</v>
      </c>
      <c r="I38" s="202" t="s">
        <v>426</v>
      </c>
      <c r="J38" s="202" t="s">
        <v>426</v>
      </c>
      <c r="K38" s="204" t="s">
        <v>426</v>
      </c>
      <c r="L38" s="205">
        <v>-8</v>
      </c>
      <c r="M38" s="209">
        <v>325</v>
      </c>
      <c r="N38" s="213">
        <v>-189</v>
      </c>
      <c r="O38" s="212">
        <v>0</v>
      </c>
      <c r="P38" s="207" t="s">
        <v>425</v>
      </c>
      <c r="Q38" s="208" t="s">
        <v>425</v>
      </c>
      <c r="R38" s="209">
        <v>-10631.639999999998</v>
      </c>
      <c r="S38" s="213">
        <v>-1780.33</v>
      </c>
      <c r="T38" s="212">
        <v>0</v>
      </c>
      <c r="U38" s="207" t="s">
        <v>425</v>
      </c>
      <c r="V38" s="208" t="s">
        <v>425</v>
      </c>
      <c r="W38" s="212">
        <v>0</v>
      </c>
      <c r="X38" s="301" t="s">
        <v>425</v>
      </c>
      <c r="Y38" s="302">
        <v>0</v>
      </c>
      <c r="Z38" s="208">
        <v>0</v>
      </c>
      <c r="AA38" s="163"/>
    </row>
    <row r="39" spans="2:27" ht="15" customHeight="1" x14ac:dyDescent="0.25">
      <c r="B39" s="155"/>
      <c r="C39" s="197">
        <v>3</v>
      </c>
      <c r="D39" s="211" t="s">
        <v>66</v>
      </c>
      <c r="E39" s="211" t="s">
        <v>29</v>
      </c>
      <c r="F39" s="199" t="s">
        <v>422</v>
      </c>
      <c r="G39" s="200" t="s">
        <v>426</v>
      </c>
      <c r="H39" s="201" t="s">
        <v>29</v>
      </c>
      <c r="I39" s="202" t="s">
        <v>1</v>
      </c>
      <c r="J39" s="202" t="s">
        <v>429</v>
      </c>
      <c r="K39" s="204">
        <v>13138</v>
      </c>
      <c r="L39" s="205">
        <v>500</v>
      </c>
      <c r="M39" s="209">
        <v>2785</v>
      </c>
      <c r="N39" s="213">
        <v>3442</v>
      </c>
      <c r="O39" s="212">
        <v>4675.2343411703532</v>
      </c>
      <c r="P39" s="207">
        <v>-0.26378021959464759</v>
      </c>
      <c r="Q39" s="208">
        <v>0.23590664272890494</v>
      </c>
      <c r="R39" s="209">
        <v>43290.09</v>
      </c>
      <c r="S39" s="213">
        <v>52215.71</v>
      </c>
      <c r="T39" s="212">
        <v>74214.753867722771</v>
      </c>
      <c r="U39" s="207">
        <v>-0.296424130260311</v>
      </c>
      <c r="V39" s="208">
        <v>0.20618159953005422</v>
      </c>
      <c r="W39" s="212">
        <v>9560.8064236612554</v>
      </c>
      <c r="X39" s="301">
        <v>0.36001147261821731</v>
      </c>
      <c r="Y39" s="302">
        <v>151768.41281742897</v>
      </c>
      <c r="Z39" s="208">
        <v>0.34404860030270795</v>
      </c>
      <c r="AA39" s="163"/>
    </row>
    <row r="40" spans="2:27" ht="15" customHeight="1" x14ac:dyDescent="0.25">
      <c r="B40" s="155"/>
      <c r="C40" s="197">
        <v>3</v>
      </c>
      <c r="D40" s="211" t="s">
        <v>66</v>
      </c>
      <c r="E40" s="211" t="s">
        <v>29</v>
      </c>
      <c r="F40" s="199" t="s">
        <v>422</v>
      </c>
      <c r="G40" s="200" t="s">
        <v>426</v>
      </c>
      <c r="H40" s="201" t="s">
        <v>426</v>
      </c>
      <c r="I40" s="202" t="s">
        <v>0</v>
      </c>
      <c r="J40" s="202" t="s">
        <v>429</v>
      </c>
      <c r="K40" s="204">
        <v>13137</v>
      </c>
      <c r="L40" s="205">
        <v>0</v>
      </c>
      <c r="M40" s="209">
        <v>0</v>
      </c>
      <c r="N40" s="213">
        <v>767</v>
      </c>
      <c r="O40" s="212">
        <v>0</v>
      </c>
      <c r="P40" s="207" t="s">
        <v>425</v>
      </c>
      <c r="Q40" s="208" t="s">
        <v>425</v>
      </c>
      <c r="R40" s="209">
        <v>-1689.26</v>
      </c>
      <c r="S40" s="213">
        <v>8916.7099999999973</v>
      </c>
      <c r="T40" s="212">
        <v>0</v>
      </c>
      <c r="U40" s="207" t="s">
        <v>425</v>
      </c>
      <c r="V40" s="208" t="s">
        <v>425</v>
      </c>
      <c r="W40" s="212">
        <v>0</v>
      </c>
      <c r="X40" s="301" t="s">
        <v>425</v>
      </c>
      <c r="Y40" s="302">
        <v>0</v>
      </c>
      <c r="Z40" s="208">
        <v>0</v>
      </c>
      <c r="AA40" s="163"/>
    </row>
    <row r="41" spans="2:27" ht="15" customHeight="1" x14ac:dyDescent="0.25">
      <c r="B41" s="155"/>
      <c r="C41" s="197">
        <v>2</v>
      </c>
      <c r="D41" s="211" t="s">
        <v>66</v>
      </c>
      <c r="E41" s="211" t="s">
        <v>426</v>
      </c>
      <c r="F41" s="199" t="s">
        <v>422</v>
      </c>
      <c r="G41" s="200" t="s">
        <v>426</v>
      </c>
      <c r="H41" s="201" t="s">
        <v>450</v>
      </c>
      <c r="I41" s="202" t="s">
        <v>426</v>
      </c>
      <c r="J41" s="202" t="s">
        <v>426</v>
      </c>
      <c r="K41" s="204" t="s">
        <v>426</v>
      </c>
      <c r="L41" s="205">
        <v>500</v>
      </c>
      <c r="M41" s="209">
        <v>2785</v>
      </c>
      <c r="N41" s="213">
        <v>4209</v>
      </c>
      <c r="O41" s="212">
        <v>4675.2343411703532</v>
      </c>
      <c r="P41" s="207">
        <v>-9.972427201448919E-2</v>
      </c>
      <c r="Q41" s="208">
        <v>0.51131059245960508</v>
      </c>
      <c r="R41" s="209">
        <v>41600.829999999994</v>
      </c>
      <c r="S41" s="213">
        <v>61132.42</v>
      </c>
      <c r="T41" s="212">
        <v>74214.753867722771</v>
      </c>
      <c r="U41" s="207">
        <v>-0.17627672647193804</v>
      </c>
      <c r="V41" s="208">
        <v>0.46950000757196442</v>
      </c>
      <c r="W41" s="212">
        <v>9560.8064236612554</v>
      </c>
      <c r="X41" s="301">
        <v>0.44023483098491473</v>
      </c>
      <c r="Y41" s="302">
        <v>151768.41281742897</v>
      </c>
      <c r="Z41" s="208">
        <v>0.40280068075522235</v>
      </c>
      <c r="AA41" s="163"/>
    </row>
    <row r="42" spans="2:27" ht="15" customHeight="1" x14ac:dyDescent="0.25">
      <c r="B42" s="155"/>
      <c r="C42" s="197">
        <v>3</v>
      </c>
      <c r="D42" s="211" t="s">
        <v>66</v>
      </c>
      <c r="E42" s="211" t="s">
        <v>32</v>
      </c>
      <c r="F42" s="199" t="s">
        <v>422</v>
      </c>
      <c r="G42" s="200" t="s">
        <v>426</v>
      </c>
      <c r="H42" s="201" t="s">
        <v>32</v>
      </c>
      <c r="I42" s="202" t="s">
        <v>451</v>
      </c>
      <c r="J42" s="202" t="s">
        <v>429</v>
      </c>
      <c r="K42" s="204">
        <v>13044</v>
      </c>
      <c r="L42" s="205">
        <v>0</v>
      </c>
      <c r="M42" s="209">
        <v>-37</v>
      </c>
      <c r="N42" s="213">
        <v>0</v>
      </c>
      <c r="O42" s="212">
        <v>0</v>
      </c>
      <c r="P42" s="207" t="s">
        <v>425</v>
      </c>
      <c r="Q42" s="208" t="s">
        <v>425</v>
      </c>
      <c r="R42" s="209">
        <v>-742.22</v>
      </c>
      <c r="S42" s="213">
        <v>0</v>
      </c>
      <c r="T42" s="212">
        <v>0</v>
      </c>
      <c r="U42" s="207" t="s">
        <v>425</v>
      </c>
      <c r="V42" s="208" t="s">
        <v>425</v>
      </c>
      <c r="W42" s="212">
        <v>0</v>
      </c>
      <c r="X42" s="301" t="s">
        <v>425</v>
      </c>
      <c r="Y42" s="302">
        <v>0</v>
      </c>
      <c r="Z42" s="208">
        <v>0</v>
      </c>
      <c r="AA42" s="163"/>
    </row>
    <row r="43" spans="2:27" ht="15" customHeight="1" x14ac:dyDescent="0.25">
      <c r="B43" s="155"/>
      <c r="C43" s="197">
        <v>3</v>
      </c>
      <c r="D43" s="211" t="s">
        <v>66</v>
      </c>
      <c r="E43" s="211" t="s">
        <v>32</v>
      </c>
      <c r="F43" s="199" t="s">
        <v>422</v>
      </c>
      <c r="G43" s="200" t="s">
        <v>426</v>
      </c>
      <c r="H43" s="201" t="s">
        <v>426</v>
      </c>
      <c r="I43" s="202" t="s">
        <v>452</v>
      </c>
      <c r="J43" s="202" t="s">
        <v>429</v>
      </c>
      <c r="K43" s="204">
        <v>13042</v>
      </c>
      <c r="L43" s="205">
        <v>0</v>
      </c>
      <c r="M43" s="209">
        <v>0</v>
      </c>
      <c r="N43" s="213">
        <v>0</v>
      </c>
      <c r="O43" s="212">
        <v>0</v>
      </c>
      <c r="P43" s="207" t="s">
        <v>425</v>
      </c>
      <c r="Q43" s="208" t="s">
        <v>425</v>
      </c>
      <c r="R43" s="209">
        <v>0</v>
      </c>
      <c r="S43" s="213">
        <v>0</v>
      </c>
      <c r="T43" s="212">
        <v>0</v>
      </c>
      <c r="U43" s="207" t="s">
        <v>425</v>
      </c>
      <c r="V43" s="208" t="s">
        <v>425</v>
      </c>
      <c r="W43" s="212">
        <v>0</v>
      </c>
      <c r="X43" s="301" t="s">
        <v>425</v>
      </c>
      <c r="Y43" s="302">
        <v>0</v>
      </c>
      <c r="Z43" s="208">
        <v>0</v>
      </c>
      <c r="AA43" s="163"/>
    </row>
    <row r="44" spans="2:27" ht="15" customHeight="1" x14ac:dyDescent="0.25">
      <c r="B44" s="155"/>
      <c r="C44" s="197">
        <v>2</v>
      </c>
      <c r="D44" s="211" t="s">
        <v>66</v>
      </c>
      <c r="E44" s="211" t="s">
        <v>426</v>
      </c>
      <c r="F44" s="199" t="s">
        <v>422</v>
      </c>
      <c r="G44" s="200" t="s">
        <v>426</v>
      </c>
      <c r="H44" s="201" t="s">
        <v>453</v>
      </c>
      <c r="I44" s="202" t="s">
        <v>426</v>
      </c>
      <c r="J44" s="202" t="s">
        <v>426</v>
      </c>
      <c r="K44" s="204" t="s">
        <v>426</v>
      </c>
      <c r="L44" s="205">
        <v>0</v>
      </c>
      <c r="M44" s="209">
        <v>-37</v>
      </c>
      <c r="N44" s="213">
        <v>0</v>
      </c>
      <c r="O44" s="212">
        <v>0</v>
      </c>
      <c r="P44" s="207" t="s">
        <v>425</v>
      </c>
      <c r="Q44" s="208" t="s">
        <v>425</v>
      </c>
      <c r="R44" s="209">
        <v>-742.22</v>
      </c>
      <c r="S44" s="213">
        <v>0</v>
      </c>
      <c r="T44" s="212">
        <v>0</v>
      </c>
      <c r="U44" s="207" t="s">
        <v>425</v>
      </c>
      <c r="V44" s="208" t="s">
        <v>425</v>
      </c>
      <c r="W44" s="212">
        <v>0</v>
      </c>
      <c r="X44" s="301" t="s">
        <v>425</v>
      </c>
      <c r="Y44" s="302">
        <v>0</v>
      </c>
      <c r="Z44" s="208">
        <v>0</v>
      </c>
      <c r="AA44" s="163"/>
    </row>
    <row r="45" spans="2:27" ht="15" customHeight="1" x14ac:dyDescent="0.25">
      <c r="B45" s="155"/>
      <c r="C45" s="197">
        <v>3</v>
      </c>
      <c r="D45" s="211" t="s">
        <v>66</v>
      </c>
      <c r="E45" s="211" t="s">
        <v>454</v>
      </c>
      <c r="F45" s="199" t="s">
        <v>422</v>
      </c>
      <c r="G45" s="200" t="s">
        <v>426</v>
      </c>
      <c r="H45" s="201" t="s">
        <v>454</v>
      </c>
      <c r="I45" s="202" t="s">
        <v>455</v>
      </c>
      <c r="J45" s="202" t="s">
        <v>429</v>
      </c>
      <c r="K45" s="204">
        <v>13007</v>
      </c>
      <c r="L45" s="205">
        <v>0</v>
      </c>
      <c r="M45" s="209">
        <v>0</v>
      </c>
      <c r="N45" s="213">
        <v>0</v>
      </c>
      <c r="O45" s="212">
        <v>0</v>
      </c>
      <c r="P45" s="207" t="s">
        <v>425</v>
      </c>
      <c r="Q45" s="208" t="s">
        <v>425</v>
      </c>
      <c r="R45" s="209">
        <v>0</v>
      </c>
      <c r="S45" s="213">
        <v>0</v>
      </c>
      <c r="T45" s="212">
        <v>0</v>
      </c>
      <c r="U45" s="207" t="s">
        <v>425</v>
      </c>
      <c r="V45" s="208" t="s">
        <v>425</v>
      </c>
      <c r="W45" s="212">
        <v>0</v>
      </c>
      <c r="X45" s="301" t="s">
        <v>425</v>
      </c>
      <c r="Y45" s="302">
        <v>0</v>
      </c>
      <c r="Z45" s="208">
        <v>0</v>
      </c>
      <c r="AA45" s="163"/>
    </row>
    <row r="46" spans="2:27" ht="15" customHeight="1" x14ac:dyDescent="0.25">
      <c r="B46" s="155"/>
      <c r="C46" s="197">
        <v>2</v>
      </c>
      <c r="D46" s="211" t="s">
        <v>66</v>
      </c>
      <c r="E46" s="211" t="s">
        <v>426</v>
      </c>
      <c r="F46" s="199" t="s">
        <v>422</v>
      </c>
      <c r="G46" s="200" t="s">
        <v>426</v>
      </c>
      <c r="H46" s="201" t="s">
        <v>456</v>
      </c>
      <c r="I46" s="202" t="s">
        <v>426</v>
      </c>
      <c r="J46" s="202" t="s">
        <v>426</v>
      </c>
      <c r="K46" s="204" t="s">
        <v>426</v>
      </c>
      <c r="L46" s="205">
        <v>0</v>
      </c>
      <c r="M46" s="209">
        <v>0</v>
      </c>
      <c r="N46" s="213">
        <v>0</v>
      </c>
      <c r="O46" s="212">
        <v>0</v>
      </c>
      <c r="P46" s="207" t="s">
        <v>425</v>
      </c>
      <c r="Q46" s="208" t="s">
        <v>425</v>
      </c>
      <c r="R46" s="209">
        <v>0</v>
      </c>
      <c r="S46" s="213">
        <v>0</v>
      </c>
      <c r="T46" s="212">
        <v>0</v>
      </c>
      <c r="U46" s="207" t="s">
        <v>425</v>
      </c>
      <c r="V46" s="208" t="s">
        <v>425</v>
      </c>
      <c r="W46" s="212">
        <v>0</v>
      </c>
      <c r="X46" s="301" t="s">
        <v>425</v>
      </c>
      <c r="Y46" s="302">
        <v>0</v>
      </c>
      <c r="Z46" s="208">
        <v>0</v>
      </c>
      <c r="AA46" s="163"/>
    </row>
    <row r="47" spans="2:27" ht="15" customHeight="1" x14ac:dyDescent="0.25">
      <c r="B47" s="155"/>
      <c r="C47" s="197">
        <v>3</v>
      </c>
      <c r="D47" s="211" t="s">
        <v>66</v>
      </c>
      <c r="E47" s="211" t="s">
        <v>36</v>
      </c>
      <c r="F47" s="199" t="s">
        <v>422</v>
      </c>
      <c r="G47" s="200" t="s">
        <v>426</v>
      </c>
      <c r="H47" s="201" t="s">
        <v>36</v>
      </c>
      <c r="I47" s="202" t="s">
        <v>118</v>
      </c>
      <c r="J47" s="202" t="s">
        <v>439</v>
      </c>
      <c r="K47" s="204">
        <v>13122</v>
      </c>
      <c r="L47" s="205">
        <v>1676</v>
      </c>
      <c r="M47" s="209">
        <v>6410</v>
      </c>
      <c r="N47" s="213">
        <v>3959</v>
      </c>
      <c r="O47" s="212">
        <v>2954.9905333973584</v>
      </c>
      <c r="P47" s="207">
        <v>0.33976740543000328</v>
      </c>
      <c r="Q47" s="208">
        <v>-0.38237129485179411</v>
      </c>
      <c r="R47" s="209">
        <v>126043.18</v>
      </c>
      <c r="S47" s="213">
        <v>44034.25</v>
      </c>
      <c r="T47" s="212">
        <v>58105.5231980186</v>
      </c>
      <c r="U47" s="207">
        <v>-0.24216756727350885</v>
      </c>
      <c r="V47" s="208">
        <v>-0.65064154998310897</v>
      </c>
      <c r="W47" s="212">
        <v>6042.9254261704664</v>
      </c>
      <c r="X47" s="301">
        <v>0.65514626125527164</v>
      </c>
      <c r="Y47" s="302">
        <v>118825.20081394397</v>
      </c>
      <c r="Z47" s="208">
        <v>0.37058005960325413</v>
      </c>
      <c r="AA47" s="163"/>
    </row>
    <row r="48" spans="2:27" ht="15" customHeight="1" x14ac:dyDescent="0.25">
      <c r="B48" s="155"/>
      <c r="C48" s="197">
        <v>3</v>
      </c>
      <c r="D48" s="211" t="s">
        <v>66</v>
      </c>
      <c r="E48" s="211" t="s">
        <v>36</v>
      </c>
      <c r="F48" s="199" t="s">
        <v>422</v>
      </c>
      <c r="G48" s="200" t="s">
        <v>426</v>
      </c>
      <c r="H48" s="201" t="s">
        <v>426</v>
      </c>
      <c r="I48" s="202" t="s">
        <v>4</v>
      </c>
      <c r="J48" s="202" t="s">
        <v>439</v>
      </c>
      <c r="K48" s="204">
        <v>13158</v>
      </c>
      <c r="L48" s="205">
        <v>0</v>
      </c>
      <c r="M48" s="209">
        <v>0</v>
      </c>
      <c r="N48" s="213">
        <v>3196</v>
      </c>
      <c r="O48" s="212">
        <v>6357</v>
      </c>
      <c r="P48" s="207">
        <v>-0.49724712914896962</v>
      </c>
      <c r="Q48" s="208" t="s">
        <v>425</v>
      </c>
      <c r="R48" s="209">
        <v>0</v>
      </c>
      <c r="S48" s="213">
        <v>46300.84</v>
      </c>
      <c r="T48" s="212">
        <v>85377.476600000009</v>
      </c>
      <c r="U48" s="207">
        <v>-0.45769256900244348</v>
      </c>
      <c r="V48" s="208" t="s">
        <v>425</v>
      </c>
      <c r="W48" s="212">
        <v>13000</v>
      </c>
      <c r="X48" s="301">
        <v>0.24584615384615385</v>
      </c>
      <c r="Y48" s="302">
        <v>174596.06666666668</v>
      </c>
      <c r="Z48" s="208">
        <v>0.26518833375780509</v>
      </c>
      <c r="AA48" s="163"/>
    </row>
    <row r="49" spans="2:27" ht="15" customHeight="1" x14ac:dyDescent="0.25">
      <c r="B49" s="155"/>
      <c r="C49" s="197">
        <v>2</v>
      </c>
      <c r="D49" s="211" t="s">
        <v>66</v>
      </c>
      <c r="E49" s="211" t="s">
        <v>426</v>
      </c>
      <c r="F49" s="199" t="s">
        <v>422</v>
      </c>
      <c r="G49" s="200" t="s">
        <v>426</v>
      </c>
      <c r="H49" s="201" t="s">
        <v>457</v>
      </c>
      <c r="I49" s="202" t="s">
        <v>426</v>
      </c>
      <c r="J49" s="202" t="s">
        <v>426</v>
      </c>
      <c r="K49" s="204" t="s">
        <v>426</v>
      </c>
      <c r="L49" s="205">
        <v>1676</v>
      </c>
      <c r="M49" s="209">
        <v>6410</v>
      </c>
      <c r="N49" s="213">
        <v>7155</v>
      </c>
      <c r="O49" s="212">
        <v>9311.9905333973584</v>
      </c>
      <c r="P49" s="207">
        <v>-0.23163581681718148</v>
      </c>
      <c r="Q49" s="208">
        <v>0.11622464898595952</v>
      </c>
      <c r="R49" s="209">
        <v>126043.18</v>
      </c>
      <c r="S49" s="213">
        <v>90335.09</v>
      </c>
      <c r="T49" s="212">
        <v>143482.9997980186</v>
      </c>
      <c r="U49" s="207">
        <v>-0.37041259154628114</v>
      </c>
      <c r="V49" s="208">
        <v>-0.28330045306695684</v>
      </c>
      <c r="W49" s="212">
        <v>19042.925426170466</v>
      </c>
      <c r="X49" s="301">
        <v>0.37573008557639825</v>
      </c>
      <c r="Y49" s="302">
        <v>293421.26748061064</v>
      </c>
      <c r="Z49" s="208">
        <v>0.30786824273386854</v>
      </c>
      <c r="AA49" s="163"/>
    </row>
    <row r="50" spans="2:27" ht="15" customHeight="1" x14ac:dyDescent="0.25">
      <c r="B50" s="155"/>
      <c r="C50" s="197">
        <v>3</v>
      </c>
      <c r="D50" s="211" t="s">
        <v>66</v>
      </c>
      <c r="E50" s="211" t="s">
        <v>14</v>
      </c>
      <c r="F50" s="199" t="s">
        <v>422</v>
      </c>
      <c r="G50" s="200" t="s">
        <v>426</v>
      </c>
      <c r="H50" s="201" t="s">
        <v>14</v>
      </c>
      <c r="I50" s="202" t="s">
        <v>458</v>
      </c>
      <c r="J50" s="202" t="s">
        <v>439</v>
      </c>
      <c r="K50" s="204">
        <v>88888</v>
      </c>
      <c r="L50" s="205">
        <v>0</v>
      </c>
      <c r="M50" s="209">
        <v>0</v>
      </c>
      <c r="N50" s="213">
        <v>0</v>
      </c>
      <c r="O50" s="212">
        <v>1417</v>
      </c>
      <c r="P50" s="207" t="s">
        <v>425</v>
      </c>
      <c r="Q50" s="208" t="s">
        <v>425</v>
      </c>
      <c r="R50" s="209">
        <v>0</v>
      </c>
      <c r="S50" s="213">
        <v>0</v>
      </c>
      <c r="T50" s="212">
        <v>5008.1503333333339</v>
      </c>
      <c r="U50" s="207" t="s">
        <v>425</v>
      </c>
      <c r="V50" s="208" t="s">
        <v>425</v>
      </c>
      <c r="W50" s="212">
        <v>4322</v>
      </c>
      <c r="X50" s="301">
        <v>0</v>
      </c>
      <c r="Y50" s="302">
        <v>15275.388666666669</v>
      </c>
      <c r="Z50" s="208">
        <v>0</v>
      </c>
      <c r="AA50" s="163"/>
    </row>
    <row r="51" spans="2:27" ht="15" customHeight="1" x14ac:dyDescent="0.25">
      <c r="B51" s="155"/>
      <c r="C51" s="197">
        <v>2</v>
      </c>
      <c r="D51" s="211" t="s">
        <v>66</v>
      </c>
      <c r="E51" s="211" t="s">
        <v>426</v>
      </c>
      <c r="F51" s="199" t="s">
        <v>422</v>
      </c>
      <c r="G51" s="200" t="s">
        <v>426</v>
      </c>
      <c r="H51" s="201" t="s">
        <v>459</v>
      </c>
      <c r="I51" s="202" t="s">
        <v>426</v>
      </c>
      <c r="J51" s="202" t="s">
        <v>426</v>
      </c>
      <c r="K51" s="204" t="s">
        <v>426</v>
      </c>
      <c r="L51" s="205">
        <v>0</v>
      </c>
      <c r="M51" s="209">
        <v>0</v>
      </c>
      <c r="N51" s="213">
        <v>0</v>
      </c>
      <c r="O51" s="212">
        <v>1417</v>
      </c>
      <c r="P51" s="207" t="s">
        <v>425</v>
      </c>
      <c r="Q51" s="208" t="s">
        <v>425</v>
      </c>
      <c r="R51" s="209">
        <v>0</v>
      </c>
      <c r="S51" s="213">
        <v>0</v>
      </c>
      <c r="T51" s="212">
        <v>5008.1503333333339</v>
      </c>
      <c r="U51" s="207" t="s">
        <v>425</v>
      </c>
      <c r="V51" s="208" t="s">
        <v>425</v>
      </c>
      <c r="W51" s="212">
        <v>4322</v>
      </c>
      <c r="X51" s="301">
        <v>0</v>
      </c>
      <c r="Y51" s="302">
        <v>15275.388666666669</v>
      </c>
      <c r="Z51" s="208">
        <v>0</v>
      </c>
      <c r="AA51" s="163"/>
    </row>
    <row r="52" spans="2:27" ht="15" customHeight="1" x14ac:dyDescent="0.25">
      <c r="B52" s="155"/>
      <c r="C52" s="197">
        <v>3</v>
      </c>
      <c r="D52" s="211" t="s">
        <v>66</v>
      </c>
      <c r="E52" s="211" t="s">
        <v>54</v>
      </c>
      <c r="F52" s="199" t="s">
        <v>422</v>
      </c>
      <c r="G52" s="200" t="s">
        <v>426</v>
      </c>
      <c r="H52" s="201" t="s">
        <v>54</v>
      </c>
      <c r="I52" s="202" t="s">
        <v>3</v>
      </c>
      <c r="J52" s="202" t="s">
        <v>429</v>
      </c>
      <c r="K52" s="204">
        <v>13140</v>
      </c>
      <c r="L52" s="205">
        <v>30</v>
      </c>
      <c r="M52" s="209">
        <v>720</v>
      </c>
      <c r="N52" s="213">
        <v>459</v>
      </c>
      <c r="O52" s="212">
        <v>0</v>
      </c>
      <c r="P52" s="207" t="s">
        <v>425</v>
      </c>
      <c r="Q52" s="208">
        <v>-0.36250000000000004</v>
      </c>
      <c r="R52" s="209">
        <v>6340.06</v>
      </c>
      <c r="S52" s="213">
        <v>-1863.3300000000002</v>
      </c>
      <c r="T52" s="212">
        <v>0</v>
      </c>
      <c r="U52" s="207" t="s">
        <v>425</v>
      </c>
      <c r="V52" s="208" t="s">
        <v>425</v>
      </c>
      <c r="W52" s="212">
        <v>0</v>
      </c>
      <c r="X52" s="301" t="s">
        <v>425</v>
      </c>
      <c r="Y52" s="302">
        <v>0</v>
      </c>
      <c r="Z52" s="208">
        <v>0</v>
      </c>
      <c r="AA52" s="163"/>
    </row>
    <row r="53" spans="2:27" ht="15" customHeight="1" x14ac:dyDescent="0.25">
      <c r="B53" s="155"/>
      <c r="C53" s="197">
        <v>2</v>
      </c>
      <c r="D53" s="211" t="s">
        <v>66</v>
      </c>
      <c r="E53" s="211" t="s">
        <v>426</v>
      </c>
      <c r="F53" s="199" t="s">
        <v>422</v>
      </c>
      <c r="G53" s="200" t="s">
        <v>426</v>
      </c>
      <c r="H53" s="201" t="s">
        <v>460</v>
      </c>
      <c r="I53" s="202" t="s">
        <v>426</v>
      </c>
      <c r="J53" s="202" t="s">
        <v>426</v>
      </c>
      <c r="K53" s="204" t="s">
        <v>426</v>
      </c>
      <c r="L53" s="205">
        <v>30</v>
      </c>
      <c r="M53" s="209">
        <v>720</v>
      </c>
      <c r="N53" s="213">
        <v>459</v>
      </c>
      <c r="O53" s="212">
        <v>0</v>
      </c>
      <c r="P53" s="207" t="s">
        <v>425</v>
      </c>
      <c r="Q53" s="208">
        <v>-0.36250000000000004</v>
      </c>
      <c r="R53" s="209">
        <v>6340.06</v>
      </c>
      <c r="S53" s="213">
        <v>-1863.3300000000002</v>
      </c>
      <c r="T53" s="212">
        <v>0</v>
      </c>
      <c r="U53" s="207" t="s">
        <v>425</v>
      </c>
      <c r="V53" s="208" t="s">
        <v>425</v>
      </c>
      <c r="W53" s="212">
        <v>0</v>
      </c>
      <c r="X53" s="301" t="s">
        <v>425</v>
      </c>
      <c r="Y53" s="302">
        <v>0</v>
      </c>
      <c r="Z53" s="208">
        <v>0</v>
      </c>
      <c r="AA53" s="163"/>
    </row>
    <row r="54" spans="2:27" ht="15" customHeight="1" x14ac:dyDescent="0.25">
      <c r="B54" s="155"/>
      <c r="C54" s="197">
        <v>3</v>
      </c>
      <c r="D54" s="211" t="s">
        <v>66</v>
      </c>
      <c r="E54" s="211" t="s">
        <v>40</v>
      </c>
      <c r="F54" s="199" t="s">
        <v>422</v>
      </c>
      <c r="G54" s="200" t="s">
        <v>426</v>
      </c>
      <c r="H54" s="201" t="s">
        <v>40</v>
      </c>
      <c r="I54" s="202" t="s">
        <v>461</v>
      </c>
      <c r="J54" s="202" t="s">
        <v>439</v>
      </c>
      <c r="K54" s="204">
        <v>22222</v>
      </c>
      <c r="L54" s="205">
        <v>0</v>
      </c>
      <c r="M54" s="209">
        <v>0</v>
      </c>
      <c r="N54" s="213">
        <v>0</v>
      </c>
      <c r="O54" s="212">
        <v>0</v>
      </c>
      <c r="P54" s="207" t="s">
        <v>425</v>
      </c>
      <c r="Q54" s="208" t="s">
        <v>425</v>
      </c>
      <c r="R54" s="209">
        <v>0</v>
      </c>
      <c r="S54" s="213">
        <v>0</v>
      </c>
      <c r="T54" s="212">
        <v>0</v>
      </c>
      <c r="U54" s="207" t="s">
        <v>425</v>
      </c>
      <c r="V54" s="208" t="s">
        <v>425</v>
      </c>
      <c r="W54" s="212">
        <v>0</v>
      </c>
      <c r="X54" s="301" t="s">
        <v>425</v>
      </c>
      <c r="Y54" s="302">
        <v>0</v>
      </c>
      <c r="Z54" s="208">
        <v>0</v>
      </c>
      <c r="AA54" s="163"/>
    </row>
    <row r="55" spans="2:27" ht="15" customHeight="1" x14ac:dyDescent="0.25">
      <c r="B55" s="155"/>
      <c r="C55" s="197">
        <v>3</v>
      </c>
      <c r="D55" s="211" t="s">
        <v>66</v>
      </c>
      <c r="E55" s="211" t="s">
        <v>40</v>
      </c>
      <c r="F55" s="199" t="s">
        <v>422</v>
      </c>
      <c r="G55" s="200" t="s">
        <v>426</v>
      </c>
      <c r="H55" s="201" t="s">
        <v>426</v>
      </c>
      <c r="I55" s="202" t="s">
        <v>43</v>
      </c>
      <c r="J55" s="202" t="s">
        <v>439</v>
      </c>
      <c r="K55" s="204">
        <v>13071</v>
      </c>
      <c r="L55" s="205">
        <v>2925</v>
      </c>
      <c r="M55" s="209">
        <v>16574</v>
      </c>
      <c r="N55" s="213">
        <v>24875</v>
      </c>
      <c r="O55" s="212">
        <v>23700.458050775429</v>
      </c>
      <c r="P55" s="207">
        <v>4.9557774229858964E-2</v>
      </c>
      <c r="Q55" s="208">
        <v>0.5008446965126101</v>
      </c>
      <c r="R55" s="209">
        <v>44287.420000000006</v>
      </c>
      <c r="S55" s="213">
        <v>68762.83</v>
      </c>
      <c r="T55" s="212">
        <v>65039.954607458894</v>
      </c>
      <c r="U55" s="207">
        <v>5.7239821506796629E-2</v>
      </c>
      <c r="V55" s="208">
        <v>0.55264926247679358</v>
      </c>
      <c r="W55" s="212">
        <v>48467.19437786386</v>
      </c>
      <c r="X55" s="301">
        <v>0.51323375159840101</v>
      </c>
      <c r="Y55" s="302">
        <v>133006.04214204274</v>
      </c>
      <c r="Z55" s="208">
        <v>0.51699027271682352</v>
      </c>
      <c r="AA55" s="163"/>
    </row>
    <row r="56" spans="2:27" ht="15" customHeight="1" x14ac:dyDescent="0.25">
      <c r="B56" s="155"/>
      <c r="C56" s="197">
        <v>3</v>
      </c>
      <c r="D56" s="211" t="s">
        <v>66</v>
      </c>
      <c r="E56" s="211" t="s">
        <v>40</v>
      </c>
      <c r="F56" s="199" t="s">
        <v>422</v>
      </c>
      <c r="G56" s="200" t="s">
        <v>426</v>
      </c>
      <c r="H56" s="201" t="s">
        <v>426</v>
      </c>
      <c r="I56" s="202" t="s">
        <v>41</v>
      </c>
      <c r="J56" s="202" t="s">
        <v>439</v>
      </c>
      <c r="K56" s="204">
        <v>13074</v>
      </c>
      <c r="L56" s="205">
        <v>4449</v>
      </c>
      <c r="M56" s="209">
        <v>30114</v>
      </c>
      <c r="N56" s="213">
        <v>43715</v>
      </c>
      <c r="O56" s="212">
        <v>41676.310103439246</v>
      </c>
      <c r="P56" s="207">
        <v>4.8917235990921348E-2</v>
      </c>
      <c r="Q56" s="208">
        <v>0.45165039516503946</v>
      </c>
      <c r="R56" s="209">
        <v>172184.75</v>
      </c>
      <c r="S56" s="213">
        <v>255932.44000000003</v>
      </c>
      <c r="T56" s="212">
        <v>244729.28578260625</v>
      </c>
      <c r="U56" s="207">
        <v>4.5777742461707627E-2</v>
      </c>
      <c r="V56" s="208">
        <v>0.4863827371471634</v>
      </c>
      <c r="W56" s="212">
        <v>85227.628023393132</v>
      </c>
      <c r="X56" s="301">
        <v>0.51292052839956059</v>
      </c>
      <c r="Y56" s="302">
        <v>500468.88708099432</v>
      </c>
      <c r="Z56" s="208">
        <v>0.51138531606377502</v>
      </c>
      <c r="AA56" s="163"/>
    </row>
    <row r="57" spans="2:27" ht="15" customHeight="1" x14ac:dyDescent="0.25">
      <c r="B57" s="155"/>
      <c r="C57" s="197">
        <v>3</v>
      </c>
      <c r="D57" s="211" t="s">
        <v>66</v>
      </c>
      <c r="E57" s="211" t="s">
        <v>40</v>
      </c>
      <c r="F57" s="199" t="s">
        <v>422</v>
      </c>
      <c r="G57" s="200" t="s">
        <v>426</v>
      </c>
      <c r="H57" s="201" t="s">
        <v>426</v>
      </c>
      <c r="I57" s="202" t="s">
        <v>42</v>
      </c>
      <c r="J57" s="202" t="s">
        <v>439</v>
      </c>
      <c r="K57" s="204">
        <v>13072</v>
      </c>
      <c r="L57" s="205">
        <v>2065</v>
      </c>
      <c r="M57" s="209">
        <v>12094</v>
      </c>
      <c r="N57" s="213">
        <v>13725</v>
      </c>
      <c r="O57" s="212">
        <v>16043.85663867217</v>
      </c>
      <c r="P57" s="207">
        <v>-0.14453237091902138</v>
      </c>
      <c r="Q57" s="208">
        <v>0.13486026128658835</v>
      </c>
      <c r="R57" s="209">
        <v>63234.84</v>
      </c>
      <c r="S57" s="213">
        <v>79499.91</v>
      </c>
      <c r="T57" s="212">
        <v>87114.693299483333</v>
      </c>
      <c r="U57" s="207">
        <v>-8.7411009682433094E-2</v>
      </c>
      <c r="V57" s="208">
        <v>0.25721690764142058</v>
      </c>
      <c r="W57" s="212">
        <v>32809.522778470695</v>
      </c>
      <c r="X57" s="301">
        <v>0.41832367062059855</v>
      </c>
      <c r="Y57" s="302">
        <v>178148.65705415816</v>
      </c>
      <c r="Z57" s="208">
        <v>0.44625601626529016</v>
      </c>
      <c r="AA57" s="163"/>
    </row>
    <row r="58" spans="2:27" ht="15" customHeight="1" x14ac:dyDescent="0.25">
      <c r="B58" s="155"/>
      <c r="C58" s="197">
        <v>3</v>
      </c>
      <c r="D58" s="211" t="s">
        <v>66</v>
      </c>
      <c r="E58" s="211" t="s">
        <v>40</v>
      </c>
      <c r="F58" s="199" t="s">
        <v>422</v>
      </c>
      <c r="G58" s="200" t="s">
        <v>426</v>
      </c>
      <c r="H58" s="201" t="s">
        <v>426</v>
      </c>
      <c r="I58" s="202" t="s">
        <v>462</v>
      </c>
      <c r="J58" s="202" t="s">
        <v>439</v>
      </c>
      <c r="K58" s="204">
        <v>33333</v>
      </c>
      <c r="L58" s="205">
        <v>0</v>
      </c>
      <c r="M58" s="209">
        <v>0</v>
      </c>
      <c r="N58" s="213">
        <v>0</v>
      </c>
      <c r="O58" s="212">
        <v>0</v>
      </c>
      <c r="P58" s="207" t="s">
        <v>425</v>
      </c>
      <c r="Q58" s="208" t="s">
        <v>425</v>
      </c>
      <c r="R58" s="209">
        <v>0</v>
      </c>
      <c r="S58" s="213">
        <v>0</v>
      </c>
      <c r="T58" s="212">
        <v>0</v>
      </c>
      <c r="U58" s="207" t="s">
        <v>425</v>
      </c>
      <c r="V58" s="208" t="s">
        <v>425</v>
      </c>
      <c r="W58" s="212">
        <v>0</v>
      </c>
      <c r="X58" s="301" t="s">
        <v>425</v>
      </c>
      <c r="Y58" s="302">
        <v>0</v>
      </c>
      <c r="Z58" s="208">
        <v>0</v>
      </c>
      <c r="AA58" s="163"/>
    </row>
    <row r="59" spans="2:27" ht="15" customHeight="1" x14ac:dyDescent="0.25">
      <c r="B59" s="155"/>
      <c r="C59" s="197">
        <v>2</v>
      </c>
      <c r="D59" s="211" t="s">
        <v>66</v>
      </c>
      <c r="E59" s="211" t="s">
        <v>426</v>
      </c>
      <c r="F59" s="199" t="s">
        <v>422</v>
      </c>
      <c r="G59" s="200" t="s">
        <v>426</v>
      </c>
      <c r="H59" s="201" t="s">
        <v>463</v>
      </c>
      <c r="I59" s="202" t="s">
        <v>426</v>
      </c>
      <c r="J59" s="202" t="s">
        <v>426</v>
      </c>
      <c r="K59" s="204" t="s">
        <v>426</v>
      </c>
      <c r="L59" s="205">
        <v>9439</v>
      </c>
      <c r="M59" s="209">
        <v>58782</v>
      </c>
      <c r="N59" s="213">
        <v>82315</v>
      </c>
      <c r="O59" s="212">
        <v>81420.62479288684</v>
      </c>
      <c r="P59" s="207">
        <v>1.0984627167725858E-2</v>
      </c>
      <c r="Q59" s="208">
        <v>0.40034364261168376</v>
      </c>
      <c r="R59" s="209">
        <v>279707.01</v>
      </c>
      <c r="S59" s="213">
        <v>404195.18000000005</v>
      </c>
      <c r="T59" s="212">
        <v>396883.93368954852</v>
      </c>
      <c r="U59" s="207">
        <v>1.842162327530894E-2</v>
      </c>
      <c r="V59" s="208">
        <v>0.44506632136248592</v>
      </c>
      <c r="W59" s="212">
        <v>166504.34517972768</v>
      </c>
      <c r="X59" s="301">
        <v>0.49437148268501796</v>
      </c>
      <c r="Y59" s="302">
        <v>811623.58627719525</v>
      </c>
      <c r="Z59" s="208">
        <v>0.4980081737816261</v>
      </c>
      <c r="AA59" s="163"/>
    </row>
    <row r="60" spans="2:27" ht="15" customHeight="1" x14ac:dyDescent="0.25">
      <c r="B60" s="155"/>
      <c r="C60" s="197">
        <v>3</v>
      </c>
      <c r="D60" s="211" t="s">
        <v>66</v>
      </c>
      <c r="E60" s="211" t="s">
        <v>15</v>
      </c>
      <c r="F60" s="199" t="s">
        <v>422</v>
      </c>
      <c r="G60" s="200" t="s">
        <v>426</v>
      </c>
      <c r="H60" s="201" t="s">
        <v>15</v>
      </c>
      <c r="I60" s="202" t="s">
        <v>16</v>
      </c>
      <c r="J60" s="202" t="s">
        <v>439</v>
      </c>
      <c r="K60" s="204">
        <v>13133</v>
      </c>
      <c r="L60" s="205">
        <v>1260</v>
      </c>
      <c r="M60" s="209">
        <v>7703</v>
      </c>
      <c r="N60" s="213">
        <v>9954</v>
      </c>
      <c r="O60" s="212">
        <v>8058.5710693651672</v>
      </c>
      <c r="P60" s="207">
        <v>0.23520657872465089</v>
      </c>
      <c r="Q60" s="208">
        <v>0.29222380890562127</v>
      </c>
      <c r="R60" s="209">
        <v>136444.5</v>
      </c>
      <c r="S60" s="213">
        <v>167545.28</v>
      </c>
      <c r="T60" s="212">
        <v>142742.78855952166</v>
      </c>
      <c r="U60" s="207">
        <v>0.17375652872394354</v>
      </c>
      <c r="V60" s="208">
        <v>0.22793721989526872</v>
      </c>
      <c r="W60" s="212">
        <v>16479.695438374576</v>
      </c>
      <c r="X60" s="301">
        <v>0.60401601699635432</v>
      </c>
      <c r="Y60" s="302">
        <v>291907.54306650645</v>
      </c>
      <c r="Z60" s="208">
        <v>0.57396694254600844</v>
      </c>
      <c r="AA60" s="163"/>
    </row>
    <row r="61" spans="2:27" ht="15" customHeight="1" x14ac:dyDescent="0.25">
      <c r="B61" s="155"/>
      <c r="C61" s="197">
        <v>3</v>
      </c>
      <c r="D61" s="211" t="s">
        <v>66</v>
      </c>
      <c r="E61" s="211" t="s">
        <v>15</v>
      </c>
      <c r="F61" s="199" t="s">
        <v>422</v>
      </c>
      <c r="G61" s="200" t="s">
        <v>426</v>
      </c>
      <c r="H61" s="201" t="s">
        <v>426</v>
      </c>
      <c r="I61" s="202" t="s">
        <v>17</v>
      </c>
      <c r="J61" s="202" t="s">
        <v>439</v>
      </c>
      <c r="K61" s="204">
        <v>13134</v>
      </c>
      <c r="L61" s="205">
        <v>420</v>
      </c>
      <c r="M61" s="209">
        <v>2236</v>
      </c>
      <c r="N61" s="213">
        <v>3673</v>
      </c>
      <c r="O61" s="212">
        <v>2973.9933298388828</v>
      </c>
      <c r="P61" s="207">
        <v>0.23503975720045944</v>
      </c>
      <c r="Q61" s="208">
        <v>0.64266547406082286</v>
      </c>
      <c r="R61" s="209">
        <v>29450.070000000003</v>
      </c>
      <c r="S61" s="213">
        <v>44449.34</v>
      </c>
      <c r="T61" s="212">
        <v>39705.404552183252</v>
      </c>
      <c r="U61" s="207">
        <v>0.11947833050238721</v>
      </c>
      <c r="V61" s="208">
        <v>0.50931186241662552</v>
      </c>
      <c r="W61" s="212">
        <v>6081.7859505907636</v>
      </c>
      <c r="X61" s="301">
        <v>0.60393444127102458</v>
      </c>
      <c r="Y61" s="302">
        <v>81197.146323483146</v>
      </c>
      <c r="Z61" s="208">
        <v>0.54742490361566731</v>
      </c>
      <c r="AA61" s="163"/>
    </row>
    <row r="62" spans="2:27" ht="15" customHeight="1" x14ac:dyDescent="0.25">
      <c r="B62" s="155"/>
      <c r="C62" s="197">
        <v>2</v>
      </c>
      <c r="D62" s="211" t="s">
        <v>66</v>
      </c>
      <c r="E62" s="211" t="s">
        <v>426</v>
      </c>
      <c r="F62" s="199" t="s">
        <v>422</v>
      </c>
      <c r="G62" s="200" t="s">
        <v>426</v>
      </c>
      <c r="H62" s="201" t="s">
        <v>464</v>
      </c>
      <c r="I62" s="202" t="s">
        <v>426</v>
      </c>
      <c r="J62" s="202" t="s">
        <v>426</v>
      </c>
      <c r="K62" s="204" t="s">
        <v>426</v>
      </c>
      <c r="L62" s="205">
        <v>1680</v>
      </c>
      <c r="M62" s="209">
        <v>9939</v>
      </c>
      <c r="N62" s="213">
        <v>13627</v>
      </c>
      <c r="O62" s="212">
        <v>11032.56439920405</v>
      </c>
      <c r="P62" s="207">
        <v>0.23516160947885578</v>
      </c>
      <c r="Q62" s="208">
        <v>0.37106348727236149</v>
      </c>
      <c r="R62" s="209">
        <v>165894.57</v>
      </c>
      <c r="S62" s="213">
        <v>211994.62</v>
      </c>
      <c r="T62" s="212">
        <v>182448.19311170492</v>
      </c>
      <c r="U62" s="207">
        <v>0.16194420116950736</v>
      </c>
      <c r="V62" s="208">
        <v>0.27788763670806094</v>
      </c>
      <c r="W62" s="212">
        <v>22561.481388965338</v>
      </c>
      <c r="X62" s="301">
        <v>0.60399402703516047</v>
      </c>
      <c r="Y62" s="302">
        <v>373104.68938998959</v>
      </c>
      <c r="Z62" s="208">
        <v>0.56819071437188917</v>
      </c>
      <c r="AA62" s="163"/>
    </row>
    <row r="63" spans="2:27" ht="15" customHeight="1" x14ac:dyDescent="0.25">
      <c r="B63" s="155"/>
      <c r="C63" s="197">
        <v>3</v>
      </c>
      <c r="D63" s="211" t="s">
        <v>66</v>
      </c>
      <c r="E63" s="211" t="s">
        <v>44</v>
      </c>
      <c r="F63" s="199" t="s">
        <v>422</v>
      </c>
      <c r="G63" s="200" t="s">
        <v>426</v>
      </c>
      <c r="H63" s="201" t="s">
        <v>44</v>
      </c>
      <c r="I63" s="202" t="s">
        <v>465</v>
      </c>
      <c r="J63" s="202" t="s">
        <v>429</v>
      </c>
      <c r="K63" s="204">
        <v>13082</v>
      </c>
      <c r="L63" s="205">
        <v>0</v>
      </c>
      <c r="M63" s="209">
        <v>-1</v>
      </c>
      <c r="N63" s="213">
        <v>132</v>
      </c>
      <c r="O63" s="212">
        <v>1222.5</v>
      </c>
      <c r="P63" s="207">
        <v>-0.89202453987730057</v>
      </c>
      <c r="Q63" s="208" t="s">
        <v>425</v>
      </c>
      <c r="R63" s="209">
        <v>-17.600000000000001</v>
      </c>
      <c r="S63" s="213">
        <v>-1236.1699999999998</v>
      </c>
      <c r="T63" s="212">
        <v>29670.075000000001</v>
      </c>
      <c r="U63" s="207" t="s">
        <v>425</v>
      </c>
      <c r="V63" s="208" t="s">
        <v>425</v>
      </c>
      <c r="W63" s="212">
        <v>2500</v>
      </c>
      <c r="X63" s="301">
        <v>5.28E-2</v>
      </c>
      <c r="Y63" s="302">
        <v>60675.000000000007</v>
      </c>
      <c r="Z63" s="208">
        <v>-2.0373629995879682E-2</v>
      </c>
      <c r="AA63" s="163"/>
    </row>
    <row r="64" spans="2:27" ht="15" customHeight="1" x14ac:dyDescent="0.25">
      <c r="B64" s="155"/>
      <c r="C64" s="197">
        <v>3</v>
      </c>
      <c r="D64" s="211" t="s">
        <v>66</v>
      </c>
      <c r="E64" s="211" t="s">
        <v>44</v>
      </c>
      <c r="F64" s="199" t="s">
        <v>422</v>
      </c>
      <c r="G64" s="200" t="s">
        <v>426</v>
      </c>
      <c r="H64" s="201" t="s">
        <v>426</v>
      </c>
      <c r="I64" s="202" t="s">
        <v>466</v>
      </c>
      <c r="J64" s="202" t="s">
        <v>429</v>
      </c>
      <c r="K64" s="204">
        <v>13083</v>
      </c>
      <c r="L64" s="205">
        <v>0</v>
      </c>
      <c r="M64" s="209">
        <v>0</v>
      </c>
      <c r="N64" s="213">
        <v>0</v>
      </c>
      <c r="O64" s="212">
        <v>0</v>
      </c>
      <c r="P64" s="207" t="s">
        <v>425</v>
      </c>
      <c r="Q64" s="208" t="s">
        <v>425</v>
      </c>
      <c r="R64" s="209">
        <v>0</v>
      </c>
      <c r="S64" s="213">
        <v>0</v>
      </c>
      <c r="T64" s="212">
        <v>0</v>
      </c>
      <c r="U64" s="207" t="s">
        <v>425</v>
      </c>
      <c r="V64" s="208" t="s">
        <v>425</v>
      </c>
      <c r="W64" s="212">
        <v>0</v>
      </c>
      <c r="X64" s="301" t="s">
        <v>425</v>
      </c>
      <c r="Y64" s="302">
        <v>0</v>
      </c>
      <c r="Z64" s="208">
        <v>0</v>
      </c>
      <c r="AA64" s="163"/>
    </row>
    <row r="65" spans="2:27" ht="15" customHeight="1" x14ac:dyDescent="0.25">
      <c r="B65" s="155"/>
      <c r="C65" s="197">
        <v>2</v>
      </c>
      <c r="D65" s="211" t="s">
        <v>66</v>
      </c>
      <c r="E65" s="211" t="s">
        <v>426</v>
      </c>
      <c r="F65" s="199" t="s">
        <v>422</v>
      </c>
      <c r="G65" s="200" t="s">
        <v>426</v>
      </c>
      <c r="H65" s="201" t="s">
        <v>467</v>
      </c>
      <c r="I65" s="202" t="s">
        <v>426</v>
      </c>
      <c r="J65" s="202" t="s">
        <v>426</v>
      </c>
      <c r="K65" s="204" t="s">
        <v>426</v>
      </c>
      <c r="L65" s="205">
        <v>0</v>
      </c>
      <c r="M65" s="209">
        <v>-1</v>
      </c>
      <c r="N65" s="213">
        <v>132</v>
      </c>
      <c r="O65" s="212">
        <v>1222.5</v>
      </c>
      <c r="P65" s="207">
        <v>-0.89202453987730057</v>
      </c>
      <c r="Q65" s="208" t="s">
        <v>425</v>
      </c>
      <c r="R65" s="209">
        <v>-17.600000000000001</v>
      </c>
      <c r="S65" s="213">
        <v>-1236.1699999999998</v>
      </c>
      <c r="T65" s="212">
        <v>29670.075000000001</v>
      </c>
      <c r="U65" s="207" t="s">
        <v>425</v>
      </c>
      <c r="V65" s="208" t="s">
        <v>425</v>
      </c>
      <c r="W65" s="212">
        <v>2500</v>
      </c>
      <c r="X65" s="301">
        <v>5.28E-2</v>
      </c>
      <c r="Y65" s="302">
        <v>60675.000000000007</v>
      </c>
      <c r="Z65" s="208">
        <v>-2.0373629995879682E-2</v>
      </c>
      <c r="AA65" s="163"/>
    </row>
    <row r="66" spans="2:27" ht="15" customHeight="1" x14ac:dyDescent="0.25">
      <c r="B66" s="155"/>
      <c r="C66" s="197">
        <v>3</v>
      </c>
      <c r="D66" s="211" t="s">
        <v>66</v>
      </c>
      <c r="E66" s="211" t="s">
        <v>60</v>
      </c>
      <c r="F66" s="199" t="s">
        <v>422</v>
      </c>
      <c r="G66" s="200" t="s">
        <v>426</v>
      </c>
      <c r="H66" s="201" t="s">
        <v>60</v>
      </c>
      <c r="I66" s="202" t="s">
        <v>2</v>
      </c>
      <c r="J66" s="202" t="s">
        <v>429</v>
      </c>
      <c r="K66" s="204">
        <v>13139</v>
      </c>
      <c r="L66" s="205">
        <v>1700</v>
      </c>
      <c r="M66" s="209">
        <v>9120</v>
      </c>
      <c r="N66" s="213">
        <v>8367</v>
      </c>
      <c r="O66" s="212">
        <v>9332.6238162557529</v>
      </c>
      <c r="P66" s="207">
        <v>-0.10346756017035741</v>
      </c>
      <c r="Q66" s="208">
        <v>-8.2565789473684204E-2</v>
      </c>
      <c r="R66" s="209">
        <v>182612.3</v>
      </c>
      <c r="S66" s="213">
        <v>132514.19999999998</v>
      </c>
      <c r="T66" s="212">
        <v>151188.50582334318</v>
      </c>
      <c r="U66" s="207">
        <v>-0.12351670334756315</v>
      </c>
      <c r="V66" s="208">
        <v>-0.27434132312007464</v>
      </c>
      <c r="W66" s="212">
        <v>19085.120278641622</v>
      </c>
      <c r="X66" s="301">
        <v>0.43840436307669522</v>
      </c>
      <c r="Y66" s="302">
        <v>309178.94851399423</v>
      </c>
      <c r="Z66" s="208">
        <v>0.42860033206304166</v>
      </c>
      <c r="AA66" s="163"/>
    </row>
    <row r="67" spans="2:27" ht="15" customHeight="1" x14ac:dyDescent="0.25">
      <c r="B67" s="155"/>
      <c r="C67" s="197">
        <v>2</v>
      </c>
      <c r="D67" s="211" t="s">
        <v>66</v>
      </c>
      <c r="E67" s="211" t="s">
        <v>426</v>
      </c>
      <c r="F67" s="199" t="s">
        <v>422</v>
      </c>
      <c r="G67" s="200" t="s">
        <v>426</v>
      </c>
      <c r="H67" s="201" t="s">
        <v>468</v>
      </c>
      <c r="I67" s="202" t="s">
        <v>426</v>
      </c>
      <c r="J67" s="202" t="s">
        <v>426</v>
      </c>
      <c r="K67" s="204" t="s">
        <v>426</v>
      </c>
      <c r="L67" s="205">
        <v>1700</v>
      </c>
      <c r="M67" s="209">
        <v>9120</v>
      </c>
      <c r="N67" s="213">
        <v>8367</v>
      </c>
      <c r="O67" s="212">
        <v>9332.6238162557529</v>
      </c>
      <c r="P67" s="207">
        <v>-0.10346756017035741</v>
      </c>
      <c r="Q67" s="208">
        <v>-8.2565789473684204E-2</v>
      </c>
      <c r="R67" s="209">
        <v>182612.3</v>
      </c>
      <c r="S67" s="213">
        <v>132514.19999999998</v>
      </c>
      <c r="T67" s="212">
        <v>151188.50582334318</v>
      </c>
      <c r="U67" s="207">
        <v>-0.12351670334756315</v>
      </c>
      <c r="V67" s="208">
        <v>-0.27434132312007464</v>
      </c>
      <c r="W67" s="212">
        <v>19085.120278641622</v>
      </c>
      <c r="X67" s="301">
        <v>0.43840436307669522</v>
      </c>
      <c r="Y67" s="302">
        <v>309178.94851399423</v>
      </c>
      <c r="Z67" s="208">
        <v>0.42860033206304166</v>
      </c>
      <c r="AA67" s="163"/>
    </row>
    <row r="68" spans="2:27" ht="15" customHeight="1" x14ac:dyDescent="0.25">
      <c r="B68" s="155"/>
      <c r="C68" s="197">
        <v>3</v>
      </c>
      <c r="D68" s="211" t="s">
        <v>66</v>
      </c>
      <c r="E68" s="211" t="s">
        <v>47</v>
      </c>
      <c r="F68" s="199" t="s">
        <v>422</v>
      </c>
      <c r="G68" s="200" t="s">
        <v>426</v>
      </c>
      <c r="H68" s="201" t="s">
        <v>47</v>
      </c>
      <c r="I68" s="202" t="s">
        <v>469</v>
      </c>
      <c r="J68" s="202" t="s">
        <v>429</v>
      </c>
      <c r="K68" s="204">
        <v>13011</v>
      </c>
      <c r="L68" s="205">
        <v>-12</v>
      </c>
      <c r="M68" s="209">
        <v>-474</v>
      </c>
      <c r="N68" s="213">
        <v>-478</v>
      </c>
      <c r="O68" s="212">
        <v>0</v>
      </c>
      <c r="P68" s="207" t="s">
        <v>425</v>
      </c>
      <c r="Q68" s="208" t="s">
        <v>425</v>
      </c>
      <c r="R68" s="209">
        <v>-466.97</v>
      </c>
      <c r="S68" s="213">
        <v>-1014.27</v>
      </c>
      <c r="T68" s="212">
        <v>0</v>
      </c>
      <c r="U68" s="207" t="s">
        <v>425</v>
      </c>
      <c r="V68" s="208" t="s">
        <v>425</v>
      </c>
      <c r="W68" s="212">
        <v>0</v>
      </c>
      <c r="X68" s="301" t="s">
        <v>425</v>
      </c>
      <c r="Y68" s="302">
        <v>0</v>
      </c>
      <c r="Z68" s="208">
        <v>0</v>
      </c>
      <c r="AA68" s="163"/>
    </row>
    <row r="69" spans="2:27" ht="15" customHeight="1" x14ac:dyDescent="0.25">
      <c r="B69" s="155"/>
      <c r="C69" s="197">
        <v>3</v>
      </c>
      <c r="D69" s="211" t="s">
        <v>66</v>
      </c>
      <c r="E69" s="211" t="s">
        <v>47</v>
      </c>
      <c r="F69" s="199" t="s">
        <v>422</v>
      </c>
      <c r="G69" s="200" t="s">
        <v>426</v>
      </c>
      <c r="H69" s="201" t="s">
        <v>426</v>
      </c>
      <c r="I69" s="202" t="s">
        <v>470</v>
      </c>
      <c r="J69" s="202" t="s">
        <v>429</v>
      </c>
      <c r="K69" s="204">
        <v>13066</v>
      </c>
      <c r="L69" s="205">
        <v>2000</v>
      </c>
      <c r="M69" s="209">
        <v>12071</v>
      </c>
      <c r="N69" s="213">
        <v>21926</v>
      </c>
      <c r="O69" s="212">
        <v>16172.625009801279</v>
      </c>
      <c r="P69" s="207">
        <v>0.35574775193958552</v>
      </c>
      <c r="Q69" s="208">
        <v>0.81641951785270472</v>
      </c>
      <c r="R69" s="209">
        <v>77990.03</v>
      </c>
      <c r="S69" s="213">
        <v>146442.16999999998</v>
      </c>
      <c r="T69" s="212">
        <v>106592.83224565342</v>
      </c>
      <c r="U69" s="207">
        <v>0.3738463170066626</v>
      </c>
      <c r="V69" s="208">
        <v>0.87770372700202826</v>
      </c>
      <c r="W69" s="212">
        <v>33072.852780779715</v>
      </c>
      <c r="X69" s="301">
        <v>0.66296065069845722</v>
      </c>
      <c r="Y69" s="302">
        <v>217981.25203610107</v>
      </c>
      <c r="Z69" s="208">
        <v>0.67181084901625798</v>
      </c>
      <c r="AA69" s="163"/>
    </row>
    <row r="70" spans="2:27" ht="15" customHeight="1" x14ac:dyDescent="0.25">
      <c r="B70" s="155"/>
      <c r="C70" s="197">
        <v>3</v>
      </c>
      <c r="D70" s="211" t="s">
        <v>66</v>
      </c>
      <c r="E70" s="211" t="s">
        <v>47</v>
      </c>
      <c r="F70" s="199" t="s">
        <v>422</v>
      </c>
      <c r="G70" s="200" t="s">
        <v>426</v>
      </c>
      <c r="H70" s="201" t="s">
        <v>426</v>
      </c>
      <c r="I70" s="202" t="s">
        <v>471</v>
      </c>
      <c r="J70" s="202" t="s">
        <v>424</v>
      </c>
      <c r="K70" s="204">
        <v>13040</v>
      </c>
      <c r="L70" s="205">
        <v>0</v>
      </c>
      <c r="M70" s="209">
        <v>-9</v>
      </c>
      <c r="N70" s="213">
        <v>-1303</v>
      </c>
      <c r="O70" s="212">
        <v>0</v>
      </c>
      <c r="P70" s="207" t="s">
        <v>425</v>
      </c>
      <c r="Q70" s="208" t="s">
        <v>425</v>
      </c>
      <c r="R70" s="209">
        <v>-606.31999999999994</v>
      </c>
      <c r="S70" s="213">
        <v>-9728.3700000000008</v>
      </c>
      <c r="T70" s="212">
        <v>0</v>
      </c>
      <c r="U70" s="207" t="s">
        <v>425</v>
      </c>
      <c r="V70" s="208" t="s">
        <v>425</v>
      </c>
      <c r="W70" s="212">
        <v>0</v>
      </c>
      <c r="X70" s="301" t="s">
        <v>425</v>
      </c>
      <c r="Y70" s="302">
        <v>0</v>
      </c>
      <c r="Z70" s="208">
        <v>0</v>
      </c>
      <c r="AA70" s="163"/>
    </row>
    <row r="71" spans="2:27" ht="15" customHeight="1" x14ac:dyDescent="0.25">
      <c r="B71" s="155"/>
      <c r="C71" s="197">
        <v>2</v>
      </c>
      <c r="D71" s="211" t="s">
        <v>66</v>
      </c>
      <c r="E71" s="211" t="s">
        <v>426</v>
      </c>
      <c r="F71" s="199" t="s">
        <v>422</v>
      </c>
      <c r="G71" s="200" t="s">
        <v>426</v>
      </c>
      <c r="H71" s="201" t="s">
        <v>472</v>
      </c>
      <c r="I71" s="202" t="s">
        <v>426</v>
      </c>
      <c r="J71" s="202" t="s">
        <v>426</v>
      </c>
      <c r="K71" s="204" t="s">
        <v>426</v>
      </c>
      <c r="L71" s="205">
        <v>1988</v>
      </c>
      <c r="M71" s="209">
        <v>11588</v>
      </c>
      <c r="N71" s="213">
        <v>20145</v>
      </c>
      <c r="O71" s="212">
        <v>16172.625009801279</v>
      </c>
      <c r="P71" s="207">
        <v>0.24562339062405125</v>
      </c>
      <c r="Q71" s="208">
        <v>0.7384363134276839</v>
      </c>
      <c r="R71" s="209">
        <v>76916.740000000005</v>
      </c>
      <c r="S71" s="213">
        <v>135699.52999999997</v>
      </c>
      <c r="T71" s="212">
        <v>106592.83224565342</v>
      </c>
      <c r="U71" s="207">
        <v>0.27306430593069675</v>
      </c>
      <c r="V71" s="208">
        <v>0.76423922802760447</v>
      </c>
      <c r="W71" s="212">
        <v>33072.852780779715</v>
      </c>
      <c r="X71" s="301">
        <v>0.60910983801516105</v>
      </c>
      <c r="Y71" s="302">
        <v>217981.25203610107</v>
      </c>
      <c r="Z71" s="208">
        <v>0.62252844560011078</v>
      </c>
      <c r="AA71" s="163"/>
    </row>
    <row r="72" spans="2:27" ht="15" customHeight="1" x14ac:dyDescent="0.25">
      <c r="B72" s="155"/>
      <c r="C72" s="197">
        <v>3</v>
      </c>
      <c r="D72" s="211" t="s">
        <v>66</v>
      </c>
      <c r="E72" s="211" t="s">
        <v>50</v>
      </c>
      <c r="F72" s="199" t="s">
        <v>422</v>
      </c>
      <c r="G72" s="200" t="s">
        <v>426</v>
      </c>
      <c r="H72" s="201" t="s">
        <v>50</v>
      </c>
      <c r="I72" s="202" t="s">
        <v>52</v>
      </c>
      <c r="J72" s="202" t="s">
        <v>424</v>
      </c>
      <c r="K72" s="204">
        <v>13004</v>
      </c>
      <c r="L72" s="205">
        <v>0</v>
      </c>
      <c r="M72" s="209">
        <v>-1</v>
      </c>
      <c r="N72" s="213">
        <v>0</v>
      </c>
      <c r="O72" s="212">
        <v>0</v>
      </c>
      <c r="P72" s="207" t="s">
        <v>425</v>
      </c>
      <c r="Q72" s="208" t="s">
        <v>425</v>
      </c>
      <c r="R72" s="209">
        <v>-2.79</v>
      </c>
      <c r="S72" s="213">
        <v>0</v>
      </c>
      <c r="T72" s="212">
        <v>0</v>
      </c>
      <c r="U72" s="207" t="s">
        <v>425</v>
      </c>
      <c r="V72" s="208" t="s">
        <v>425</v>
      </c>
      <c r="W72" s="212">
        <v>0</v>
      </c>
      <c r="X72" s="301" t="s">
        <v>425</v>
      </c>
      <c r="Y72" s="302">
        <v>0</v>
      </c>
      <c r="Z72" s="208">
        <v>0</v>
      </c>
      <c r="AA72" s="163"/>
    </row>
    <row r="73" spans="2:27" ht="15" customHeight="1" x14ac:dyDescent="0.25">
      <c r="B73" s="155"/>
      <c r="C73" s="197">
        <v>3</v>
      </c>
      <c r="D73" s="211" t="s">
        <v>66</v>
      </c>
      <c r="E73" s="211" t="s">
        <v>50</v>
      </c>
      <c r="F73" s="199" t="s">
        <v>422</v>
      </c>
      <c r="G73" s="200" t="s">
        <v>426</v>
      </c>
      <c r="H73" s="201" t="s">
        <v>426</v>
      </c>
      <c r="I73" s="202" t="s">
        <v>53</v>
      </c>
      <c r="J73" s="202" t="s">
        <v>424</v>
      </c>
      <c r="K73" s="204">
        <v>13005</v>
      </c>
      <c r="L73" s="205">
        <v>222</v>
      </c>
      <c r="M73" s="209">
        <v>7879</v>
      </c>
      <c r="N73" s="213">
        <v>3</v>
      </c>
      <c r="O73" s="212">
        <v>-0.12560602400188692</v>
      </c>
      <c r="P73" s="207" t="s">
        <v>425</v>
      </c>
      <c r="Q73" s="208">
        <v>-0.99961924102043409</v>
      </c>
      <c r="R73" s="209">
        <v>-13932.720000000001</v>
      </c>
      <c r="S73" s="213">
        <v>-713.46999999999991</v>
      </c>
      <c r="T73" s="212">
        <v>-0.13220034026198599</v>
      </c>
      <c r="U73" s="207" t="s">
        <v>425</v>
      </c>
      <c r="V73" s="208" t="s">
        <v>425</v>
      </c>
      <c r="W73" s="212">
        <v>-0.25686303476868494</v>
      </c>
      <c r="X73" s="301">
        <v>-11.679376141847797</v>
      </c>
      <c r="Y73" s="302">
        <v>-0.27034834409404085</v>
      </c>
      <c r="Z73" s="208">
        <v>2639.0766416228498</v>
      </c>
      <c r="AA73" s="163"/>
    </row>
    <row r="74" spans="2:27" ht="15" customHeight="1" x14ac:dyDescent="0.25">
      <c r="B74" s="155"/>
      <c r="C74" s="197">
        <v>3</v>
      </c>
      <c r="D74" s="211" t="s">
        <v>66</v>
      </c>
      <c r="E74" s="211" t="s">
        <v>50</v>
      </c>
      <c r="F74" s="199" t="s">
        <v>422</v>
      </c>
      <c r="G74" s="200" t="s">
        <v>426</v>
      </c>
      <c r="H74" s="201" t="s">
        <v>426</v>
      </c>
      <c r="I74" s="202" t="s">
        <v>51</v>
      </c>
      <c r="J74" s="202" t="s">
        <v>424</v>
      </c>
      <c r="K74" s="204">
        <v>13006</v>
      </c>
      <c r="L74" s="205">
        <v>-2500</v>
      </c>
      <c r="M74" s="209">
        <v>701</v>
      </c>
      <c r="N74" s="213">
        <v>-11</v>
      </c>
      <c r="O74" s="212">
        <v>0.22695781827434802</v>
      </c>
      <c r="P74" s="207" t="s">
        <v>425</v>
      </c>
      <c r="Q74" s="208" t="s">
        <v>425</v>
      </c>
      <c r="R74" s="209">
        <v>-1891.34</v>
      </c>
      <c r="S74" s="213">
        <v>-23.869999999999997</v>
      </c>
      <c r="T74" s="212">
        <v>0.23887310373375129</v>
      </c>
      <c r="U74" s="207" t="s">
        <v>425</v>
      </c>
      <c r="V74" s="208" t="s">
        <v>425</v>
      </c>
      <c r="W74" s="212">
        <v>0.46412641773895302</v>
      </c>
      <c r="X74" s="301">
        <v>-23.700439319071315</v>
      </c>
      <c r="Y74" s="302">
        <v>0.48849305467024801</v>
      </c>
      <c r="Z74" s="208">
        <v>-48.864563726731355</v>
      </c>
      <c r="AA74" s="163"/>
    </row>
    <row r="75" spans="2:27" ht="15" customHeight="1" x14ac:dyDescent="0.25">
      <c r="B75" s="155"/>
      <c r="C75" s="197">
        <v>2</v>
      </c>
      <c r="D75" s="211" t="s">
        <v>66</v>
      </c>
      <c r="E75" s="211" t="s">
        <v>426</v>
      </c>
      <c r="F75" s="199" t="s">
        <v>422</v>
      </c>
      <c r="G75" s="200" t="s">
        <v>426</v>
      </c>
      <c r="H75" s="201" t="s">
        <v>473</v>
      </c>
      <c r="I75" s="202" t="s">
        <v>426</v>
      </c>
      <c r="J75" s="202" t="s">
        <v>426</v>
      </c>
      <c r="K75" s="204" t="s">
        <v>426</v>
      </c>
      <c r="L75" s="205">
        <v>-2278</v>
      </c>
      <c r="M75" s="209">
        <v>8579</v>
      </c>
      <c r="N75" s="213">
        <v>-8</v>
      </c>
      <c r="O75" s="212">
        <v>0.1013517942724611</v>
      </c>
      <c r="P75" s="207" t="s">
        <v>425</v>
      </c>
      <c r="Q75" s="208" t="s">
        <v>425</v>
      </c>
      <c r="R75" s="209">
        <v>-15826.850000000002</v>
      </c>
      <c r="S75" s="213">
        <v>-737.33999999999992</v>
      </c>
      <c r="T75" s="212">
        <v>0.1066727634717653</v>
      </c>
      <c r="U75" s="207" t="s">
        <v>425</v>
      </c>
      <c r="V75" s="208" t="s">
        <v>425</v>
      </c>
      <c r="W75" s="212">
        <v>0.20726338297026808</v>
      </c>
      <c r="X75" s="301">
        <v>-38.598231319748358</v>
      </c>
      <c r="Y75" s="302">
        <v>0.21814471057620716</v>
      </c>
      <c r="Z75" s="208">
        <v>-3380.0498671381533</v>
      </c>
      <c r="AA75" s="163"/>
    </row>
    <row r="76" spans="2:27" ht="15" customHeight="1" x14ac:dyDescent="0.25">
      <c r="B76" s="155"/>
      <c r="C76" s="197">
        <v>3</v>
      </c>
      <c r="D76" s="211" t="s">
        <v>66</v>
      </c>
      <c r="E76" s="211" t="s">
        <v>474</v>
      </c>
      <c r="F76" s="199" t="s">
        <v>422</v>
      </c>
      <c r="G76" s="200" t="s">
        <v>426</v>
      </c>
      <c r="H76" s="201" t="s">
        <v>474</v>
      </c>
      <c r="I76" s="202" t="s">
        <v>475</v>
      </c>
      <c r="J76" s="202" t="s">
        <v>424</v>
      </c>
      <c r="K76" s="204">
        <v>13131</v>
      </c>
      <c r="L76" s="205">
        <v>0</v>
      </c>
      <c r="M76" s="209">
        <v>-14</v>
      </c>
      <c r="N76" s="213">
        <v>0</v>
      </c>
      <c r="O76" s="212">
        <v>0</v>
      </c>
      <c r="P76" s="207" t="s">
        <v>425</v>
      </c>
      <c r="Q76" s="208" t="s">
        <v>425</v>
      </c>
      <c r="R76" s="209">
        <v>-168.1</v>
      </c>
      <c r="S76" s="213">
        <v>0</v>
      </c>
      <c r="T76" s="212">
        <v>0</v>
      </c>
      <c r="U76" s="207" t="s">
        <v>425</v>
      </c>
      <c r="V76" s="208" t="s">
        <v>425</v>
      </c>
      <c r="W76" s="212">
        <v>0</v>
      </c>
      <c r="X76" s="301" t="s">
        <v>425</v>
      </c>
      <c r="Y76" s="302">
        <v>0</v>
      </c>
      <c r="Z76" s="208">
        <v>0</v>
      </c>
      <c r="AA76" s="163"/>
    </row>
    <row r="77" spans="2:27" ht="15" customHeight="1" x14ac:dyDescent="0.25">
      <c r="B77" s="155"/>
      <c r="C77" s="197">
        <v>3</v>
      </c>
      <c r="D77" s="211" t="s">
        <v>66</v>
      </c>
      <c r="E77" s="211" t="s">
        <v>474</v>
      </c>
      <c r="F77" s="199" t="s">
        <v>422</v>
      </c>
      <c r="G77" s="200" t="s">
        <v>426</v>
      </c>
      <c r="H77" s="201" t="s">
        <v>426</v>
      </c>
      <c r="I77" s="202" t="s">
        <v>476</v>
      </c>
      <c r="J77" s="202" t="s">
        <v>424</v>
      </c>
      <c r="K77" s="204">
        <v>13132</v>
      </c>
      <c r="L77" s="205">
        <v>0</v>
      </c>
      <c r="M77" s="209">
        <v>-20</v>
      </c>
      <c r="N77" s="213">
        <v>0</v>
      </c>
      <c r="O77" s="212">
        <v>0</v>
      </c>
      <c r="P77" s="207" t="s">
        <v>425</v>
      </c>
      <c r="Q77" s="208" t="s">
        <v>425</v>
      </c>
      <c r="R77" s="209">
        <v>-413.86000000000007</v>
      </c>
      <c r="S77" s="213">
        <v>0</v>
      </c>
      <c r="T77" s="212">
        <v>0</v>
      </c>
      <c r="U77" s="207" t="s">
        <v>425</v>
      </c>
      <c r="V77" s="208" t="s">
        <v>425</v>
      </c>
      <c r="W77" s="212">
        <v>0</v>
      </c>
      <c r="X77" s="301" t="s">
        <v>425</v>
      </c>
      <c r="Y77" s="302">
        <v>0</v>
      </c>
      <c r="Z77" s="208">
        <v>0</v>
      </c>
      <c r="AA77" s="163"/>
    </row>
    <row r="78" spans="2:27" ht="15" customHeight="1" x14ac:dyDescent="0.25">
      <c r="B78" s="155"/>
      <c r="C78" s="197">
        <v>2</v>
      </c>
      <c r="D78" s="211" t="s">
        <v>66</v>
      </c>
      <c r="E78" s="211" t="s">
        <v>426</v>
      </c>
      <c r="F78" s="199" t="s">
        <v>422</v>
      </c>
      <c r="G78" s="200" t="s">
        <v>426</v>
      </c>
      <c r="H78" s="201" t="s">
        <v>477</v>
      </c>
      <c r="I78" s="202" t="s">
        <v>426</v>
      </c>
      <c r="J78" s="202" t="s">
        <v>426</v>
      </c>
      <c r="K78" s="204" t="s">
        <v>426</v>
      </c>
      <c r="L78" s="205">
        <v>0</v>
      </c>
      <c r="M78" s="209">
        <v>-34</v>
      </c>
      <c r="N78" s="213">
        <v>0</v>
      </c>
      <c r="O78" s="212">
        <v>0</v>
      </c>
      <c r="P78" s="207" t="s">
        <v>425</v>
      </c>
      <c r="Q78" s="208" t="s">
        <v>425</v>
      </c>
      <c r="R78" s="209">
        <v>-581.96</v>
      </c>
      <c r="S78" s="213">
        <v>0</v>
      </c>
      <c r="T78" s="212">
        <v>0</v>
      </c>
      <c r="U78" s="207" t="s">
        <v>425</v>
      </c>
      <c r="V78" s="208" t="s">
        <v>425</v>
      </c>
      <c r="W78" s="212">
        <v>0</v>
      </c>
      <c r="X78" s="301" t="s">
        <v>425</v>
      </c>
      <c r="Y78" s="302">
        <v>0</v>
      </c>
      <c r="Z78" s="208">
        <v>0</v>
      </c>
      <c r="AA78" s="163"/>
    </row>
    <row r="79" spans="2:27" ht="15" customHeight="1" x14ac:dyDescent="0.25">
      <c r="B79" s="155"/>
      <c r="C79" s="197">
        <v>3</v>
      </c>
      <c r="D79" s="211" t="s">
        <v>66</v>
      </c>
      <c r="E79" s="211" t="s">
        <v>62</v>
      </c>
      <c r="F79" s="199" t="s">
        <v>422</v>
      </c>
      <c r="G79" s="200" t="s">
        <v>426</v>
      </c>
      <c r="H79" s="201" t="s">
        <v>62</v>
      </c>
      <c r="I79" s="202" t="s">
        <v>478</v>
      </c>
      <c r="J79" s="202" t="s">
        <v>439</v>
      </c>
      <c r="K79" s="204">
        <v>13051</v>
      </c>
      <c r="L79" s="205">
        <v>1199</v>
      </c>
      <c r="M79" s="209">
        <v>7347</v>
      </c>
      <c r="N79" s="213">
        <v>6767</v>
      </c>
      <c r="O79" s="212">
        <v>7193.1113992094852</v>
      </c>
      <c r="P79" s="207">
        <v>-5.9238815522350219E-2</v>
      </c>
      <c r="Q79" s="208">
        <v>-7.8943786579556252E-2</v>
      </c>
      <c r="R79" s="209">
        <v>65287.409999999996</v>
      </c>
      <c r="S79" s="213">
        <v>61384.04</v>
      </c>
      <c r="T79" s="212">
        <v>63919.914672092455</v>
      </c>
      <c r="U79" s="207">
        <v>-3.9672685501872529E-2</v>
      </c>
      <c r="V79" s="208">
        <v>-5.9787484294445026E-2</v>
      </c>
      <c r="W79" s="212">
        <v>14709.839262187088</v>
      </c>
      <c r="X79" s="301">
        <v>0.46003221920957066</v>
      </c>
      <c r="Y79" s="302">
        <v>130715.57192656944</v>
      </c>
      <c r="Z79" s="208">
        <v>0.46960005678958433</v>
      </c>
      <c r="AA79" s="163"/>
    </row>
    <row r="80" spans="2:27" ht="15" customHeight="1" x14ac:dyDescent="0.25">
      <c r="B80" s="155"/>
      <c r="C80" s="197">
        <v>2</v>
      </c>
      <c r="D80" s="211" t="s">
        <v>66</v>
      </c>
      <c r="E80" s="211" t="s">
        <v>426</v>
      </c>
      <c r="F80" s="199" t="s">
        <v>422</v>
      </c>
      <c r="G80" s="200" t="s">
        <v>426</v>
      </c>
      <c r="H80" s="201" t="s">
        <v>479</v>
      </c>
      <c r="I80" s="202" t="s">
        <v>426</v>
      </c>
      <c r="J80" s="202" t="s">
        <v>426</v>
      </c>
      <c r="K80" s="204" t="s">
        <v>426</v>
      </c>
      <c r="L80" s="205">
        <v>1199</v>
      </c>
      <c r="M80" s="209">
        <v>7347</v>
      </c>
      <c r="N80" s="213">
        <v>6767</v>
      </c>
      <c r="O80" s="212">
        <v>7193.1113992094852</v>
      </c>
      <c r="P80" s="207">
        <v>-5.9238815522350219E-2</v>
      </c>
      <c r="Q80" s="208">
        <v>-7.8943786579556252E-2</v>
      </c>
      <c r="R80" s="209">
        <v>65287.409999999996</v>
      </c>
      <c r="S80" s="213">
        <v>61384.04</v>
      </c>
      <c r="T80" s="212">
        <v>63919.914672092455</v>
      </c>
      <c r="U80" s="207">
        <v>-3.9672685501872529E-2</v>
      </c>
      <c r="V80" s="208">
        <v>-5.9787484294445026E-2</v>
      </c>
      <c r="W80" s="212">
        <v>14709.839262187088</v>
      </c>
      <c r="X80" s="301">
        <v>0.46003221920957066</v>
      </c>
      <c r="Y80" s="302">
        <v>130715.57192656944</v>
      </c>
      <c r="Z80" s="208">
        <v>0.46960005678958433</v>
      </c>
      <c r="AA80" s="163"/>
    </row>
    <row r="81" spans="2:27" ht="15" customHeight="1" x14ac:dyDescent="0.25">
      <c r="B81" s="155"/>
      <c r="C81" s="197">
        <v>3</v>
      </c>
      <c r="D81" s="211" t="s">
        <v>66</v>
      </c>
      <c r="E81" s="211" t="s">
        <v>64</v>
      </c>
      <c r="F81" s="199" t="s">
        <v>422</v>
      </c>
      <c r="G81" s="200" t="s">
        <v>426</v>
      </c>
      <c r="H81" s="201" t="s">
        <v>64</v>
      </c>
      <c r="I81" s="202" t="s">
        <v>480</v>
      </c>
      <c r="J81" s="202" t="s">
        <v>429</v>
      </c>
      <c r="K81" s="204">
        <v>13069</v>
      </c>
      <c r="L81" s="205">
        <v>629</v>
      </c>
      <c r="M81" s="209">
        <v>5539</v>
      </c>
      <c r="N81" s="213">
        <v>6844</v>
      </c>
      <c r="O81" s="212">
        <v>6379.4797294888585</v>
      </c>
      <c r="P81" s="207">
        <v>7.2814757661807006E-2</v>
      </c>
      <c r="Q81" s="208">
        <v>0.23560209424083767</v>
      </c>
      <c r="R81" s="209">
        <v>132688.47999999998</v>
      </c>
      <c r="S81" s="213">
        <v>169105.76</v>
      </c>
      <c r="T81" s="212">
        <v>155310.4322807595</v>
      </c>
      <c r="U81" s="207">
        <v>8.8824218158779278E-2</v>
      </c>
      <c r="V81" s="208">
        <v>0.27445698375623895</v>
      </c>
      <c r="W81" s="212">
        <v>13045.970816950634</v>
      </c>
      <c r="X81" s="301">
        <v>0.52460641649662354</v>
      </c>
      <c r="Y81" s="302">
        <v>317608.24597292335</v>
      </c>
      <c r="Z81" s="208">
        <v>0.53243504267964303</v>
      </c>
      <c r="AA81" s="163"/>
    </row>
    <row r="82" spans="2:27" ht="15" customHeight="1" x14ac:dyDescent="0.25">
      <c r="B82" s="155"/>
      <c r="C82" s="197">
        <v>2</v>
      </c>
      <c r="D82" s="211" t="s">
        <v>66</v>
      </c>
      <c r="E82" s="211" t="s">
        <v>426</v>
      </c>
      <c r="F82" s="199" t="s">
        <v>422</v>
      </c>
      <c r="G82" s="200" t="s">
        <v>426</v>
      </c>
      <c r="H82" s="201" t="s">
        <v>481</v>
      </c>
      <c r="I82" s="202" t="s">
        <v>426</v>
      </c>
      <c r="J82" s="202" t="s">
        <v>426</v>
      </c>
      <c r="K82" s="204" t="s">
        <v>426</v>
      </c>
      <c r="L82" s="205">
        <v>629</v>
      </c>
      <c r="M82" s="209">
        <v>5539</v>
      </c>
      <c r="N82" s="213">
        <v>6844</v>
      </c>
      <c r="O82" s="212">
        <v>6379.4797294888585</v>
      </c>
      <c r="P82" s="207">
        <v>7.2814757661807006E-2</v>
      </c>
      <c r="Q82" s="208">
        <v>0.23560209424083767</v>
      </c>
      <c r="R82" s="209">
        <v>132688.47999999998</v>
      </c>
      <c r="S82" s="213">
        <v>169105.76</v>
      </c>
      <c r="T82" s="212">
        <v>155310.4322807595</v>
      </c>
      <c r="U82" s="207">
        <v>8.8824218158779278E-2</v>
      </c>
      <c r="V82" s="208">
        <v>0.27445698375623895</v>
      </c>
      <c r="W82" s="212">
        <v>13045.970816950634</v>
      </c>
      <c r="X82" s="301">
        <v>0.52460641649662354</v>
      </c>
      <c r="Y82" s="302">
        <v>317608.24597292335</v>
      </c>
      <c r="Z82" s="208">
        <v>0.53243504267964303</v>
      </c>
      <c r="AA82" s="163"/>
    </row>
    <row r="83" spans="2:27" ht="15" customHeight="1" x14ac:dyDescent="0.25">
      <c r="B83" s="155"/>
      <c r="C83" s="197">
        <v>1</v>
      </c>
      <c r="D83" s="211" t="s">
        <v>66</v>
      </c>
      <c r="E83" s="211" t="s">
        <v>426</v>
      </c>
      <c r="F83" s="199" t="s">
        <v>615</v>
      </c>
      <c r="G83" s="200" t="s">
        <v>482</v>
      </c>
      <c r="H83" s="201" t="s">
        <v>426</v>
      </c>
      <c r="I83" s="202" t="s">
        <v>426</v>
      </c>
      <c r="J83" s="202" t="s">
        <v>426</v>
      </c>
      <c r="K83" s="204" t="s">
        <v>426</v>
      </c>
      <c r="L83" s="205">
        <v>90388</v>
      </c>
      <c r="M83" s="209">
        <v>381426</v>
      </c>
      <c r="N83" s="213">
        <v>476934</v>
      </c>
      <c r="O83" s="212">
        <v>408321.70776518964</v>
      </c>
      <c r="P83" s="207">
        <v>0.16803488751635687</v>
      </c>
      <c r="Q83" s="208">
        <v>0.2503971936889462</v>
      </c>
      <c r="R83" s="209">
        <v>2638644.0099999993</v>
      </c>
      <c r="S83" s="213">
        <v>3392556.5399999991</v>
      </c>
      <c r="T83" s="212">
        <v>3137603.3888738099</v>
      </c>
      <c r="U83" s="207">
        <v>8.125729084506772E-2</v>
      </c>
      <c r="V83" s="208">
        <v>0.28571968296701011</v>
      </c>
      <c r="W83" s="212">
        <v>841927.96679997852</v>
      </c>
      <c r="X83" s="301">
        <v>0.56647839103473785</v>
      </c>
      <c r="Y83" s="302">
        <v>6492456.2012357814</v>
      </c>
      <c r="Z83" s="208">
        <v>0.52253822511028358</v>
      </c>
      <c r="AA83" s="163"/>
    </row>
    <row r="84" spans="2:27" ht="15" customHeight="1" x14ac:dyDescent="0.25">
      <c r="B84" s="155"/>
      <c r="C84" s="197">
        <v>3</v>
      </c>
      <c r="D84" s="211" t="s">
        <v>66</v>
      </c>
      <c r="E84" s="211" t="s">
        <v>18</v>
      </c>
      <c r="F84" s="199" t="s">
        <v>403</v>
      </c>
      <c r="G84" s="200" t="s">
        <v>426</v>
      </c>
      <c r="H84" s="201" t="s">
        <v>18</v>
      </c>
      <c r="I84" s="202" t="s">
        <v>20</v>
      </c>
      <c r="J84" s="202" t="s">
        <v>429</v>
      </c>
      <c r="K84" s="204">
        <v>13141</v>
      </c>
      <c r="L84" s="205">
        <v>250</v>
      </c>
      <c r="M84" s="209">
        <v>9437</v>
      </c>
      <c r="N84" s="213">
        <v>8546</v>
      </c>
      <c r="O84" s="212">
        <v>10329.904868770764</v>
      </c>
      <c r="P84" s="207">
        <v>-0.1726932524000141</v>
      </c>
      <c r="Q84" s="208">
        <v>-9.4415598177386872E-2</v>
      </c>
      <c r="R84" s="209">
        <v>105955.56000000001</v>
      </c>
      <c r="S84" s="213">
        <v>90694.61</v>
      </c>
      <c r="T84" s="212">
        <v>115980.80482328418</v>
      </c>
      <c r="U84" s="207">
        <v>-0.21802051522070276</v>
      </c>
      <c r="V84" s="208">
        <v>-0.14403161098860706</v>
      </c>
      <c r="W84" s="212">
        <v>21124.549833887042</v>
      </c>
      <c r="X84" s="301">
        <v>0.40455299957639312</v>
      </c>
      <c r="Y84" s="302">
        <v>237179.55996581633</v>
      </c>
      <c r="Z84" s="208">
        <v>0.38238796805707637</v>
      </c>
      <c r="AA84" s="163"/>
    </row>
    <row r="85" spans="2:27" ht="15" customHeight="1" x14ac:dyDescent="0.25">
      <c r="B85" s="155"/>
      <c r="C85" s="197">
        <v>3</v>
      </c>
      <c r="D85" s="211" t="s">
        <v>66</v>
      </c>
      <c r="E85" s="211" t="s">
        <v>18</v>
      </c>
      <c r="F85" s="199" t="s">
        <v>403</v>
      </c>
      <c r="G85" s="200" t="s">
        <v>426</v>
      </c>
      <c r="H85" s="201" t="s">
        <v>426</v>
      </c>
      <c r="I85" s="202" t="s">
        <v>19</v>
      </c>
      <c r="J85" s="202" t="s">
        <v>429</v>
      </c>
      <c r="K85" s="204">
        <v>13142</v>
      </c>
      <c r="L85" s="205">
        <v>1750</v>
      </c>
      <c r="M85" s="209">
        <v>5050</v>
      </c>
      <c r="N85" s="213">
        <v>5905</v>
      </c>
      <c r="O85" s="212">
        <v>5203.9860063799806</v>
      </c>
      <c r="P85" s="207">
        <v>0.13470712503081117</v>
      </c>
      <c r="Q85" s="208">
        <v>0.16930693069306924</v>
      </c>
      <c r="R85" s="209">
        <v>57793.03</v>
      </c>
      <c r="S85" s="213">
        <v>64167.65</v>
      </c>
      <c r="T85" s="212">
        <v>59555.271165603641</v>
      </c>
      <c r="U85" s="207">
        <v>7.7447029358171271E-2</v>
      </c>
      <c r="V85" s="208">
        <v>0.11030084423675324</v>
      </c>
      <c r="W85" s="212">
        <v>10642.098172556198</v>
      </c>
      <c r="X85" s="301">
        <v>0.55487178414006666</v>
      </c>
      <c r="Y85" s="302">
        <v>121789.92058405651</v>
      </c>
      <c r="Z85" s="208">
        <v>0.52687159735614586</v>
      </c>
      <c r="AA85" s="163"/>
    </row>
    <row r="86" spans="2:27" ht="15" customHeight="1" x14ac:dyDescent="0.25">
      <c r="B86" s="155"/>
      <c r="C86" s="197">
        <v>3</v>
      </c>
      <c r="D86" s="211" t="s">
        <v>66</v>
      </c>
      <c r="E86" s="211" t="s">
        <v>18</v>
      </c>
      <c r="F86" s="199" t="s">
        <v>403</v>
      </c>
      <c r="G86" s="200" t="s">
        <v>426</v>
      </c>
      <c r="H86" s="201" t="s">
        <v>426</v>
      </c>
      <c r="I86" s="202" t="s">
        <v>483</v>
      </c>
      <c r="J86" s="202" t="s">
        <v>429</v>
      </c>
      <c r="K86" s="204">
        <v>13117</v>
      </c>
      <c r="L86" s="205">
        <v>0</v>
      </c>
      <c r="M86" s="209">
        <v>1476</v>
      </c>
      <c r="N86" s="213">
        <v>-503</v>
      </c>
      <c r="O86" s="212">
        <v>0</v>
      </c>
      <c r="P86" s="207" t="s">
        <v>425</v>
      </c>
      <c r="Q86" s="208" t="s">
        <v>425</v>
      </c>
      <c r="R86" s="209">
        <v>4653.3900000000003</v>
      </c>
      <c r="S86" s="213">
        <v>-2740.91</v>
      </c>
      <c r="T86" s="212">
        <v>0</v>
      </c>
      <c r="U86" s="207" t="s">
        <v>425</v>
      </c>
      <c r="V86" s="208" t="s">
        <v>425</v>
      </c>
      <c r="W86" s="212">
        <v>0</v>
      </c>
      <c r="X86" s="301" t="s">
        <v>425</v>
      </c>
      <c r="Y86" s="302">
        <v>0</v>
      </c>
      <c r="Z86" s="208">
        <v>0</v>
      </c>
      <c r="AA86" s="163"/>
    </row>
    <row r="87" spans="2:27" ht="15" customHeight="1" x14ac:dyDescent="0.25">
      <c r="B87" s="155"/>
      <c r="C87" s="197">
        <v>3</v>
      </c>
      <c r="D87" s="211" t="s">
        <v>66</v>
      </c>
      <c r="E87" s="211" t="s">
        <v>18</v>
      </c>
      <c r="F87" s="199" t="s">
        <v>403</v>
      </c>
      <c r="G87" s="200" t="s">
        <v>426</v>
      </c>
      <c r="H87" s="201" t="s">
        <v>426</v>
      </c>
      <c r="I87" s="202" t="s">
        <v>484</v>
      </c>
      <c r="J87" s="202" t="s">
        <v>429</v>
      </c>
      <c r="K87" s="204">
        <v>13115</v>
      </c>
      <c r="L87" s="205">
        <v>0</v>
      </c>
      <c r="M87" s="209">
        <v>-112</v>
      </c>
      <c r="N87" s="213">
        <v>-289</v>
      </c>
      <c r="O87" s="212">
        <v>0</v>
      </c>
      <c r="P87" s="207" t="s">
        <v>425</v>
      </c>
      <c r="Q87" s="208" t="s">
        <v>425</v>
      </c>
      <c r="R87" s="209">
        <v>-4635.79</v>
      </c>
      <c r="S87" s="213">
        <v>-1822.5700000000002</v>
      </c>
      <c r="T87" s="212">
        <v>0</v>
      </c>
      <c r="U87" s="207" t="s">
        <v>425</v>
      </c>
      <c r="V87" s="208" t="s">
        <v>425</v>
      </c>
      <c r="W87" s="212">
        <v>0</v>
      </c>
      <c r="X87" s="301" t="s">
        <v>425</v>
      </c>
      <c r="Y87" s="302">
        <v>0</v>
      </c>
      <c r="Z87" s="208">
        <v>0</v>
      </c>
      <c r="AA87" s="163"/>
    </row>
    <row r="88" spans="2:27" ht="15" customHeight="1" x14ac:dyDescent="0.25">
      <c r="B88" s="155"/>
      <c r="C88" s="197">
        <v>2</v>
      </c>
      <c r="D88" s="211" t="s">
        <v>66</v>
      </c>
      <c r="E88" s="211" t="s">
        <v>426</v>
      </c>
      <c r="F88" s="199" t="s">
        <v>403</v>
      </c>
      <c r="G88" s="200" t="s">
        <v>426</v>
      </c>
      <c r="H88" s="201" t="s">
        <v>485</v>
      </c>
      <c r="I88" s="202" t="s">
        <v>426</v>
      </c>
      <c r="J88" s="202" t="s">
        <v>426</v>
      </c>
      <c r="K88" s="204" t="s">
        <v>426</v>
      </c>
      <c r="L88" s="205">
        <v>2000</v>
      </c>
      <c r="M88" s="209">
        <v>15851</v>
      </c>
      <c r="N88" s="213">
        <v>13659</v>
      </c>
      <c r="O88" s="212">
        <v>15533.890875150744</v>
      </c>
      <c r="P88" s="207">
        <v>-0.12069679710123171</v>
      </c>
      <c r="Q88" s="208">
        <v>-0.13828780518579264</v>
      </c>
      <c r="R88" s="209">
        <v>163766.19</v>
      </c>
      <c r="S88" s="213">
        <v>150298.78</v>
      </c>
      <c r="T88" s="212">
        <v>175536.07598888781</v>
      </c>
      <c r="U88" s="207">
        <v>-0.14377270225913807</v>
      </c>
      <c r="V88" s="208">
        <v>-8.2235594538775048E-2</v>
      </c>
      <c r="W88" s="212">
        <v>31766.64800644324</v>
      </c>
      <c r="X88" s="301">
        <v>0.42997926621749771</v>
      </c>
      <c r="Y88" s="302">
        <v>358969.48054987285</v>
      </c>
      <c r="Z88" s="208">
        <v>0.4186951485952814</v>
      </c>
      <c r="AA88" s="163"/>
    </row>
    <row r="89" spans="2:27" ht="15" customHeight="1" x14ac:dyDescent="0.25">
      <c r="B89" s="155"/>
      <c r="C89" s="197">
        <v>3</v>
      </c>
      <c r="D89" s="211" t="s">
        <v>66</v>
      </c>
      <c r="E89" s="211" t="s">
        <v>56</v>
      </c>
      <c r="F89" s="199" t="s">
        <v>403</v>
      </c>
      <c r="G89" s="200" t="s">
        <v>426</v>
      </c>
      <c r="H89" s="201" t="s">
        <v>56</v>
      </c>
      <c r="I89" s="202" t="s">
        <v>486</v>
      </c>
      <c r="J89" s="202" t="s">
        <v>429</v>
      </c>
      <c r="K89" s="204">
        <v>13112</v>
      </c>
      <c r="L89" s="205">
        <v>2324</v>
      </c>
      <c r="M89" s="209">
        <v>11904</v>
      </c>
      <c r="N89" s="213">
        <v>17867</v>
      </c>
      <c r="O89" s="212">
        <v>16177.941054264118</v>
      </c>
      <c r="P89" s="207">
        <v>0.10440506242855219</v>
      </c>
      <c r="Q89" s="208">
        <v>0.50092405913978499</v>
      </c>
      <c r="R89" s="209">
        <v>146555.69</v>
      </c>
      <c r="S89" s="213">
        <v>233547.66999999998</v>
      </c>
      <c r="T89" s="212">
        <v>206592.30726295279</v>
      </c>
      <c r="U89" s="207">
        <v>0.13047612030751043</v>
      </c>
      <c r="V89" s="208">
        <v>0.593576271245422</v>
      </c>
      <c r="W89" s="212">
        <v>33083.724037349937</v>
      </c>
      <c r="X89" s="301">
        <v>0.54005407552756191</v>
      </c>
      <c r="Y89" s="302">
        <v>422479.15595695865</v>
      </c>
      <c r="Z89" s="208">
        <v>0.55280282283037263</v>
      </c>
      <c r="AA89" s="163"/>
    </row>
    <row r="90" spans="2:27" ht="15" customHeight="1" x14ac:dyDescent="0.25">
      <c r="B90" s="155"/>
      <c r="C90" s="197">
        <v>2</v>
      </c>
      <c r="D90" s="211" t="s">
        <v>66</v>
      </c>
      <c r="E90" s="211" t="s">
        <v>426</v>
      </c>
      <c r="F90" s="199" t="s">
        <v>403</v>
      </c>
      <c r="G90" s="200" t="s">
        <v>426</v>
      </c>
      <c r="H90" s="201" t="s">
        <v>487</v>
      </c>
      <c r="I90" s="202" t="s">
        <v>426</v>
      </c>
      <c r="J90" s="202" t="s">
        <v>426</v>
      </c>
      <c r="K90" s="204" t="s">
        <v>426</v>
      </c>
      <c r="L90" s="205">
        <v>2324</v>
      </c>
      <c r="M90" s="209">
        <v>11904</v>
      </c>
      <c r="N90" s="213">
        <v>17867</v>
      </c>
      <c r="O90" s="212">
        <v>16177.941054264118</v>
      </c>
      <c r="P90" s="207">
        <v>0.10440506242855219</v>
      </c>
      <c r="Q90" s="208">
        <v>0.50092405913978499</v>
      </c>
      <c r="R90" s="209">
        <v>146555.69</v>
      </c>
      <c r="S90" s="213">
        <v>233547.66999999998</v>
      </c>
      <c r="T90" s="212">
        <v>206592.30726295279</v>
      </c>
      <c r="U90" s="207">
        <v>0.13047612030751043</v>
      </c>
      <c r="V90" s="208">
        <v>0.593576271245422</v>
      </c>
      <c r="W90" s="212">
        <v>33083.724037349937</v>
      </c>
      <c r="X90" s="301">
        <v>0.54005407552756191</v>
      </c>
      <c r="Y90" s="302">
        <v>422479.15595695865</v>
      </c>
      <c r="Z90" s="208">
        <v>0.55280282283037263</v>
      </c>
      <c r="AA90" s="163"/>
    </row>
    <row r="91" spans="2:27" ht="15" customHeight="1" x14ac:dyDescent="0.25">
      <c r="B91" s="155"/>
      <c r="C91" s="197">
        <v>3</v>
      </c>
      <c r="D91" s="211" t="s">
        <v>66</v>
      </c>
      <c r="E91" s="211" t="s">
        <v>38</v>
      </c>
      <c r="F91" s="199" t="s">
        <v>403</v>
      </c>
      <c r="G91" s="200" t="s">
        <v>426</v>
      </c>
      <c r="H91" s="201" t="s">
        <v>38</v>
      </c>
      <c r="I91" s="202" t="s">
        <v>488</v>
      </c>
      <c r="J91" s="202" t="s">
        <v>429</v>
      </c>
      <c r="K91" s="204">
        <v>13110</v>
      </c>
      <c r="L91" s="205">
        <v>6700</v>
      </c>
      <c r="M91" s="209">
        <v>45598</v>
      </c>
      <c r="N91" s="213">
        <v>38733</v>
      </c>
      <c r="O91" s="212">
        <v>58956.640429814805</v>
      </c>
      <c r="P91" s="207">
        <v>-0.34302565889740833</v>
      </c>
      <c r="Q91" s="208">
        <v>-0.15055484889688142</v>
      </c>
      <c r="R91" s="209">
        <v>148546.43</v>
      </c>
      <c r="S91" s="213">
        <v>135900.74</v>
      </c>
      <c r="T91" s="212">
        <v>197251.17371551396</v>
      </c>
      <c r="U91" s="207">
        <v>-0.31102696404735619</v>
      </c>
      <c r="V91" s="208">
        <v>-8.5129545018348796E-2</v>
      </c>
      <c r="W91" s="212">
        <v>120565.72685033701</v>
      </c>
      <c r="X91" s="301">
        <v>0.32126045279916737</v>
      </c>
      <c r="Y91" s="302">
        <v>403376.63336505921</v>
      </c>
      <c r="Z91" s="208">
        <v>0.33690781458084285</v>
      </c>
      <c r="AA91" s="163"/>
    </row>
    <row r="92" spans="2:27" ht="15" customHeight="1" x14ac:dyDescent="0.25">
      <c r="B92" s="155"/>
      <c r="C92" s="197">
        <v>2</v>
      </c>
      <c r="D92" s="211" t="s">
        <v>66</v>
      </c>
      <c r="E92" s="211" t="s">
        <v>426</v>
      </c>
      <c r="F92" s="199" t="s">
        <v>403</v>
      </c>
      <c r="G92" s="200" t="s">
        <v>426</v>
      </c>
      <c r="H92" s="201" t="s">
        <v>489</v>
      </c>
      <c r="I92" s="202" t="s">
        <v>426</v>
      </c>
      <c r="J92" s="202" t="s">
        <v>426</v>
      </c>
      <c r="K92" s="204" t="s">
        <v>426</v>
      </c>
      <c r="L92" s="205">
        <v>6700</v>
      </c>
      <c r="M92" s="209">
        <v>45598</v>
      </c>
      <c r="N92" s="213">
        <v>38733</v>
      </c>
      <c r="O92" s="212">
        <v>58956.640429814805</v>
      </c>
      <c r="P92" s="207">
        <v>-0.34302565889740833</v>
      </c>
      <c r="Q92" s="208">
        <v>-0.15055484889688142</v>
      </c>
      <c r="R92" s="209">
        <v>148546.43</v>
      </c>
      <c r="S92" s="213">
        <v>135900.74</v>
      </c>
      <c r="T92" s="212">
        <v>197251.17371551396</v>
      </c>
      <c r="U92" s="207">
        <v>-0.31102696404735619</v>
      </c>
      <c r="V92" s="208">
        <v>-8.5129545018348796E-2</v>
      </c>
      <c r="W92" s="212">
        <v>120565.72685033701</v>
      </c>
      <c r="X92" s="301">
        <v>0.32126045279916737</v>
      </c>
      <c r="Y92" s="302">
        <v>403376.63336505921</v>
      </c>
      <c r="Z92" s="208">
        <v>0.33690781458084285</v>
      </c>
      <c r="AA92" s="163"/>
    </row>
    <row r="93" spans="2:27" ht="15" customHeight="1" x14ac:dyDescent="0.25">
      <c r="B93" s="155"/>
      <c r="C93" s="197">
        <v>1</v>
      </c>
      <c r="D93" s="211" t="s">
        <v>66</v>
      </c>
      <c r="E93" s="211" t="s">
        <v>426</v>
      </c>
      <c r="F93" s="199" t="s">
        <v>616</v>
      </c>
      <c r="G93" s="200" t="s">
        <v>490</v>
      </c>
      <c r="H93" s="201" t="s">
        <v>426</v>
      </c>
      <c r="I93" s="202" t="s">
        <v>426</v>
      </c>
      <c r="J93" s="202" t="s">
        <v>426</v>
      </c>
      <c r="K93" s="204" t="s">
        <v>426</v>
      </c>
      <c r="L93" s="205">
        <v>11024</v>
      </c>
      <c r="M93" s="209">
        <v>73353</v>
      </c>
      <c r="N93" s="213">
        <v>70259</v>
      </c>
      <c r="O93" s="212">
        <v>90668.472359229665</v>
      </c>
      <c r="P93" s="207">
        <v>-0.22509999152039384</v>
      </c>
      <c r="Q93" s="208">
        <v>-4.2179597289817683E-2</v>
      </c>
      <c r="R93" s="209">
        <v>458868.31</v>
      </c>
      <c r="S93" s="213">
        <v>519747.18999999994</v>
      </c>
      <c r="T93" s="212">
        <v>579379.55696735461</v>
      </c>
      <c r="U93" s="207">
        <v>-0.10292452719507095</v>
      </c>
      <c r="V93" s="208">
        <v>0.13267178986493966</v>
      </c>
      <c r="W93" s="212">
        <v>185416.09889413021</v>
      </c>
      <c r="X93" s="301">
        <v>0.37892610414652739</v>
      </c>
      <c r="Y93" s="302">
        <v>1184825.2698718908</v>
      </c>
      <c r="Z93" s="208">
        <v>0.43866990620161028</v>
      </c>
      <c r="AA93" s="163"/>
    </row>
    <row r="94" spans="2:27" ht="15" customHeight="1" x14ac:dyDescent="0.25">
      <c r="B94" s="155"/>
      <c r="C94" s="197">
        <v>0</v>
      </c>
      <c r="D94" s="211" t="s">
        <v>66</v>
      </c>
      <c r="E94" s="211" t="s">
        <v>426</v>
      </c>
      <c r="F94" s="199" t="s">
        <v>617</v>
      </c>
      <c r="G94" s="200" t="s">
        <v>617</v>
      </c>
      <c r="H94" s="201" t="s">
        <v>426</v>
      </c>
      <c r="I94" s="202" t="s">
        <v>426</v>
      </c>
      <c r="J94" s="202" t="s">
        <v>426</v>
      </c>
      <c r="K94" s="204" t="s">
        <v>426</v>
      </c>
      <c r="L94" s="205">
        <v>101412</v>
      </c>
      <c r="M94" s="209">
        <v>454779</v>
      </c>
      <c r="N94" s="213">
        <v>547193</v>
      </c>
      <c r="O94" s="212">
        <v>498990.18012441933</v>
      </c>
      <c r="P94" s="207">
        <v>9.660073844251138E-2</v>
      </c>
      <c r="Q94" s="208">
        <v>0.20320639255550499</v>
      </c>
      <c r="R94" s="209">
        <v>3097512.3199999994</v>
      </c>
      <c r="S94" s="213">
        <v>3912303.7299999995</v>
      </c>
      <c r="T94" s="212">
        <v>3716982.9458411648</v>
      </c>
      <c r="U94" s="207">
        <v>5.2548205629346256E-2</v>
      </c>
      <c r="V94" s="208">
        <v>0.26304702800988378</v>
      </c>
      <c r="W94" s="212">
        <v>1027344.0656941087</v>
      </c>
      <c r="X94" s="301">
        <v>0.53262876408430682</v>
      </c>
      <c r="Y94" s="302">
        <v>7677281.471107672</v>
      </c>
      <c r="Z94" s="208">
        <v>0.50959493210238327</v>
      </c>
      <c r="AA94" s="163"/>
    </row>
    <row r="95" spans="2:27" ht="15" customHeight="1" x14ac:dyDescent="0.25">
      <c r="B95" s="155"/>
      <c r="C95" s="197">
        <v>3</v>
      </c>
      <c r="D95" s="211" t="s">
        <v>111</v>
      </c>
      <c r="E95" s="211" t="s">
        <v>491</v>
      </c>
      <c r="F95" s="199" t="s">
        <v>422</v>
      </c>
      <c r="G95" s="200" t="s">
        <v>111</v>
      </c>
      <c r="H95" s="201" t="s">
        <v>491</v>
      </c>
      <c r="I95" s="202" t="s">
        <v>492</v>
      </c>
      <c r="J95" s="202" t="s">
        <v>424</v>
      </c>
      <c r="K95" s="204">
        <v>13035</v>
      </c>
      <c r="L95" s="205">
        <v>0</v>
      </c>
      <c r="M95" s="209">
        <v>0</v>
      </c>
      <c r="N95" s="213">
        <v>21442</v>
      </c>
      <c r="O95" s="212">
        <v>16018.4251</v>
      </c>
      <c r="P95" s="207">
        <v>0.33858352903869426</v>
      </c>
      <c r="Q95" s="208" t="s">
        <v>425</v>
      </c>
      <c r="R95" s="209">
        <v>-303.75</v>
      </c>
      <c r="S95" s="213">
        <v>118778.96</v>
      </c>
      <c r="T95" s="212">
        <v>83110.018146740142</v>
      </c>
      <c r="U95" s="207">
        <v>0.42917740422438988</v>
      </c>
      <c r="V95" s="208" t="s">
        <v>425</v>
      </c>
      <c r="W95" s="212">
        <v>49333.391900878072</v>
      </c>
      <c r="X95" s="301">
        <v>0.43463461914562496</v>
      </c>
      <c r="Y95" s="302">
        <v>255961.43631637172</v>
      </c>
      <c r="Z95" s="208">
        <v>0.46405021674119551</v>
      </c>
      <c r="AA95" s="163"/>
    </row>
    <row r="96" spans="2:27" ht="15" customHeight="1" x14ac:dyDescent="0.25">
      <c r="B96" s="155"/>
      <c r="C96" s="197">
        <v>2</v>
      </c>
      <c r="D96" s="211" t="s">
        <v>111</v>
      </c>
      <c r="E96" s="211" t="s">
        <v>426</v>
      </c>
      <c r="F96" s="199" t="s">
        <v>422</v>
      </c>
      <c r="G96" s="200" t="s">
        <v>426</v>
      </c>
      <c r="H96" s="201" t="s">
        <v>493</v>
      </c>
      <c r="I96" s="202" t="s">
        <v>426</v>
      </c>
      <c r="J96" s="202" t="s">
        <v>426</v>
      </c>
      <c r="K96" s="204" t="s">
        <v>426</v>
      </c>
      <c r="L96" s="205">
        <v>0</v>
      </c>
      <c r="M96" s="209">
        <v>0</v>
      </c>
      <c r="N96" s="213">
        <v>21442</v>
      </c>
      <c r="O96" s="212">
        <v>16018.4251</v>
      </c>
      <c r="P96" s="207">
        <v>0.33858352903869426</v>
      </c>
      <c r="Q96" s="208" t="s">
        <v>425</v>
      </c>
      <c r="R96" s="209">
        <v>-303.75</v>
      </c>
      <c r="S96" s="213">
        <v>118778.96</v>
      </c>
      <c r="T96" s="212">
        <v>83110.018146740142</v>
      </c>
      <c r="U96" s="207">
        <v>0.42917740422438988</v>
      </c>
      <c r="V96" s="208" t="s">
        <v>425</v>
      </c>
      <c r="W96" s="212">
        <v>49333.391900878072</v>
      </c>
      <c r="X96" s="301">
        <v>0.43463461914562496</v>
      </c>
      <c r="Y96" s="302">
        <v>255961.43631637172</v>
      </c>
      <c r="Z96" s="208">
        <v>0.46405021674119551</v>
      </c>
      <c r="AA96" s="163"/>
    </row>
    <row r="97" spans="2:27" ht="15" customHeight="1" x14ac:dyDescent="0.25">
      <c r="B97" s="155"/>
      <c r="C97" s="197">
        <v>3</v>
      </c>
      <c r="D97" s="211" t="s">
        <v>111</v>
      </c>
      <c r="E97" s="211" t="s">
        <v>74</v>
      </c>
      <c r="F97" s="199" t="s">
        <v>422</v>
      </c>
      <c r="G97" s="200" t="s">
        <v>426</v>
      </c>
      <c r="H97" s="201" t="s">
        <v>74</v>
      </c>
      <c r="I97" s="202" t="s">
        <v>78</v>
      </c>
      <c r="J97" s="202" t="s">
        <v>424</v>
      </c>
      <c r="K97" s="204">
        <v>13143</v>
      </c>
      <c r="L97" s="205">
        <v>0</v>
      </c>
      <c r="M97" s="209">
        <v>0</v>
      </c>
      <c r="N97" s="213">
        <v>72008</v>
      </c>
      <c r="O97" s="212">
        <v>83394.774784739435</v>
      </c>
      <c r="P97" s="207">
        <v>-0.13654062636575548</v>
      </c>
      <c r="Q97" s="208" t="s">
        <v>425</v>
      </c>
      <c r="R97" s="209">
        <v>0</v>
      </c>
      <c r="S97" s="213">
        <v>576326.14</v>
      </c>
      <c r="T97" s="212">
        <v>772235.61450668727</v>
      </c>
      <c r="U97" s="207">
        <v>-0.25369132273423622</v>
      </c>
      <c r="V97" s="208" t="s">
        <v>425</v>
      </c>
      <c r="W97" s="212">
        <v>170541.46172748349</v>
      </c>
      <c r="X97" s="301">
        <v>0.42223163370714561</v>
      </c>
      <c r="Y97" s="302">
        <v>1579213.9355964973</v>
      </c>
      <c r="Z97" s="208">
        <v>0.3649449431829585</v>
      </c>
      <c r="AA97" s="163"/>
    </row>
    <row r="98" spans="2:27" ht="15" customHeight="1" x14ac:dyDescent="0.25">
      <c r="B98" s="155"/>
      <c r="C98" s="197">
        <v>3</v>
      </c>
      <c r="D98" s="211" t="s">
        <v>111</v>
      </c>
      <c r="E98" s="211" t="s">
        <v>74</v>
      </c>
      <c r="F98" s="199" t="s">
        <v>422</v>
      </c>
      <c r="G98" s="200" t="s">
        <v>426</v>
      </c>
      <c r="H98" s="201" t="s">
        <v>426</v>
      </c>
      <c r="I98" s="202" t="s">
        <v>494</v>
      </c>
      <c r="J98" s="202" t="s">
        <v>424</v>
      </c>
      <c r="K98" s="204">
        <v>13144</v>
      </c>
      <c r="L98" s="205">
        <v>0</v>
      </c>
      <c r="M98" s="209">
        <v>0</v>
      </c>
      <c r="N98" s="213">
        <v>14575</v>
      </c>
      <c r="O98" s="212">
        <v>11518.277323122235</v>
      </c>
      <c r="P98" s="207">
        <v>0.26538019454884831</v>
      </c>
      <c r="Q98" s="208" t="s">
        <v>425</v>
      </c>
      <c r="R98" s="209">
        <v>0</v>
      </c>
      <c r="S98" s="213">
        <v>198597.34000000003</v>
      </c>
      <c r="T98" s="212">
        <v>171737.51488775254</v>
      </c>
      <c r="U98" s="207">
        <v>0.15640045292260729</v>
      </c>
      <c r="V98" s="208" t="s">
        <v>425</v>
      </c>
      <c r="W98" s="212">
        <v>23554.75935198821</v>
      </c>
      <c r="X98" s="301">
        <v>0.61877091513438676</v>
      </c>
      <c r="Y98" s="302">
        <v>351201.46193814423</v>
      </c>
      <c r="Z98" s="208">
        <v>0.56547982147915488</v>
      </c>
      <c r="AA98" s="163"/>
    </row>
    <row r="99" spans="2:27" ht="15" customHeight="1" x14ac:dyDescent="0.25">
      <c r="B99" s="155"/>
      <c r="C99" s="197">
        <v>3</v>
      </c>
      <c r="D99" s="211" t="s">
        <v>111</v>
      </c>
      <c r="E99" s="211" t="s">
        <v>74</v>
      </c>
      <c r="F99" s="199" t="s">
        <v>422</v>
      </c>
      <c r="G99" s="200" t="s">
        <v>426</v>
      </c>
      <c r="H99" s="201" t="s">
        <v>426</v>
      </c>
      <c r="I99" s="202" t="s">
        <v>495</v>
      </c>
      <c r="J99" s="202" t="s">
        <v>429</v>
      </c>
      <c r="K99" s="204">
        <v>13019</v>
      </c>
      <c r="L99" s="205">
        <v>9841</v>
      </c>
      <c r="M99" s="209">
        <v>56722</v>
      </c>
      <c r="N99" s="213">
        <v>-190</v>
      </c>
      <c r="O99" s="212">
        <v>0</v>
      </c>
      <c r="P99" s="207" t="s">
        <v>425</v>
      </c>
      <c r="Q99" s="208" t="s">
        <v>425</v>
      </c>
      <c r="R99" s="209">
        <v>446415.73999999993</v>
      </c>
      <c r="S99" s="213">
        <v>-4126.79</v>
      </c>
      <c r="T99" s="212">
        <v>0</v>
      </c>
      <c r="U99" s="207" t="s">
        <v>425</v>
      </c>
      <c r="V99" s="208" t="s">
        <v>425</v>
      </c>
      <c r="W99" s="212">
        <v>0</v>
      </c>
      <c r="X99" s="301" t="s">
        <v>425</v>
      </c>
      <c r="Y99" s="302">
        <v>0</v>
      </c>
      <c r="Z99" s="208">
        <v>0</v>
      </c>
      <c r="AA99" s="163"/>
    </row>
    <row r="100" spans="2:27" ht="15" customHeight="1" x14ac:dyDescent="0.25">
      <c r="B100" s="155"/>
      <c r="C100" s="197">
        <v>3</v>
      </c>
      <c r="D100" s="211" t="s">
        <v>111</v>
      </c>
      <c r="E100" s="211" t="s">
        <v>74</v>
      </c>
      <c r="F100" s="199" t="s">
        <v>422</v>
      </c>
      <c r="G100" s="200" t="s">
        <v>426</v>
      </c>
      <c r="H100" s="201" t="s">
        <v>426</v>
      </c>
      <c r="I100" s="202" t="s">
        <v>496</v>
      </c>
      <c r="J100" s="202" t="s">
        <v>429</v>
      </c>
      <c r="K100" s="204">
        <v>13020</v>
      </c>
      <c r="L100" s="205">
        <v>1150</v>
      </c>
      <c r="M100" s="209">
        <v>16178</v>
      </c>
      <c r="N100" s="213">
        <v>-116</v>
      </c>
      <c r="O100" s="212">
        <v>0</v>
      </c>
      <c r="P100" s="207" t="s">
        <v>425</v>
      </c>
      <c r="Q100" s="208" t="s">
        <v>425</v>
      </c>
      <c r="R100" s="209">
        <v>236312.50999999998</v>
      </c>
      <c r="S100" s="213">
        <v>-3515.38</v>
      </c>
      <c r="T100" s="212">
        <v>0</v>
      </c>
      <c r="U100" s="207" t="s">
        <v>425</v>
      </c>
      <c r="V100" s="208" t="s">
        <v>425</v>
      </c>
      <c r="W100" s="212">
        <v>0</v>
      </c>
      <c r="X100" s="301" t="s">
        <v>425</v>
      </c>
      <c r="Y100" s="302">
        <v>0</v>
      </c>
      <c r="Z100" s="208">
        <v>0</v>
      </c>
      <c r="AA100" s="163"/>
    </row>
    <row r="101" spans="2:27" ht="15" customHeight="1" x14ac:dyDescent="0.25">
      <c r="B101" s="155"/>
      <c r="C101" s="197">
        <v>3</v>
      </c>
      <c r="D101" s="211" t="s">
        <v>111</v>
      </c>
      <c r="E101" s="211" t="s">
        <v>74</v>
      </c>
      <c r="F101" s="199" t="s">
        <v>422</v>
      </c>
      <c r="G101" s="200" t="s">
        <v>426</v>
      </c>
      <c r="H101" s="201" t="s">
        <v>426</v>
      </c>
      <c r="I101" s="202" t="s">
        <v>497</v>
      </c>
      <c r="J101" s="202" t="s">
        <v>439</v>
      </c>
      <c r="K101" s="204">
        <v>13159</v>
      </c>
      <c r="L101" s="205">
        <v>0</v>
      </c>
      <c r="M101" s="209">
        <v>0</v>
      </c>
      <c r="N101" s="213">
        <v>26790</v>
      </c>
      <c r="O101" s="212">
        <v>14370.288472947364</v>
      </c>
      <c r="P101" s="207">
        <v>0.86426320184408501</v>
      </c>
      <c r="Q101" s="208" t="s">
        <v>425</v>
      </c>
      <c r="R101" s="209">
        <v>0</v>
      </c>
      <c r="S101" s="213">
        <v>262824.23000000004</v>
      </c>
      <c r="T101" s="212">
        <v>136086.63183881156</v>
      </c>
      <c r="U101" s="207">
        <v>0.93130086657816191</v>
      </c>
      <c r="V101" s="208" t="s">
        <v>425</v>
      </c>
      <c r="W101" s="212">
        <v>35716.850710377897</v>
      </c>
      <c r="X101" s="301">
        <v>0.75006613033259095</v>
      </c>
      <c r="Y101" s="302">
        <v>338238.5762272788</v>
      </c>
      <c r="Z101" s="208">
        <v>0.77703800947706148</v>
      </c>
      <c r="AA101" s="163"/>
    </row>
    <row r="102" spans="2:27" ht="15" customHeight="1" x14ac:dyDescent="0.25">
      <c r="B102" s="155"/>
      <c r="C102" s="197">
        <v>3</v>
      </c>
      <c r="D102" s="211" t="s">
        <v>111</v>
      </c>
      <c r="E102" s="211" t="s">
        <v>74</v>
      </c>
      <c r="F102" s="199" t="s">
        <v>422</v>
      </c>
      <c r="G102" s="200" t="s">
        <v>426</v>
      </c>
      <c r="H102" s="201" t="s">
        <v>426</v>
      </c>
      <c r="I102" s="202" t="s">
        <v>498</v>
      </c>
      <c r="J102" s="202" t="s">
        <v>424</v>
      </c>
      <c r="K102" s="204">
        <v>13018</v>
      </c>
      <c r="L102" s="205">
        <v>-29</v>
      </c>
      <c r="M102" s="209">
        <v>-2302</v>
      </c>
      <c r="N102" s="213">
        <v>0</v>
      </c>
      <c r="O102" s="212">
        <v>0</v>
      </c>
      <c r="P102" s="207" t="s">
        <v>425</v>
      </c>
      <c r="Q102" s="208" t="s">
        <v>425</v>
      </c>
      <c r="R102" s="209">
        <v>-17034.52</v>
      </c>
      <c r="S102" s="213">
        <v>0</v>
      </c>
      <c r="T102" s="212">
        <v>0</v>
      </c>
      <c r="U102" s="207" t="s">
        <v>425</v>
      </c>
      <c r="V102" s="208" t="s">
        <v>425</v>
      </c>
      <c r="W102" s="212">
        <v>0</v>
      </c>
      <c r="X102" s="301" t="s">
        <v>425</v>
      </c>
      <c r="Y102" s="302">
        <v>0</v>
      </c>
      <c r="Z102" s="208">
        <v>0</v>
      </c>
      <c r="AA102" s="163"/>
    </row>
    <row r="103" spans="2:27" ht="15" customHeight="1" x14ac:dyDescent="0.25">
      <c r="B103" s="155"/>
      <c r="C103" s="197">
        <v>3</v>
      </c>
      <c r="D103" s="211" t="s">
        <v>111</v>
      </c>
      <c r="E103" s="211" t="s">
        <v>74</v>
      </c>
      <c r="F103" s="199" t="s">
        <v>422</v>
      </c>
      <c r="G103" s="200" t="s">
        <v>426</v>
      </c>
      <c r="H103" s="201" t="s">
        <v>426</v>
      </c>
      <c r="I103" s="202" t="s">
        <v>499</v>
      </c>
      <c r="J103" s="202" t="s">
        <v>439</v>
      </c>
      <c r="K103" s="204">
        <v>13049</v>
      </c>
      <c r="L103" s="205">
        <v>-17</v>
      </c>
      <c r="M103" s="209">
        <v>-40</v>
      </c>
      <c r="N103" s="213">
        <v>0</v>
      </c>
      <c r="O103" s="212">
        <v>0</v>
      </c>
      <c r="P103" s="207" t="s">
        <v>425</v>
      </c>
      <c r="Q103" s="208" t="s">
        <v>425</v>
      </c>
      <c r="R103" s="209">
        <v>-428.33000000000004</v>
      </c>
      <c r="S103" s="213">
        <v>-113.17</v>
      </c>
      <c r="T103" s="212">
        <v>0</v>
      </c>
      <c r="U103" s="207" t="s">
        <v>425</v>
      </c>
      <c r="V103" s="208" t="s">
        <v>425</v>
      </c>
      <c r="W103" s="212">
        <v>0</v>
      </c>
      <c r="X103" s="301" t="s">
        <v>425</v>
      </c>
      <c r="Y103" s="302">
        <v>0</v>
      </c>
      <c r="Z103" s="208">
        <v>0</v>
      </c>
      <c r="AA103" s="163"/>
    </row>
    <row r="104" spans="2:27" ht="15" customHeight="1" x14ac:dyDescent="0.25">
      <c r="B104" s="155"/>
      <c r="C104" s="197">
        <v>3</v>
      </c>
      <c r="D104" s="211" t="s">
        <v>111</v>
      </c>
      <c r="E104" s="211" t="s">
        <v>74</v>
      </c>
      <c r="F104" s="199" t="s">
        <v>422</v>
      </c>
      <c r="G104" s="200" t="s">
        <v>426</v>
      </c>
      <c r="H104" s="201" t="s">
        <v>426</v>
      </c>
      <c r="I104" s="202" t="s">
        <v>500</v>
      </c>
      <c r="J104" s="202" t="s">
        <v>424</v>
      </c>
      <c r="K104" s="204">
        <v>13079</v>
      </c>
      <c r="L104" s="205">
        <v>0</v>
      </c>
      <c r="M104" s="209">
        <v>344</v>
      </c>
      <c r="N104" s="213">
        <v>-2978</v>
      </c>
      <c r="O104" s="212">
        <v>0</v>
      </c>
      <c r="P104" s="207" t="s">
        <v>425</v>
      </c>
      <c r="Q104" s="208" t="s">
        <v>425</v>
      </c>
      <c r="R104" s="209">
        <v>3028.1</v>
      </c>
      <c r="S104" s="213">
        <v>-41096.229999999996</v>
      </c>
      <c r="T104" s="212">
        <v>0</v>
      </c>
      <c r="U104" s="207" t="s">
        <v>425</v>
      </c>
      <c r="V104" s="208" t="s">
        <v>425</v>
      </c>
      <c r="W104" s="212">
        <v>0</v>
      </c>
      <c r="X104" s="301" t="s">
        <v>425</v>
      </c>
      <c r="Y104" s="302">
        <v>0</v>
      </c>
      <c r="Z104" s="208">
        <v>0</v>
      </c>
      <c r="AA104" s="163"/>
    </row>
    <row r="105" spans="2:27" ht="15" customHeight="1" x14ac:dyDescent="0.25">
      <c r="B105" s="155"/>
      <c r="C105" s="197">
        <v>3</v>
      </c>
      <c r="D105" s="211" t="s">
        <v>111</v>
      </c>
      <c r="E105" s="211" t="s">
        <v>74</v>
      </c>
      <c r="F105" s="199" t="s">
        <v>422</v>
      </c>
      <c r="G105" s="200" t="s">
        <v>426</v>
      </c>
      <c r="H105" s="201" t="s">
        <v>426</v>
      </c>
      <c r="I105" s="202" t="s">
        <v>76</v>
      </c>
      <c r="J105" s="202" t="s">
        <v>424</v>
      </c>
      <c r="K105" s="204">
        <v>13121</v>
      </c>
      <c r="L105" s="205">
        <v>4090</v>
      </c>
      <c r="M105" s="209">
        <v>22764</v>
      </c>
      <c r="N105" s="213">
        <v>35421</v>
      </c>
      <c r="O105" s="212">
        <v>27382.937880253579</v>
      </c>
      <c r="P105" s="207">
        <v>0.2935427219276876</v>
      </c>
      <c r="Q105" s="208">
        <v>0.55600948866631517</v>
      </c>
      <c r="R105" s="209">
        <v>408811.82</v>
      </c>
      <c r="S105" s="213">
        <v>634601</v>
      </c>
      <c r="T105" s="212">
        <v>505039.50649759662</v>
      </c>
      <c r="U105" s="207">
        <v>0.25653734378306492</v>
      </c>
      <c r="V105" s="208">
        <v>0.55230589957012488</v>
      </c>
      <c r="W105" s="212">
        <v>55997.827975978696</v>
      </c>
      <c r="X105" s="301">
        <v>0.63254239102263921</v>
      </c>
      <c r="Y105" s="302">
        <v>1032800.6267844511</v>
      </c>
      <c r="Z105" s="208">
        <v>0.6144467611099188</v>
      </c>
      <c r="AA105" s="163"/>
    </row>
    <row r="106" spans="2:27" ht="15" customHeight="1" x14ac:dyDescent="0.25">
      <c r="B106" s="155"/>
      <c r="C106" s="197">
        <v>3</v>
      </c>
      <c r="D106" s="211" t="s">
        <v>111</v>
      </c>
      <c r="E106" s="211" t="s">
        <v>74</v>
      </c>
      <c r="F106" s="199" t="s">
        <v>422</v>
      </c>
      <c r="G106" s="200" t="s">
        <v>426</v>
      </c>
      <c r="H106" s="201" t="s">
        <v>426</v>
      </c>
      <c r="I106" s="202" t="s">
        <v>501</v>
      </c>
      <c r="J106" s="202" t="s">
        <v>439</v>
      </c>
      <c r="K106" s="204">
        <v>13047</v>
      </c>
      <c r="L106" s="205">
        <v>2238</v>
      </c>
      <c r="M106" s="209">
        <v>8315</v>
      </c>
      <c r="N106" s="213">
        <v>-13</v>
      </c>
      <c r="O106" s="212">
        <v>6057.2436877249074</v>
      </c>
      <c r="P106" s="207" t="s">
        <v>425</v>
      </c>
      <c r="Q106" s="208" t="s">
        <v>425</v>
      </c>
      <c r="R106" s="209">
        <v>65855.509999999995</v>
      </c>
      <c r="S106" s="213">
        <v>-847.93000000000006</v>
      </c>
      <c r="T106" s="212">
        <v>57362.097722754872</v>
      </c>
      <c r="U106" s="207" t="s">
        <v>425</v>
      </c>
      <c r="V106" s="208" t="s">
        <v>425</v>
      </c>
      <c r="W106" s="212">
        <v>6057.2436877249074</v>
      </c>
      <c r="X106" s="301">
        <v>-2.146190688405799E-3</v>
      </c>
      <c r="Y106" s="302">
        <v>57362.097722754872</v>
      </c>
      <c r="Z106" s="208">
        <v>-1.4782060518397607E-2</v>
      </c>
      <c r="AA106" s="163"/>
    </row>
    <row r="107" spans="2:27" ht="15" customHeight="1" x14ac:dyDescent="0.25">
      <c r="B107" s="155"/>
      <c r="C107" s="197">
        <v>2</v>
      </c>
      <c r="D107" s="211" t="s">
        <v>111</v>
      </c>
      <c r="E107" s="211" t="s">
        <v>426</v>
      </c>
      <c r="F107" s="199" t="s">
        <v>422</v>
      </c>
      <c r="G107" s="200" t="s">
        <v>426</v>
      </c>
      <c r="H107" s="201" t="s">
        <v>502</v>
      </c>
      <c r="I107" s="202" t="s">
        <v>426</v>
      </c>
      <c r="J107" s="202" t="s">
        <v>426</v>
      </c>
      <c r="K107" s="204" t="s">
        <v>426</v>
      </c>
      <c r="L107" s="205">
        <v>17273</v>
      </c>
      <c r="M107" s="209">
        <v>101981</v>
      </c>
      <c r="N107" s="213">
        <v>145497</v>
      </c>
      <c r="O107" s="212">
        <v>142723.52214878751</v>
      </c>
      <c r="P107" s="207">
        <v>1.9432521069100206E-2</v>
      </c>
      <c r="Q107" s="208">
        <v>0.42670693560565209</v>
      </c>
      <c r="R107" s="209">
        <v>1142960.8299999998</v>
      </c>
      <c r="S107" s="213">
        <v>1622649.2100000002</v>
      </c>
      <c r="T107" s="212">
        <v>1642461.3654536027</v>
      </c>
      <c r="U107" s="207">
        <v>-1.2062478832268297E-2</v>
      </c>
      <c r="V107" s="208">
        <v>0.41968925566766835</v>
      </c>
      <c r="W107" s="212">
        <v>291868.1434535532</v>
      </c>
      <c r="X107" s="301">
        <v>0.49850250280278996</v>
      </c>
      <c r="Y107" s="302">
        <v>3358816.6982691265</v>
      </c>
      <c r="Z107" s="208">
        <v>0.48310144785102077</v>
      </c>
      <c r="AA107" s="163"/>
    </row>
    <row r="108" spans="2:27" ht="15" customHeight="1" x14ac:dyDescent="0.25">
      <c r="B108" s="155"/>
      <c r="C108" s="197">
        <v>3</v>
      </c>
      <c r="D108" s="211" t="s">
        <v>111</v>
      </c>
      <c r="E108" s="211" t="s">
        <v>82</v>
      </c>
      <c r="F108" s="199" t="s">
        <v>422</v>
      </c>
      <c r="G108" s="200" t="s">
        <v>426</v>
      </c>
      <c r="H108" s="201" t="s">
        <v>82</v>
      </c>
      <c r="I108" s="202" t="s">
        <v>503</v>
      </c>
      <c r="J108" s="202" t="s">
        <v>424</v>
      </c>
      <c r="K108" s="204">
        <v>13038</v>
      </c>
      <c r="L108" s="205">
        <v>1170</v>
      </c>
      <c r="M108" s="209">
        <v>10451</v>
      </c>
      <c r="N108" s="213">
        <v>8845</v>
      </c>
      <c r="O108" s="212">
        <v>9977.2607608677517</v>
      </c>
      <c r="P108" s="207">
        <v>-0.11348413036458271</v>
      </c>
      <c r="Q108" s="208">
        <v>-0.15366950531049661</v>
      </c>
      <c r="R108" s="209">
        <v>315656.14</v>
      </c>
      <c r="S108" s="213">
        <v>265320.38</v>
      </c>
      <c r="T108" s="212">
        <v>302744.40234031517</v>
      </c>
      <c r="U108" s="207">
        <v>-0.12361590189947358</v>
      </c>
      <c r="V108" s="208">
        <v>-0.15946390271388355</v>
      </c>
      <c r="W108" s="212">
        <v>20403.396238993355</v>
      </c>
      <c r="X108" s="301">
        <v>0.43350626025171912</v>
      </c>
      <c r="Y108" s="302">
        <v>619109.20723990828</v>
      </c>
      <c r="Z108" s="208">
        <v>0.42855182397115743</v>
      </c>
      <c r="AA108" s="163"/>
    </row>
    <row r="109" spans="2:27" ht="15" customHeight="1" x14ac:dyDescent="0.25">
      <c r="B109" s="155"/>
      <c r="C109" s="197">
        <v>2</v>
      </c>
      <c r="D109" s="211" t="s">
        <v>111</v>
      </c>
      <c r="E109" s="211" t="s">
        <v>426</v>
      </c>
      <c r="F109" s="199" t="s">
        <v>422</v>
      </c>
      <c r="G109" s="200" t="s">
        <v>426</v>
      </c>
      <c r="H109" s="201" t="s">
        <v>504</v>
      </c>
      <c r="I109" s="202" t="s">
        <v>426</v>
      </c>
      <c r="J109" s="202" t="s">
        <v>426</v>
      </c>
      <c r="K109" s="204" t="s">
        <v>426</v>
      </c>
      <c r="L109" s="205">
        <v>1170</v>
      </c>
      <c r="M109" s="209">
        <v>10451</v>
      </c>
      <c r="N109" s="213">
        <v>8845</v>
      </c>
      <c r="O109" s="212">
        <v>9977.2607608677517</v>
      </c>
      <c r="P109" s="207">
        <v>-0.11348413036458271</v>
      </c>
      <c r="Q109" s="208">
        <v>-0.15366950531049661</v>
      </c>
      <c r="R109" s="209">
        <v>315656.14</v>
      </c>
      <c r="S109" s="213">
        <v>265320.38</v>
      </c>
      <c r="T109" s="212">
        <v>302744.40234031517</v>
      </c>
      <c r="U109" s="207">
        <v>-0.12361590189947358</v>
      </c>
      <c r="V109" s="208">
        <v>-0.15946390271388355</v>
      </c>
      <c r="W109" s="212">
        <v>20403.396238993355</v>
      </c>
      <c r="X109" s="301">
        <v>0.43350626025171912</v>
      </c>
      <c r="Y109" s="302">
        <v>619109.20723990828</v>
      </c>
      <c r="Z109" s="208">
        <v>0.42855182397115743</v>
      </c>
      <c r="AA109" s="163"/>
    </row>
    <row r="110" spans="2:27" ht="15" customHeight="1" x14ac:dyDescent="0.25">
      <c r="B110" s="155"/>
      <c r="C110" s="197">
        <v>3</v>
      </c>
      <c r="D110" s="211" t="s">
        <v>111</v>
      </c>
      <c r="E110" s="211" t="s">
        <v>69</v>
      </c>
      <c r="F110" s="199" t="s">
        <v>422</v>
      </c>
      <c r="G110" s="200" t="s">
        <v>426</v>
      </c>
      <c r="H110" s="201" t="s">
        <v>69</v>
      </c>
      <c r="I110" s="202" t="s">
        <v>505</v>
      </c>
      <c r="J110" s="202" t="s">
        <v>429</v>
      </c>
      <c r="K110" s="204">
        <v>13062</v>
      </c>
      <c r="L110" s="205">
        <v>4100</v>
      </c>
      <c r="M110" s="209">
        <v>28006</v>
      </c>
      <c r="N110" s="213">
        <v>47729</v>
      </c>
      <c r="O110" s="212">
        <v>30627.62606802192</v>
      </c>
      <c r="P110" s="207">
        <v>0.55836433075149428</v>
      </c>
      <c r="Q110" s="208">
        <v>0.70424194815396701</v>
      </c>
      <c r="R110" s="209">
        <v>66479.749999999985</v>
      </c>
      <c r="S110" s="213">
        <v>191582.94</v>
      </c>
      <c r="T110" s="212">
        <v>121848.73683095106</v>
      </c>
      <c r="U110" s="207">
        <v>0.5723014040416019</v>
      </c>
      <c r="V110" s="208">
        <v>1.8818240140794762</v>
      </c>
      <c r="W110" s="212">
        <v>62633.182143194121</v>
      </c>
      <c r="X110" s="301">
        <v>0.76204015773748057</v>
      </c>
      <c r="Y110" s="302">
        <v>249179.4209221903</v>
      </c>
      <c r="Z110" s="208">
        <v>0.76885538657634334</v>
      </c>
      <c r="AA110" s="163"/>
    </row>
    <row r="111" spans="2:27" ht="15" customHeight="1" x14ac:dyDescent="0.25">
      <c r="B111" s="155"/>
      <c r="C111" s="197">
        <v>3</v>
      </c>
      <c r="D111" s="211" t="s">
        <v>111</v>
      </c>
      <c r="E111" s="211" t="s">
        <v>69</v>
      </c>
      <c r="F111" s="199" t="s">
        <v>422</v>
      </c>
      <c r="G111" s="200" t="s">
        <v>426</v>
      </c>
      <c r="H111" s="201" t="s">
        <v>426</v>
      </c>
      <c r="I111" s="202" t="s">
        <v>506</v>
      </c>
      <c r="J111" s="202" t="s">
        <v>429</v>
      </c>
      <c r="K111" s="204">
        <v>13063</v>
      </c>
      <c r="L111" s="205">
        <v>2996</v>
      </c>
      <c r="M111" s="209">
        <v>19868</v>
      </c>
      <c r="N111" s="213">
        <v>35108</v>
      </c>
      <c r="O111" s="212">
        <v>27450.10512663408</v>
      </c>
      <c r="P111" s="207">
        <v>0.27897506541553008</v>
      </c>
      <c r="Q111" s="208">
        <v>0.76706261324743297</v>
      </c>
      <c r="R111" s="209">
        <v>204561.26000000004</v>
      </c>
      <c r="S111" s="213">
        <v>682716</v>
      </c>
      <c r="T111" s="212">
        <v>545569.84899205924</v>
      </c>
      <c r="U111" s="207">
        <v>0.25138147069769046</v>
      </c>
      <c r="V111" s="208">
        <v>2.337464777055049</v>
      </c>
      <c r="W111" s="212">
        <v>56135.184308045158</v>
      </c>
      <c r="X111" s="301">
        <v>0.62541880698819419</v>
      </c>
      <c r="Y111" s="302">
        <v>1115684.7627649475</v>
      </c>
      <c r="Z111" s="208">
        <v>0.61192553917117054</v>
      </c>
      <c r="AA111" s="163"/>
    </row>
    <row r="112" spans="2:27" ht="15" customHeight="1" x14ac:dyDescent="0.25">
      <c r="B112" s="155"/>
      <c r="C112" s="197">
        <v>3</v>
      </c>
      <c r="D112" s="211" t="s">
        <v>111</v>
      </c>
      <c r="E112" s="211" t="s">
        <v>69</v>
      </c>
      <c r="F112" s="199" t="s">
        <v>422</v>
      </c>
      <c r="G112" s="200" t="s">
        <v>426</v>
      </c>
      <c r="H112" s="201" t="s">
        <v>426</v>
      </c>
      <c r="I112" s="202" t="s">
        <v>507</v>
      </c>
      <c r="J112" s="202" t="s">
        <v>429</v>
      </c>
      <c r="K112" s="204">
        <v>13061</v>
      </c>
      <c r="L112" s="205">
        <v>2997</v>
      </c>
      <c r="M112" s="209">
        <v>33427</v>
      </c>
      <c r="N112" s="213">
        <v>29341</v>
      </c>
      <c r="O112" s="212">
        <v>26930.685994434596</v>
      </c>
      <c r="P112" s="207">
        <v>8.9500653866132929E-2</v>
      </c>
      <c r="Q112" s="208">
        <v>-0.12223651539174918</v>
      </c>
      <c r="R112" s="209">
        <v>65602.400000000009</v>
      </c>
      <c r="S112" s="213">
        <v>75665.350000000006</v>
      </c>
      <c r="T112" s="212">
        <v>83560.710246059229</v>
      </c>
      <c r="U112" s="207">
        <v>-9.4486514329640614E-2</v>
      </c>
      <c r="V112" s="208">
        <v>0.15339301610916678</v>
      </c>
      <c r="W112" s="212">
        <v>55072.977493731276</v>
      </c>
      <c r="X112" s="301">
        <v>0.53276581974053905</v>
      </c>
      <c r="Y112" s="302">
        <v>170880.79804920088</v>
      </c>
      <c r="Z112" s="208">
        <v>0.44279609449280571</v>
      </c>
      <c r="AA112" s="163"/>
    </row>
    <row r="113" spans="2:27" ht="15" customHeight="1" x14ac:dyDescent="0.25">
      <c r="B113" s="155"/>
      <c r="C113" s="197">
        <v>3</v>
      </c>
      <c r="D113" s="211" t="s">
        <v>111</v>
      </c>
      <c r="E113" s="211" t="s">
        <v>69</v>
      </c>
      <c r="F113" s="199" t="s">
        <v>422</v>
      </c>
      <c r="G113" s="200" t="s">
        <v>426</v>
      </c>
      <c r="H113" s="201" t="s">
        <v>426</v>
      </c>
      <c r="I113" s="202" t="s">
        <v>508</v>
      </c>
      <c r="J113" s="202" t="s">
        <v>429</v>
      </c>
      <c r="K113" s="204">
        <v>13060</v>
      </c>
      <c r="L113" s="205">
        <v>1200</v>
      </c>
      <c r="M113" s="209">
        <v>11577</v>
      </c>
      <c r="N113" s="213">
        <v>22580</v>
      </c>
      <c r="O113" s="212">
        <v>9306.5432464638216</v>
      </c>
      <c r="P113" s="207">
        <v>1.4262499407155986</v>
      </c>
      <c r="Q113" s="208">
        <v>0.95041893409346123</v>
      </c>
      <c r="R113" s="209">
        <v>82311.350000000006</v>
      </c>
      <c r="S113" s="213">
        <v>287670.56999999995</v>
      </c>
      <c r="T113" s="212">
        <v>115822.06897361859</v>
      </c>
      <c r="U113" s="207">
        <v>1.4837284685833425</v>
      </c>
      <c r="V113" s="208">
        <v>2.494907688915319</v>
      </c>
      <c r="W113" s="212">
        <v>19031.785780089616</v>
      </c>
      <c r="X113" s="301">
        <v>1.1864362210099275</v>
      </c>
      <c r="Y113" s="302">
        <v>236854.94677631615</v>
      </c>
      <c r="Z113" s="208">
        <v>1.2145432211372542</v>
      </c>
      <c r="AA113" s="163"/>
    </row>
    <row r="114" spans="2:27" ht="15" customHeight="1" x14ac:dyDescent="0.25">
      <c r="B114" s="155"/>
      <c r="C114" s="197">
        <v>3</v>
      </c>
      <c r="D114" s="211" t="s">
        <v>111</v>
      </c>
      <c r="E114" s="211" t="s">
        <v>69</v>
      </c>
      <c r="F114" s="199" t="s">
        <v>422</v>
      </c>
      <c r="G114" s="200" t="s">
        <v>426</v>
      </c>
      <c r="H114" s="201" t="s">
        <v>426</v>
      </c>
      <c r="I114" s="202" t="s">
        <v>509</v>
      </c>
      <c r="J114" s="202" t="s">
        <v>429</v>
      </c>
      <c r="K114" s="204">
        <v>55555</v>
      </c>
      <c r="L114" s="205">
        <v>0</v>
      </c>
      <c r="M114" s="209">
        <v>0</v>
      </c>
      <c r="N114" s="213">
        <v>0</v>
      </c>
      <c r="O114" s="212">
        <v>0</v>
      </c>
      <c r="P114" s="207" t="s">
        <v>425</v>
      </c>
      <c r="Q114" s="208" t="s">
        <v>425</v>
      </c>
      <c r="R114" s="209">
        <v>0</v>
      </c>
      <c r="S114" s="213">
        <v>0</v>
      </c>
      <c r="T114" s="212">
        <v>0</v>
      </c>
      <c r="U114" s="207" t="s">
        <v>425</v>
      </c>
      <c r="V114" s="208" t="s">
        <v>425</v>
      </c>
      <c r="W114" s="212">
        <v>0</v>
      </c>
      <c r="X114" s="301" t="s">
        <v>425</v>
      </c>
      <c r="Y114" s="302">
        <v>0</v>
      </c>
      <c r="Z114" s="208">
        <v>0</v>
      </c>
      <c r="AA114" s="163"/>
    </row>
    <row r="115" spans="2:27" ht="15" customHeight="1" x14ac:dyDescent="0.25">
      <c r="B115" s="155"/>
      <c r="C115" s="197">
        <v>3</v>
      </c>
      <c r="D115" s="211" t="s">
        <v>111</v>
      </c>
      <c r="E115" s="211" t="s">
        <v>69</v>
      </c>
      <c r="F115" s="199" t="s">
        <v>422</v>
      </c>
      <c r="G115" s="200" t="s">
        <v>426</v>
      </c>
      <c r="H115" s="201" t="s">
        <v>426</v>
      </c>
      <c r="I115" s="202" t="s">
        <v>510</v>
      </c>
      <c r="J115" s="202" t="s">
        <v>429</v>
      </c>
      <c r="K115" s="204">
        <v>44444</v>
      </c>
      <c r="L115" s="205">
        <v>0</v>
      </c>
      <c r="M115" s="209">
        <v>0</v>
      </c>
      <c r="N115" s="213">
        <v>0</v>
      </c>
      <c r="O115" s="212">
        <v>0</v>
      </c>
      <c r="P115" s="207" t="s">
        <v>425</v>
      </c>
      <c r="Q115" s="208" t="s">
        <v>425</v>
      </c>
      <c r="R115" s="209">
        <v>0</v>
      </c>
      <c r="S115" s="213">
        <v>0</v>
      </c>
      <c r="T115" s="212">
        <v>0</v>
      </c>
      <c r="U115" s="207" t="s">
        <v>425</v>
      </c>
      <c r="V115" s="208" t="s">
        <v>425</v>
      </c>
      <c r="W115" s="212">
        <v>0</v>
      </c>
      <c r="X115" s="301" t="s">
        <v>425</v>
      </c>
      <c r="Y115" s="302">
        <v>0</v>
      </c>
      <c r="Z115" s="208">
        <v>0</v>
      </c>
      <c r="AA115" s="163"/>
    </row>
    <row r="116" spans="2:27" ht="15" customHeight="1" x14ac:dyDescent="0.25">
      <c r="B116" s="155"/>
      <c r="C116" s="197">
        <v>3</v>
      </c>
      <c r="D116" s="211" t="s">
        <v>111</v>
      </c>
      <c r="E116" s="211" t="s">
        <v>69</v>
      </c>
      <c r="F116" s="199" t="s">
        <v>422</v>
      </c>
      <c r="G116" s="200" t="s">
        <v>426</v>
      </c>
      <c r="H116" s="201" t="s">
        <v>426</v>
      </c>
      <c r="I116" s="202" t="s">
        <v>511</v>
      </c>
      <c r="J116" s="202" t="s">
        <v>429</v>
      </c>
      <c r="K116" s="204">
        <v>66666</v>
      </c>
      <c r="L116" s="205">
        <v>0</v>
      </c>
      <c r="M116" s="209">
        <v>0</v>
      </c>
      <c r="N116" s="213">
        <v>0</v>
      </c>
      <c r="O116" s="212">
        <v>0</v>
      </c>
      <c r="P116" s="207" t="s">
        <v>425</v>
      </c>
      <c r="Q116" s="208" t="s">
        <v>425</v>
      </c>
      <c r="R116" s="209">
        <v>0</v>
      </c>
      <c r="S116" s="213">
        <v>0</v>
      </c>
      <c r="T116" s="212">
        <v>0</v>
      </c>
      <c r="U116" s="207" t="s">
        <v>425</v>
      </c>
      <c r="V116" s="208" t="s">
        <v>425</v>
      </c>
      <c r="W116" s="212">
        <v>0</v>
      </c>
      <c r="X116" s="301" t="s">
        <v>425</v>
      </c>
      <c r="Y116" s="302">
        <v>0</v>
      </c>
      <c r="Z116" s="208">
        <v>0</v>
      </c>
      <c r="AA116" s="163"/>
    </row>
    <row r="117" spans="2:27" ht="15" customHeight="1" x14ac:dyDescent="0.25">
      <c r="B117" s="155"/>
      <c r="C117" s="197">
        <v>3</v>
      </c>
      <c r="D117" s="211" t="s">
        <v>111</v>
      </c>
      <c r="E117" s="211" t="s">
        <v>69</v>
      </c>
      <c r="F117" s="199" t="s">
        <v>422</v>
      </c>
      <c r="G117" s="200" t="s">
        <v>426</v>
      </c>
      <c r="H117" s="201" t="s">
        <v>426</v>
      </c>
      <c r="I117" s="202" t="s">
        <v>512</v>
      </c>
      <c r="J117" s="202" t="s">
        <v>429</v>
      </c>
      <c r="K117" s="204">
        <v>77777</v>
      </c>
      <c r="L117" s="205">
        <v>0</v>
      </c>
      <c r="M117" s="209">
        <v>0</v>
      </c>
      <c r="N117" s="213">
        <v>0</v>
      </c>
      <c r="O117" s="212">
        <v>0</v>
      </c>
      <c r="P117" s="207" t="s">
        <v>425</v>
      </c>
      <c r="Q117" s="208" t="s">
        <v>425</v>
      </c>
      <c r="R117" s="209">
        <v>0</v>
      </c>
      <c r="S117" s="213">
        <v>0</v>
      </c>
      <c r="T117" s="212">
        <v>0</v>
      </c>
      <c r="U117" s="207" t="s">
        <v>425</v>
      </c>
      <c r="V117" s="208" t="s">
        <v>425</v>
      </c>
      <c r="W117" s="212">
        <v>0</v>
      </c>
      <c r="X117" s="301" t="s">
        <v>425</v>
      </c>
      <c r="Y117" s="302">
        <v>0</v>
      </c>
      <c r="Z117" s="208">
        <v>0</v>
      </c>
      <c r="AA117" s="163"/>
    </row>
    <row r="118" spans="2:27" ht="15" customHeight="1" x14ac:dyDescent="0.25">
      <c r="B118" s="155"/>
      <c r="C118" s="197">
        <v>2</v>
      </c>
      <c r="D118" s="211" t="s">
        <v>111</v>
      </c>
      <c r="E118" s="211" t="s">
        <v>426</v>
      </c>
      <c r="F118" s="199" t="s">
        <v>422</v>
      </c>
      <c r="G118" s="200" t="s">
        <v>426</v>
      </c>
      <c r="H118" s="201" t="s">
        <v>513</v>
      </c>
      <c r="I118" s="202" t="s">
        <v>426</v>
      </c>
      <c r="J118" s="202" t="s">
        <v>426</v>
      </c>
      <c r="K118" s="204" t="s">
        <v>426</v>
      </c>
      <c r="L118" s="205">
        <v>11293</v>
      </c>
      <c r="M118" s="209">
        <v>92878</v>
      </c>
      <c r="N118" s="213">
        <v>134758</v>
      </c>
      <c r="O118" s="212">
        <v>94314.960435554429</v>
      </c>
      <c r="P118" s="207">
        <v>0.428808318189142</v>
      </c>
      <c r="Q118" s="208">
        <v>0.45091410237085205</v>
      </c>
      <c r="R118" s="209">
        <v>418954.76</v>
      </c>
      <c r="S118" s="213">
        <v>1237634.8599999999</v>
      </c>
      <c r="T118" s="212">
        <v>866801.36504268809</v>
      </c>
      <c r="U118" s="207">
        <v>0.42781830983739755</v>
      </c>
      <c r="V118" s="208">
        <v>1.9541014404514701</v>
      </c>
      <c r="W118" s="212">
        <v>192873.12972506016</v>
      </c>
      <c r="X118" s="301">
        <v>0.69868726759449051</v>
      </c>
      <c r="Y118" s="302">
        <v>1772599.9285126547</v>
      </c>
      <c r="Z118" s="208">
        <v>0.69820315351048734</v>
      </c>
      <c r="AA118" s="163"/>
    </row>
    <row r="119" spans="2:27" ht="15" customHeight="1" x14ac:dyDescent="0.25">
      <c r="B119" s="155"/>
      <c r="C119" s="197">
        <v>3</v>
      </c>
      <c r="D119" s="211" t="s">
        <v>111</v>
      </c>
      <c r="E119" s="211" t="s">
        <v>100</v>
      </c>
      <c r="F119" s="199" t="s">
        <v>422</v>
      </c>
      <c r="G119" s="200" t="s">
        <v>426</v>
      </c>
      <c r="H119" s="201" t="s">
        <v>100</v>
      </c>
      <c r="I119" s="202" t="s">
        <v>101</v>
      </c>
      <c r="J119" s="202" t="s">
        <v>429</v>
      </c>
      <c r="K119" s="204">
        <v>13064</v>
      </c>
      <c r="L119" s="205">
        <v>850</v>
      </c>
      <c r="M119" s="209">
        <v>5174</v>
      </c>
      <c r="N119" s="213">
        <v>-703</v>
      </c>
      <c r="O119" s="212">
        <v>0</v>
      </c>
      <c r="P119" s="207" t="s">
        <v>425</v>
      </c>
      <c r="Q119" s="208" t="s">
        <v>425</v>
      </c>
      <c r="R119" s="209">
        <v>31524.81</v>
      </c>
      <c r="S119" s="213">
        <v>-4827.6499999999996</v>
      </c>
      <c r="T119" s="212">
        <v>0</v>
      </c>
      <c r="U119" s="207" t="s">
        <v>425</v>
      </c>
      <c r="V119" s="208" t="s">
        <v>425</v>
      </c>
      <c r="W119" s="212">
        <v>0</v>
      </c>
      <c r="X119" s="301" t="s">
        <v>425</v>
      </c>
      <c r="Y119" s="302">
        <v>0</v>
      </c>
      <c r="Z119" s="208">
        <v>0</v>
      </c>
      <c r="AA119" s="163"/>
    </row>
    <row r="120" spans="2:27" ht="15" customHeight="1" x14ac:dyDescent="0.25">
      <c r="B120" s="155"/>
      <c r="C120" s="197">
        <v>2</v>
      </c>
      <c r="D120" s="211" t="s">
        <v>111</v>
      </c>
      <c r="E120" s="211" t="s">
        <v>426</v>
      </c>
      <c r="F120" s="199" t="s">
        <v>422</v>
      </c>
      <c r="G120" s="200" t="s">
        <v>426</v>
      </c>
      <c r="H120" s="201" t="s">
        <v>514</v>
      </c>
      <c r="I120" s="202" t="s">
        <v>426</v>
      </c>
      <c r="J120" s="202" t="s">
        <v>426</v>
      </c>
      <c r="K120" s="204" t="s">
        <v>426</v>
      </c>
      <c r="L120" s="205">
        <v>850</v>
      </c>
      <c r="M120" s="209">
        <v>5174</v>
      </c>
      <c r="N120" s="213">
        <v>-703</v>
      </c>
      <c r="O120" s="212">
        <v>0</v>
      </c>
      <c r="P120" s="207" t="s">
        <v>425</v>
      </c>
      <c r="Q120" s="208" t="s">
        <v>425</v>
      </c>
      <c r="R120" s="209">
        <v>31524.81</v>
      </c>
      <c r="S120" s="213">
        <v>-4827.6499999999996</v>
      </c>
      <c r="T120" s="212">
        <v>0</v>
      </c>
      <c r="U120" s="207" t="s">
        <v>425</v>
      </c>
      <c r="V120" s="208" t="s">
        <v>425</v>
      </c>
      <c r="W120" s="212">
        <v>0</v>
      </c>
      <c r="X120" s="301" t="s">
        <v>425</v>
      </c>
      <c r="Y120" s="302">
        <v>0</v>
      </c>
      <c r="Z120" s="208">
        <v>0</v>
      </c>
      <c r="AA120" s="163"/>
    </row>
    <row r="121" spans="2:27" ht="15" customHeight="1" x14ac:dyDescent="0.25">
      <c r="B121" s="155"/>
      <c r="C121" s="197">
        <v>3</v>
      </c>
      <c r="D121" s="211" t="s">
        <v>111</v>
      </c>
      <c r="E121" s="211" t="s">
        <v>84</v>
      </c>
      <c r="F121" s="199" t="s">
        <v>422</v>
      </c>
      <c r="G121" s="200" t="s">
        <v>426</v>
      </c>
      <c r="H121" s="201" t="s">
        <v>84</v>
      </c>
      <c r="I121" s="202" t="s">
        <v>515</v>
      </c>
      <c r="J121" s="202" t="s">
        <v>439</v>
      </c>
      <c r="K121" s="204">
        <v>13036</v>
      </c>
      <c r="L121" s="205">
        <v>0</v>
      </c>
      <c r="M121" s="209">
        <v>0</v>
      </c>
      <c r="N121" s="213">
        <v>0</v>
      </c>
      <c r="O121" s="212">
        <v>0</v>
      </c>
      <c r="P121" s="207" t="s">
        <v>425</v>
      </c>
      <c r="Q121" s="208" t="s">
        <v>425</v>
      </c>
      <c r="R121" s="209">
        <v>0</v>
      </c>
      <c r="S121" s="213">
        <v>0</v>
      </c>
      <c r="T121" s="212">
        <v>0</v>
      </c>
      <c r="U121" s="207" t="s">
        <v>425</v>
      </c>
      <c r="V121" s="208" t="s">
        <v>425</v>
      </c>
      <c r="W121" s="212">
        <v>0</v>
      </c>
      <c r="X121" s="301" t="s">
        <v>425</v>
      </c>
      <c r="Y121" s="302">
        <v>0</v>
      </c>
      <c r="Z121" s="208">
        <v>0</v>
      </c>
      <c r="AA121" s="163"/>
    </row>
    <row r="122" spans="2:27" ht="15" customHeight="1" x14ac:dyDescent="0.25">
      <c r="B122" s="155"/>
      <c r="C122" s="197">
        <v>3</v>
      </c>
      <c r="D122" s="211" t="s">
        <v>111</v>
      </c>
      <c r="E122" s="211" t="s">
        <v>84</v>
      </c>
      <c r="F122" s="199" t="s">
        <v>422</v>
      </c>
      <c r="G122" s="200" t="s">
        <v>426</v>
      </c>
      <c r="H122" s="201" t="s">
        <v>426</v>
      </c>
      <c r="I122" s="202" t="s">
        <v>516</v>
      </c>
      <c r="J122" s="202" t="s">
        <v>439</v>
      </c>
      <c r="K122" s="204">
        <v>13032</v>
      </c>
      <c r="L122" s="205">
        <v>3786</v>
      </c>
      <c r="M122" s="209">
        <v>15623</v>
      </c>
      <c r="N122" s="213">
        <v>21946</v>
      </c>
      <c r="O122" s="212">
        <v>20963.290457564577</v>
      </c>
      <c r="P122" s="207">
        <v>4.6877638051368686E-2</v>
      </c>
      <c r="Q122" s="208">
        <v>0.40472380464699476</v>
      </c>
      <c r="R122" s="209">
        <v>178638.74</v>
      </c>
      <c r="S122" s="213">
        <v>274799.72000000003</v>
      </c>
      <c r="T122" s="212">
        <v>265207.63574317237</v>
      </c>
      <c r="U122" s="207">
        <v>3.6168205451356794E-2</v>
      </c>
      <c r="V122" s="208">
        <v>0.53829857958021887</v>
      </c>
      <c r="W122" s="212">
        <v>42869.714637146375</v>
      </c>
      <c r="X122" s="301">
        <v>0.51192316500711932</v>
      </c>
      <c r="Y122" s="302">
        <v>542346.90336027066</v>
      </c>
      <c r="Z122" s="208">
        <v>0.50668625246571353</v>
      </c>
      <c r="AA122" s="163"/>
    </row>
    <row r="123" spans="2:27" ht="15" customHeight="1" x14ac:dyDescent="0.25">
      <c r="B123" s="155"/>
      <c r="C123" s="197">
        <v>3</v>
      </c>
      <c r="D123" s="211" t="s">
        <v>111</v>
      </c>
      <c r="E123" s="211" t="s">
        <v>84</v>
      </c>
      <c r="F123" s="199" t="s">
        <v>422</v>
      </c>
      <c r="G123" s="200" t="s">
        <v>426</v>
      </c>
      <c r="H123" s="201" t="s">
        <v>426</v>
      </c>
      <c r="I123" s="202" t="s">
        <v>517</v>
      </c>
      <c r="J123" s="202" t="s">
        <v>439</v>
      </c>
      <c r="K123" s="204">
        <v>13037</v>
      </c>
      <c r="L123" s="205">
        <v>1938</v>
      </c>
      <c r="M123" s="209">
        <v>10021</v>
      </c>
      <c r="N123" s="213">
        <v>16344</v>
      </c>
      <c r="O123" s="212">
        <v>14979.197327848264</v>
      </c>
      <c r="P123" s="207">
        <v>9.1113204685166371E-2</v>
      </c>
      <c r="Q123" s="208">
        <v>0.63097495259954095</v>
      </c>
      <c r="R123" s="209">
        <v>111847.35</v>
      </c>
      <c r="S123" s="213">
        <v>201922.69000000003</v>
      </c>
      <c r="T123" s="212">
        <v>189502.57435447481</v>
      </c>
      <c r="U123" s="207">
        <v>6.5540616996013545E-2</v>
      </c>
      <c r="V123" s="208">
        <v>0.80534174479770892</v>
      </c>
      <c r="W123" s="212">
        <v>30632.305373922834</v>
      </c>
      <c r="X123" s="301">
        <v>0.53355435709104626</v>
      </c>
      <c r="Y123" s="302">
        <v>387530.82690076652</v>
      </c>
      <c r="Z123" s="208">
        <v>0.52104936171105054</v>
      </c>
      <c r="AA123" s="163"/>
    </row>
    <row r="124" spans="2:27" ht="15" customHeight="1" x14ac:dyDescent="0.25">
      <c r="B124" s="155"/>
      <c r="C124" s="197">
        <v>2</v>
      </c>
      <c r="D124" s="211" t="s">
        <v>111</v>
      </c>
      <c r="E124" s="211" t="s">
        <v>426</v>
      </c>
      <c r="F124" s="199" t="s">
        <v>422</v>
      </c>
      <c r="G124" s="200" t="s">
        <v>426</v>
      </c>
      <c r="H124" s="201" t="s">
        <v>518</v>
      </c>
      <c r="I124" s="202" t="s">
        <v>426</v>
      </c>
      <c r="J124" s="202" t="s">
        <v>426</v>
      </c>
      <c r="K124" s="204" t="s">
        <v>426</v>
      </c>
      <c r="L124" s="205">
        <v>5724</v>
      </c>
      <c r="M124" s="209">
        <v>25644</v>
      </c>
      <c r="N124" s="213">
        <v>38290</v>
      </c>
      <c r="O124" s="212">
        <v>35942.487785412843</v>
      </c>
      <c r="P124" s="207">
        <v>6.5313014185397922E-2</v>
      </c>
      <c r="Q124" s="208">
        <v>0.49313679613164862</v>
      </c>
      <c r="R124" s="209">
        <v>290486.08999999997</v>
      </c>
      <c r="S124" s="213">
        <v>476722.41000000003</v>
      </c>
      <c r="T124" s="212">
        <v>454710.21009764716</v>
      </c>
      <c r="U124" s="207">
        <v>4.8409293245528451E-2</v>
      </c>
      <c r="V124" s="208">
        <v>0.64111957994270941</v>
      </c>
      <c r="W124" s="212">
        <v>73502.020011069209</v>
      </c>
      <c r="X124" s="301">
        <v>0.52093806393665953</v>
      </c>
      <c r="Y124" s="302">
        <v>929877.73026103713</v>
      </c>
      <c r="Z124" s="208">
        <v>0.51267214439706343</v>
      </c>
      <c r="AA124" s="163"/>
    </row>
    <row r="125" spans="2:27" ht="15" customHeight="1" x14ac:dyDescent="0.25">
      <c r="B125" s="155"/>
      <c r="C125" s="197">
        <v>3</v>
      </c>
      <c r="D125" s="211" t="s">
        <v>111</v>
      </c>
      <c r="E125" s="211" t="s">
        <v>103</v>
      </c>
      <c r="F125" s="199" t="s">
        <v>422</v>
      </c>
      <c r="G125" s="200" t="s">
        <v>426</v>
      </c>
      <c r="H125" s="201" t="s">
        <v>103</v>
      </c>
      <c r="I125" s="202" t="s">
        <v>519</v>
      </c>
      <c r="J125" s="202" t="s">
        <v>439</v>
      </c>
      <c r="K125" s="204">
        <v>13023</v>
      </c>
      <c r="L125" s="205">
        <v>850</v>
      </c>
      <c r="M125" s="209">
        <v>3050</v>
      </c>
      <c r="N125" s="213">
        <v>3986</v>
      </c>
      <c r="O125" s="212">
        <v>0</v>
      </c>
      <c r="P125" s="207" t="s">
        <v>425</v>
      </c>
      <c r="Q125" s="208">
        <v>0.30688524590163935</v>
      </c>
      <c r="R125" s="209">
        <v>15073.099999999999</v>
      </c>
      <c r="S125" s="213">
        <v>21342.690000000002</v>
      </c>
      <c r="T125" s="212">
        <v>0</v>
      </c>
      <c r="U125" s="207" t="s">
        <v>425</v>
      </c>
      <c r="V125" s="208">
        <v>0.41594562498756082</v>
      </c>
      <c r="W125" s="212">
        <v>0</v>
      </c>
      <c r="X125" s="301" t="s">
        <v>425</v>
      </c>
      <c r="Y125" s="302">
        <v>0</v>
      </c>
      <c r="Z125" s="208">
        <v>0</v>
      </c>
      <c r="AA125" s="163"/>
    </row>
    <row r="126" spans="2:27" ht="15" customHeight="1" x14ac:dyDescent="0.25">
      <c r="B126" s="155"/>
      <c r="C126" s="197">
        <v>3</v>
      </c>
      <c r="D126" s="211" t="s">
        <v>111</v>
      </c>
      <c r="E126" s="211" t="s">
        <v>103</v>
      </c>
      <c r="F126" s="199" t="s">
        <v>422</v>
      </c>
      <c r="G126" s="200" t="s">
        <v>426</v>
      </c>
      <c r="H126" s="201" t="s">
        <v>426</v>
      </c>
      <c r="I126" s="202" t="s">
        <v>520</v>
      </c>
      <c r="J126" s="202" t="s">
        <v>439</v>
      </c>
      <c r="K126" s="204">
        <v>13015</v>
      </c>
      <c r="L126" s="205">
        <v>1090</v>
      </c>
      <c r="M126" s="209">
        <v>4745</v>
      </c>
      <c r="N126" s="213">
        <v>4912</v>
      </c>
      <c r="O126" s="212">
        <v>5385.389845863775</v>
      </c>
      <c r="P126" s="207">
        <v>-8.7902614186298855E-2</v>
      </c>
      <c r="Q126" s="208">
        <v>3.5194942044257216E-2</v>
      </c>
      <c r="R126" s="209">
        <v>21740.29</v>
      </c>
      <c r="S126" s="213">
        <v>22404.770000000004</v>
      </c>
      <c r="T126" s="212">
        <v>24997.504215226803</v>
      </c>
      <c r="U126" s="207">
        <v>-0.10371972309329502</v>
      </c>
      <c r="V126" s="208">
        <v>3.056444969225347E-2</v>
      </c>
      <c r="W126" s="212">
        <v>11013.067169455571</v>
      </c>
      <c r="X126" s="301">
        <v>0.44601562166289987</v>
      </c>
      <c r="Y126" s="302">
        <v>51119.640521936199</v>
      </c>
      <c r="Z126" s="208">
        <v>0.43828105540737877</v>
      </c>
      <c r="AA126" s="163"/>
    </row>
    <row r="127" spans="2:27" ht="15" customHeight="1" x14ac:dyDescent="0.25">
      <c r="B127" s="155"/>
      <c r="C127" s="197">
        <v>2</v>
      </c>
      <c r="D127" s="211" t="s">
        <v>111</v>
      </c>
      <c r="E127" s="211" t="s">
        <v>426</v>
      </c>
      <c r="F127" s="199" t="s">
        <v>422</v>
      </c>
      <c r="G127" s="200" t="s">
        <v>426</v>
      </c>
      <c r="H127" s="201" t="s">
        <v>521</v>
      </c>
      <c r="I127" s="202" t="s">
        <v>426</v>
      </c>
      <c r="J127" s="202" t="s">
        <v>426</v>
      </c>
      <c r="K127" s="204" t="s">
        <v>426</v>
      </c>
      <c r="L127" s="205">
        <v>1940</v>
      </c>
      <c r="M127" s="209">
        <v>7795</v>
      </c>
      <c r="N127" s="213">
        <v>8898</v>
      </c>
      <c r="O127" s="212">
        <v>5385.389845863775</v>
      </c>
      <c r="P127" s="207">
        <v>0.65224807389460771</v>
      </c>
      <c r="Q127" s="208">
        <v>0.14150096215522767</v>
      </c>
      <c r="R127" s="209">
        <v>36813.39</v>
      </c>
      <c r="S127" s="213">
        <v>43747.460000000006</v>
      </c>
      <c r="T127" s="212">
        <v>24997.504215226803</v>
      </c>
      <c r="U127" s="207">
        <v>0.75007311223301998</v>
      </c>
      <c r="V127" s="208">
        <v>0.1883572797832529</v>
      </c>
      <c r="W127" s="212">
        <v>11013.067169455571</v>
      </c>
      <c r="X127" s="301">
        <v>0.8079493081344632</v>
      </c>
      <c r="Y127" s="302">
        <v>51119.640521936199</v>
      </c>
      <c r="Z127" s="208">
        <v>0.85578575188194683</v>
      </c>
      <c r="AA127" s="163"/>
    </row>
    <row r="128" spans="2:27" ht="15" customHeight="1" x14ac:dyDescent="0.25">
      <c r="B128" s="155"/>
      <c r="C128" s="197">
        <v>3</v>
      </c>
      <c r="D128" s="211" t="s">
        <v>111</v>
      </c>
      <c r="E128" s="211" t="s">
        <v>106</v>
      </c>
      <c r="F128" s="199" t="s">
        <v>422</v>
      </c>
      <c r="G128" s="200" t="s">
        <v>426</v>
      </c>
      <c r="H128" s="201" t="s">
        <v>106</v>
      </c>
      <c r="I128" s="202" t="s">
        <v>107</v>
      </c>
      <c r="J128" s="202" t="s">
        <v>439</v>
      </c>
      <c r="K128" s="204">
        <v>13145</v>
      </c>
      <c r="L128" s="205">
        <v>1200</v>
      </c>
      <c r="M128" s="209">
        <v>13700</v>
      </c>
      <c r="N128" s="213">
        <v>10892</v>
      </c>
      <c r="O128" s="212">
        <v>26260.999201169943</v>
      </c>
      <c r="P128" s="207">
        <v>-0.58524045804339564</v>
      </c>
      <c r="Q128" s="208">
        <v>-0.204963503649635</v>
      </c>
      <c r="R128" s="209">
        <v>95220.61</v>
      </c>
      <c r="S128" s="213">
        <v>63952.55</v>
      </c>
      <c r="T128" s="212">
        <v>187452.86488684866</v>
      </c>
      <c r="U128" s="207">
        <v>-0.65883396853601894</v>
      </c>
      <c r="V128" s="208">
        <v>-0.32837491799306895</v>
      </c>
      <c r="W128" s="212">
        <v>53703.47484901829</v>
      </c>
      <c r="X128" s="301">
        <v>0.20281741601677955</v>
      </c>
      <c r="Y128" s="302">
        <v>383339.19199764554</v>
      </c>
      <c r="Z128" s="208">
        <v>0.16683018938588673</v>
      </c>
      <c r="AA128" s="163"/>
    </row>
    <row r="129" spans="2:27" ht="15" customHeight="1" x14ac:dyDescent="0.25">
      <c r="B129" s="155"/>
      <c r="C129" s="197">
        <v>3</v>
      </c>
      <c r="D129" s="211" t="s">
        <v>111</v>
      </c>
      <c r="E129" s="211" t="s">
        <v>106</v>
      </c>
      <c r="F129" s="199" t="s">
        <v>422</v>
      </c>
      <c r="G129" s="200" t="s">
        <v>426</v>
      </c>
      <c r="H129" s="201" t="s">
        <v>426</v>
      </c>
      <c r="I129" s="202" t="s">
        <v>522</v>
      </c>
      <c r="J129" s="202" t="s">
        <v>439</v>
      </c>
      <c r="K129" s="204">
        <v>13065</v>
      </c>
      <c r="L129" s="205">
        <v>-24</v>
      </c>
      <c r="M129" s="209">
        <v>5530</v>
      </c>
      <c r="N129" s="213">
        <v>-111</v>
      </c>
      <c r="O129" s="212">
        <v>0</v>
      </c>
      <c r="P129" s="207" t="s">
        <v>425</v>
      </c>
      <c r="Q129" s="208" t="s">
        <v>425</v>
      </c>
      <c r="R129" s="209">
        <v>23759.46</v>
      </c>
      <c r="S129" s="213">
        <v>-635.21999999999991</v>
      </c>
      <c r="T129" s="212">
        <v>0</v>
      </c>
      <c r="U129" s="207" t="s">
        <v>425</v>
      </c>
      <c r="V129" s="208" t="s">
        <v>425</v>
      </c>
      <c r="W129" s="212">
        <v>0</v>
      </c>
      <c r="X129" s="301" t="s">
        <v>425</v>
      </c>
      <c r="Y129" s="302">
        <v>0</v>
      </c>
      <c r="Z129" s="208">
        <v>0</v>
      </c>
      <c r="AA129" s="163"/>
    </row>
    <row r="130" spans="2:27" ht="15" customHeight="1" x14ac:dyDescent="0.25">
      <c r="B130" s="155"/>
      <c r="C130" s="197">
        <v>2</v>
      </c>
      <c r="D130" s="211" t="s">
        <v>111</v>
      </c>
      <c r="E130" s="211" t="s">
        <v>426</v>
      </c>
      <c r="F130" s="199" t="s">
        <v>422</v>
      </c>
      <c r="G130" s="200" t="s">
        <v>426</v>
      </c>
      <c r="H130" s="201" t="s">
        <v>523</v>
      </c>
      <c r="I130" s="202" t="s">
        <v>426</v>
      </c>
      <c r="J130" s="202" t="s">
        <v>426</v>
      </c>
      <c r="K130" s="204" t="s">
        <v>426</v>
      </c>
      <c r="L130" s="205">
        <v>1176</v>
      </c>
      <c r="M130" s="209">
        <v>19230</v>
      </c>
      <c r="N130" s="213">
        <v>10781</v>
      </c>
      <c r="O130" s="212">
        <v>26260.999201169943</v>
      </c>
      <c r="P130" s="207">
        <v>-0.58946725836998237</v>
      </c>
      <c r="Q130" s="208">
        <v>-0.43936557462298487</v>
      </c>
      <c r="R130" s="209">
        <v>118980.07</v>
      </c>
      <c r="S130" s="213">
        <v>63317.33</v>
      </c>
      <c r="T130" s="212">
        <v>187452.86488684866</v>
      </c>
      <c r="U130" s="207">
        <v>-0.66222266041001854</v>
      </c>
      <c r="V130" s="208">
        <v>-0.46783246975732995</v>
      </c>
      <c r="W130" s="212">
        <v>53703.47484901829</v>
      </c>
      <c r="X130" s="301">
        <v>0.20075051065707863</v>
      </c>
      <c r="Y130" s="302">
        <v>383339.19199764554</v>
      </c>
      <c r="Z130" s="208">
        <v>0.16517311905950097</v>
      </c>
      <c r="AA130" s="163"/>
    </row>
    <row r="131" spans="2:27" ht="15" customHeight="1" x14ac:dyDescent="0.25">
      <c r="B131" s="155"/>
      <c r="C131" s="197">
        <v>1</v>
      </c>
      <c r="D131" s="211" t="s">
        <v>111</v>
      </c>
      <c r="E131" s="211" t="s">
        <v>426</v>
      </c>
      <c r="F131" s="199" t="s">
        <v>615</v>
      </c>
      <c r="G131" s="200" t="s">
        <v>524</v>
      </c>
      <c r="H131" s="201" t="s">
        <v>426</v>
      </c>
      <c r="I131" s="202" t="s">
        <v>426</v>
      </c>
      <c r="J131" s="202" t="s">
        <v>426</v>
      </c>
      <c r="K131" s="204" t="s">
        <v>426</v>
      </c>
      <c r="L131" s="205">
        <v>39426</v>
      </c>
      <c r="M131" s="209">
        <v>263153</v>
      </c>
      <c r="N131" s="213">
        <v>367808</v>
      </c>
      <c r="O131" s="212">
        <v>330623.04527765629</v>
      </c>
      <c r="P131" s="207">
        <v>0.11246933706970097</v>
      </c>
      <c r="Q131" s="208">
        <v>0.39769639715298699</v>
      </c>
      <c r="R131" s="209">
        <v>2355072.34</v>
      </c>
      <c r="S131" s="213">
        <v>3823342.96</v>
      </c>
      <c r="T131" s="212">
        <v>3562277.7301830696</v>
      </c>
      <c r="U131" s="207">
        <v>7.328604044679965E-2</v>
      </c>
      <c r="V131" s="208">
        <v>0.62345032679548185</v>
      </c>
      <c r="W131" s="212">
        <v>692696.62334802782</v>
      </c>
      <c r="X131" s="301">
        <v>0.5309799233931074</v>
      </c>
      <c r="Y131" s="302">
        <v>7370823.8331186799</v>
      </c>
      <c r="Z131" s="208">
        <v>0.51871311084941507</v>
      </c>
      <c r="AA131" s="163"/>
    </row>
    <row r="132" spans="2:27" ht="15" customHeight="1" x14ac:dyDescent="0.25">
      <c r="B132" s="155"/>
      <c r="C132" s="197">
        <v>3</v>
      </c>
      <c r="D132" s="211" t="s">
        <v>111</v>
      </c>
      <c r="E132" s="211" t="s">
        <v>87</v>
      </c>
      <c r="F132" s="199" t="s">
        <v>403</v>
      </c>
      <c r="G132" s="200" t="s">
        <v>426</v>
      </c>
      <c r="H132" s="201" t="s">
        <v>87</v>
      </c>
      <c r="I132" s="202" t="s">
        <v>525</v>
      </c>
      <c r="J132" s="202" t="s">
        <v>429</v>
      </c>
      <c r="K132" s="204">
        <v>13102</v>
      </c>
      <c r="L132" s="205">
        <v>6276</v>
      </c>
      <c r="M132" s="209">
        <v>21591</v>
      </c>
      <c r="N132" s="213">
        <v>-465</v>
      </c>
      <c r="O132" s="212">
        <v>0</v>
      </c>
      <c r="P132" s="207" t="s">
        <v>425</v>
      </c>
      <c r="Q132" s="208" t="s">
        <v>425</v>
      </c>
      <c r="R132" s="209">
        <v>30609.949999999997</v>
      </c>
      <c r="S132" s="213">
        <v>-613.80000000000007</v>
      </c>
      <c r="T132" s="212">
        <v>0</v>
      </c>
      <c r="U132" s="207" t="s">
        <v>425</v>
      </c>
      <c r="V132" s="208" t="s">
        <v>425</v>
      </c>
      <c r="W132" s="212">
        <v>0</v>
      </c>
      <c r="X132" s="301" t="s">
        <v>425</v>
      </c>
      <c r="Y132" s="302">
        <v>0</v>
      </c>
      <c r="Z132" s="208">
        <v>0</v>
      </c>
      <c r="AA132" s="163"/>
    </row>
    <row r="133" spans="2:27" ht="15" customHeight="1" x14ac:dyDescent="0.25">
      <c r="B133" s="155"/>
      <c r="C133" s="197">
        <v>3</v>
      </c>
      <c r="D133" s="211" t="s">
        <v>111</v>
      </c>
      <c r="E133" s="211" t="s">
        <v>87</v>
      </c>
      <c r="F133" s="199" t="s">
        <v>403</v>
      </c>
      <c r="G133" s="200" t="s">
        <v>426</v>
      </c>
      <c r="H133" s="201" t="s">
        <v>426</v>
      </c>
      <c r="I133" s="202" t="s">
        <v>526</v>
      </c>
      <c r="J133" s="202" t="s">
        <v>429</v>
      </c>
      <c r="K133" s="204">
        <v>13153</v>
      </c>
      <c r="L133" s="205">
        <v>9084</v>
      </c>
      <c r="M133" s="209">
        <v>9084</v>
      </c>
      <c r="N133" s="213">
        <v>11432</v>
      </c>
      <c r="O133" s="212">
        <v>45399.313390636351</v>
      </c>
      <c r="P133" s="207">
        <v>-0.74819002433728743</v>
      </c>
      <c r="Q133" s="208">
        <v>0.25847644209599285</v>
      </c>
      <c r="R133" s="209">
        <v>15897</v>
      </c>
      <c r="S133" s="213">
        <v>16323.27</v>
      </c>
      <c r="T133" s="212">
        <v>79448.7984336136</v>
      </c>
      <c r="U133" s="207">
        <v>-0.79454352587044452</v>
      </c>
      <c r="V133" s="208">
        <v>2.6814493300622688E-2</v>
      </c>
      <c r="W133" s="212">
        <v>92841.131678192934</v>
      </c>
      <c r="X133" s="301">
        <v>0.12313507809906646</v>
      </c>
      <c r="Y133" s="302">
        <v>162471.98043683765</v>
      </c>
      <c r="Z133" s="208">
        <v>0.10046821584935262</v>
      </c>
      <c r="AA133" s="163"/>
    </row>
    <row r="134" spans="2:27" ht="15" customHeight="1" x14ac:dyDescent="0.25">
      <c r="B134" s="155"/>
      <c r="C134" s="197">
        <v>3</v>
      </c>
      <c r="D134" s="211" t="s">
        <v>111</v>
      </c>
      <c r="E134" s="211" t="s">
        <v>87</v>
      </c>
      <c r="F134" s="199" t="s">
        <v>403</v>
      </c>
      <c r="G134" s="200" t="s">
        <v>426</v>
      </c>
      <c r="H134" s="201" t="s">
        <v>426</v>
      </c>
      <c r="I134" s="202" t="s">
        <v>527</v>
      </c>
      <c r="J134" s="202" t="s">
        <v>429</v>
      </c>
      <c r="K134" s="204">
        <v>13101</v>
      </c>
      <c r="L134" s="205">
        <v>6017</v>
      </c>
      <c r="M134" s="209">
        <v>34268</v>
      </c>
      <c r="N134" s="213">
        <v>-190</v>
      </c>
      <c r="O134" s="212">
        <v>0</v>
      </c>
      <c r="P134" s="207" t="s">
        <v>425</v>
      </c>
      <c r="Q134" s="208" t="s">
        <v>425</v>
      </c>
      <c r="R134" s="209">
        <v>69631.95</v>
      </c>
      <c r="S134" s="213">
        <v>-378.37000000000006</v>
      </c>
      <c r="T134" s="212">
        <v>0</v>
      </c>
      <c r="U134" s="207" t="s">
        <v>425</v>
      </c>
      <c r="V134" s="208" t="s">
        <v>425</v>
      </c>
      <c r="W134" s="212">
        <v>0</v>
      </c>
      <c r="X134" s="301" t="s">
        <v>425</v>
      </c>
      <c r="Y134" s="302">
        <v>0</v>
      </c>
      <c r="Z134" s="208">
        <v>0</v>
      </c>
      <c r="AA134" s="163"/>
    </row>
    <row r="135" spans="2:27" ht="15" customHeight="1" x14ac:dyDescent="0.25">
      <c r="B135" s="155"/>
      <c r="C135" s="197">
        <v>3</v>
      </c>
      <c r="D135" s="211" t="s">
        <v>111</v>
      </c>
      <c r="E135" s="211" t="s">
        <v>87</v>
      </c>
      <c r="F135" s="199" t="s">
        <v>403</v>
      </c>
      <c r="G135" s="200" t="s">
        <v>426</v>
      </c>
      <c r="H135" s="201" t="s">
        <v>426</v>
      </c>
      <c r="I135" s="202" t="s">
        <v>528</v>
      </c>
      <c r="J135" s="202" t="s">
        <v>429</v>
      </c>
      <c r="K135" s="204">
        <v>13152</v>
      </c>
      <c r="L135" s="205">
        <v>8963</v>
      </c>
      <c r="M135" s="209">
        <v>8963</v>
      </c>
      <c r="N135" s="213">
        <v>15468</v>
      </c>
      <c r="O135" s="212">
        <v>47540.96735265325</v>
      </c>
      <c r="P135" s="207">
        <v>-0.67463850945101278</v>
      </c>
      <c r="Q135" s="208">
        <v>0.72576146379560424</v>
      </c>
      <c r="R135" s="209">
        <v>22048.98</v>
      </c>
      <c r="S135" s="213">
        <v>29697.750000000004</v>
      </c>
      <c r="T135" s="212">
        <v>116950.77968752701</v>
      </c>
      <c r="U135" s="207">
        <v>-0.74606625044016428</v>
      </c>
      <c r="V135" s="208">
        <v>0.34689904022771145</v>
      </c>
      <c r="W135" s="212">
        <v>97220.792132215254</v>
      </c>
      <c r="X135" s="301">
        <v>0.1591017688784547</v>
      </c>
      <c r="Y135" s="302">
        <v>239163.14864524952</v>
      </c>
      <c r="Z135" s="208">
        <v>0.12417360353475965</v>
      </c>
      <c r="AA135" s="163"/>
    </row>
    <row r="136" spans="2:27" ht="15" customHeight="1" x14ac:dyDescent="0.25">
      <c r="B136" s="155"/>
      <c r="C136" s="197">
        <v>3</v>
      </c>
      <c r="D136" s="211" t="s">
        <v>111</v>
      </c>
      <c r="E136" s="211" t="s">
        <v>87</v>
      </c>
      <c r="F136" s="199" t="s">
        <v>403</v>
      </c>
      <c r="G136" s="200" t="s">
        <v>426</v>
      </c>
      <c r="H136" s="201" t="s">
        <v>426</v>
      </c>
      <c r="I136" s="202" t="s">
        <v>529</v>
      </c>
      <c r="J136" s="202" t="s">
        <v>429</v>
      </c>
      <c r="K136" s="204">
        <v>13105</v>
      </c>
      <c r="L136" s="205">
        <v>2513</v>
      </c>
      <c r="M136" s="209">
        <v>19905</v>
      </c>
      <c r="N136" s="213">
        <v>-609</v>
      </c>
      <c r="O136" s="212">
        <v>0</v>
      </c>
      <c r="P136" s="207" t="s">
        <v>425</v>
      </c>
      <c r="Q136" s="208" t="s">
        <v>425</v>
      </c>
      <c r="R136" s="209">
        <v>26937.43</v>
      </c>
      <c r="S136" s="213">
        <v>-808.68000000000006</v>
      </c>
      <c r="T136" s="212">
        <v>0</v>
      </c>
      <c r="U136" s="207" t="s">
        <v>425</v>
      </c>
      <c r="V136" s="208" t="s">
        <v>425</v>
      </c>
      <c r="W136" s="212">
        <v>0</v>
      </c>
      <c r="X136" s="301" t="s">
        <v>425</v>
      </c>
      <c r="Y136" s="302">
        <v>0</v>
      </c>
      <c r="Z136" s="208">
        <v>0</v>
      </c>
      <c r="AA136" s="163"/>
    </row>
    <row r="137" spans="2:27" ht="15" customHeight="1" x14ac:dyDescent="0.25">
      <c r="B137" s="155"/>
      <c r="C137" s="197">
        <v>3</v>
      </c>
      <c r="D137" s="211" t="s">
        <v>111</v>
      </c>
      <c r="E137" s="211" t="s">
        <v>87</v>
      </c>
      <c r="F137" s="199" t="s">
        <v>403</v>
      </c>
      <c r="G137" s="200" t="s">
        <v>426</v>
      </c>
      <c r="H137" s="201" t="s">
        <v>426</v>
      </c>
      <c r="I137" s="202" t="s">
        <v>530</v>
      </c>
      <c r="J137" s="202" t="s">
        <v>429</v>
      </c>
      <c r="K137" s="204">
        <v>13104</v>
      </c>
      <c r="L137" s="205">
        <v>681</v>
      </c>
      <c r="M137" s="209">
        <v>25860</v>
      </c>
      <c r="N137" s="213">
        <v>-339</v>
      </c>
      <c r="O137" s="212">
        <v>0</v>
      </c>
      <c r="P137" s="207" t="s">
        <v>425</v>
      </c>
      <c r="Q137" s="208" t="s">
        <v>425</v>
      </c>
      <c r="R137" s="209">
        <v>51967.39</v>
      </c>
      <c r="S137" s="213">
        <v>-672.43</v>
      </c>
      <c r="T137" s="212">
        <v>0</v>
      </c>
      <c r="U137" s="207" t="s">
        <v>425</v>
      </c>
      <c r="V137" s="208" t="s">
        <v>425</v>
      </c>
      <c r="W137" s="212">
        <v>0</v>
      </c>
      <c r="X137" s="301" t="s">
        <v>425</v>
      </c>
      <c r="Y137" s="302">
        <v>0</v>
      </c>
      <c r="Z137" s="208">
        <v>0</v>
      </c>
      <c r="AA137" s="163"/>
    </row>
    <row r="138" spans="2:27" ht="15" customHeight="1" x14ac:dyDescent="0.25">
      <c r="B138" s="155"/>
      <c r="C138" s="197">
        <v>3</v>
      </c>
      <c r="D138" s="211" t="s">
        <v>111</v>
      </c>
      <c r="E138" s="211" t="s">
        <v>87</v>
      </c>
      <c r="F138" s="199" t="s">
        <v>403</v>
      </c>
      <c r="G138" s="200" t="s">
        <v>426</v>
      </c>
      <c r="H138" s="201" t="s">
        <v>426</v>
      </c>
      <c r="I138" s="202" t="s">
        <v>531</v>
      </c>
      <c r="J138" s="202" t="s">
        <v>429</v>
      </c>
      <c r="K138" s="204">
        <v>13157</v>
      </c>
      <c r="L138" s="205">
        <v>9086</v>
      </c>
      <c r="M138" s="209">
        <v>9086</v>
      </c>
      <c r="N138" s="213">
        <v>21734</v>
      </c>
      <c r="O138" s="212">
        <v>41349.677275197741</v>
      </c>
      <c r="P138" s="207">
        <v>-0.47438525685818511</v>
      </c>
      <c r="Q138" s="208">
        <v>1.392031697116443</v>
      </c>
      <c r="R138" s="209">
        <v>22351.56</v>
      </c>
      <c r="S138" s="213">
        <v>46303.13</v>
      </c>
      <c r="T138" s="212">
        <v>101720.20609698645</v>
      </c>
      <c r="U138" s="207">
        <v>-0.54479909374297097</v>
      </c>
      <c r="V138" s="208">
        <v>1.0715838178632717</v>
      </c>
      <c r="W138" s="212">
        <v>84559.66722944325</v>
      </c>
      <c r="X138" s="301">
        <v>0.25702560939634744</v>
      </c>
      <c r="Y138" s="302">
        <v>208016.78138443033</v>
      </c>
      <c r="Z138" s="208">
        <v>0.2225932431596872</v>
      </c>
      <c r="AA138" s="163"/>
    </row>
    <row r="139" spans="2:27" ht="15" customHeight="1" x14ac:dyDescent="0.25">
      <c r="B139" s="155"/>
      <c r="C139" s="197">
        <v>3</v>
      </c>
      <c r="D139" s="211" t="s">
        <v>111</v>
      </c>
      <c r="E139" s="211" t="s">
        <v>87</v>
      </c>
      <c r="F139" s="199" t="s">
        <v>403</v>
      </c>
      <c r="G139" s="200" t="s">
        <v>426</v>
      </c>
      <c r="H139" s="201" t="s">
        <v>426</v>
      </c>
      <c r="I139" s="202" t="s">
        <v>532</v>
      </c>
      <c r="J139" s="202" t="s">
        <v>429</v>
      </c>
      <c r="K139" s="204">
        <v>13151</v>
      </c>
      <c r="L139" s="205">
        <v>0</v>
      </c>
      <c r="M139" s="209">
        <v>0</v>
      </c>
      <c r="N139" s="213">
        <v>6329</v>
      </c>
      <c r="O139" s="212">
        <v>5280.6625739503907</v>
      </c>
      <c r="P139" s="207">
        <v>0.19852384267479573</v>
      </c>
      <c r="Q139" s="208" t="s">
        <v>425</v>
      </c>
      <c r="R139" s="209">
        <v>0</v>
      </c>
      <c r="S139" s="213">
        <v>10711.74</v>
      </c>
      <c r="T139" s="212">
        <v>9448.4255104407366</v>
      </c>
      <c r="U139" s="207">
        <v>0.13370635013878984</v>
      </c>
      <c r="V139" s="208" t="s">
        <v>425</v>
      </c>
      <c r="W139" s="212">
        <v>10798.900969223703</v>
      </c>
      <c r="X139" s="301">
        <v>0.58607815906797511</v>
      </c>
      <c r="Y139" s="302">
        <v>19321.933559183512</v>
      </c>
      <c r="Z139" s="208">
        <v>0.55438240521786819</v>
      </c>
      <c r="AA139" s="163"/>
    </row>
    <row r="140" spans="2:27" ht="15" customHeight="1" x14ac:dyDescent="0.25">
      <c r="B140" s="155"/>
      <c r="C140" s="197">
        <v>3</v>
      </c>
      <c r="D140" s="211" t="s">
        <v>111</v>
      </c>
      <c r="E140" s="211" t="s">
        <v>87</v>
      </c>
      <c r="F140" s="199" t="s">
        <v>403</v>
      </c>
      <c r="G140" s="200" t="s">
        <v>426</v>
      </c>
      <c r="H140" s="201" t="s">
        <v>426</v>
      </c>
      <c r="I140" s="202" t="s">
        <v>533</v>
      </c>
      <c r="J140" s="202" t="s">
        <v>429</v>
      </c>
      <c r="K140" s="204">
        <v>13150</v>
      </c>
      <c r="L140" s="205">
        <v>0</v>
      </c>
      <c r="M140" s="209">
        <v>0</v>
      </c>
      <c r="N140" s="213">
        <v>18667</v>
      </c>
      <c r="O140" s="212">
        <v>18594.162941606261</v>
      </c>
      <c r="P140" s="207">
        <v>3.9172001784903987E-3</v>
      </c>
      <c r="Q140" s="208" t="s">
        <v>425</v>
      </c>
      <c r="R140" s="209">
        <v>0</v>
      </c>
      <c r="S140" s="213">
        <v>46832.4</v>
      </c>
      <c r="T140" s="212">
        <v>48567.333798044172</v>
      </c>
      <c r="U140" s="207">
        <v>-3.5722236786941752E-2</v>
      </c>
      <c r="V140" s="208" t="s">
        <v>425</v>
      </c>
      <c r="W140" s="212">
        <v>38024.873091219342</v>
      </c>
      <c r="X140" s="301">
        <v>0.49091551088728186</v>
      </c>
      <c r="Y140" s="302">
        <v>99319.701018495238</v>
      </c>
      <c r="Z140" s="208">
        <v>0.4715318262111855</v>
      </c>
      <c r="AA140" s="163"/>
    </row>
    <row r="141" spans="2:27" ht="15" customHeight="1" x14ac:dyDescent="0.25">
      <c r="B141" s="155"/>
      <c r="C141" s="197">
        <v>3</v>
      </c>
      <c r="D141" s="211" t="s">
        <v>111</v>
      </c>
      <c r="E141" s="211" t="s">
        <v>87</v>
      </c>
      <c r="F141" s="199" t="s">
        <v>403</v>
      </c>
      <c r="G141" s="200" t="s">
        <v>426</v>
      </c>
      <c r="H141" s="201" t="s">
        <v>426</v>
      </c>
      <c r="I141" s="202" t="s">
        <v>534</v>
      </c>
      <c r="J141" s="202" t="s">
        <v>429</v>
      </c>
      <c r="K141" s="204">
        <v>13099</v>
      </c>
      <c r="L141" s="205">
        <v>288</v>
      </c>
      <c r="M141" s="209">
        <v>21859</v>
      </c>
      <c r="N141" s="213">
        <v>-497</v>
      </c>
      <c r="O141" s="212">
        <v>0</v>
      </c>
      <c r="P141" s="207" t="s">
        <v>425</v>
      </c>
      <c r="Q141" s="208" t="s">
        <v>425</v>
      </c>
      <c r="R141" s="209">
        <v>28908</v>
      </c>
      <c r="S141" s="213">
        <v>-656.44000000000017</v>
      </c>
      <c r="T141" s="212">
        <v>0</v>
      </c>
      <c r="U141" s="207" t="s">
        <v>425</v>
      </c>
      <c r="V141" s="208" t="s">
        <v>425</v>
      </c>
      <c r="W141" s="212">
        <v>0</v>
      </c>
      <c r="X141" s="301" t="s">
        <v>425</v>
      </c>
      <c r="Y141" s="302">
        <v>0</v>
      </c>
      <c r="Z141" s="208">
        <v>0</v>
      </c>
      <c r="AA141" s="163"/>
    </row>
    <row r="142" spans="2:27" ht="15" customHeight="1" x14ac:dyDescent="0.25">
      <c r="B142" s="155"/>
      <c r="C142" s="197">
        <v>3</v>
      </c>
      <c r="D142" s="211" t="s">
        <v>111</v>
      </c>
      <c r="E142" s="211" t="s">
        <v>87</v>
      </c>
      <c r="F142" s="199" t="s">
        <v>403</v>
      </c>
      <c r="G142" s="200" t="s">
        <v>426</v>
      </c>
      <c r="H142" s="201" t="s">
        <v>426</v>
      </c>
      <c r="I142" s="202" t="s">
        <v>535</v>
      </c>
      <c r="J142" s="202" t="s">
        <v>429</v>
      </c>
      <c r="K142" s="204">
        <v>13155</v>
      </c>
      <c r="L142" s="205">
        <v>9102</v>
      </c>
      <c r="M142" s="209">
        <v>9102</v>
      </c>
      <c r="N142" s="213">
        <v>16418</v>
      </c>
      <c r="O142" s="212">
        <v>49084.979467754849</v>
      </c>
      <c r="P142" s="207">
        <v>-0.66551885774373409</v>
      </c>
      <c r="Q142" s="208">
        <v>0.80377938914524272</v>
      </c>
      <c r="R142" s="209">
        <v>15928.5</v>
      </c>
      <c r="S142" s="213">
        <v>24543.279999999999</v>
      </c>
      <c r="T142" s="212">
        <v>85898.714068570975</v>
      </c>
      <c r="U142" s="207">
        <v>-0.71427651430954298</v>
      </c>
      <c r="V142" s="208">
        <v>0.54084063157233886</v>
      </c>
      <c r="W142" s="212">
        <v>100378.28112015304</v>
      </c>
      <c r="X142" s="301">
        <v>0.16356127856331407</v>
      </c>
      <c r="Y142" s="302">
        <v>175661.99196026786</v>
      </c>
      <c r="Z142" s="208">
        <v>0.13971878450263348</v>
      </c>
      <c r="AA142" s="163"/>
    </row>
    <row r="143" spans="2:27" ht="15" customHeight="1" x14ac:dyDescent="0.25">
      <c r="B143" s="155"/>
      <c r="C143" s="197">
        <v>3</v>
      </c>
      <c r="D143" s="211" t="s">
        <v>111</v>
      </c>
      <c r="E143" s="211" t="s">
        <v>87</v>
      </c>
      <c r="F143" s="199" t="s">
        <v>403</v>
      </c>
      <c r="G143" s="200" t="s">
        <v>426</v>
      </c>
      <c r="H143" s="201" t="s">
        <v>426</v>
      </c>
      <c r="I143" s="202" t="s">
        <v>536</v>
      </c>
      <c r="J143" s="202" t="s">
        <v>429</v>
      </c>
      <c r="K143" s="204">
        <v>13098</v>
      </c>
      <c r="L143" s="205">
        <v>-1</v>
      </c>
      <c r="M143" s="209">
        <v>33702</v>
      </c>
      <c r="N143" s="213">
        <v>-434</v>
      </c>
      <c r="O143" s="212">
        <v>0</v>
      </c>
      <c r="P143" s="207" t="s">
        <v>425</v>
      </c>
      <c r="Q143" s="208" t="s">
        <v>425</v>
      </c>
      <c r="R143" s="209">
        <v>69746.05</v>
      </c>
      <c r="S143" s="213">
        <v>-859.34</v>
      </c>
      <c r="T143" s="212">
        <v>0</v>
      </c>
      <c r="U143" s="207" t="s">
        <v>425</v>
      </c>
      <c r="V143" s="208" t="s">
        <v>425</v>
      </c>
      <c r="W143" s="212">
        <v>0</v>
      </c>
      <c r="X143" s="301" t="s">
        <v>425</v>
      </c>
      <c r="Y143" s="302">
        <v>0</v>
      </c>
      <c r="Z143" s="208">
        <v>0</v>
      </c>
      <c r="AA143" s="163"/>
    </row>
    <row r="144" spans="2:27" ht="15" customHeight="1" x14ac:dyDescent="0.25">
      <c r="B144" s="155"/>
      <c r="C144" s="197">
        <v>3</v>
      </c>
      <c r="D144" s="211" t="s">
        <v>111</v>
      </c>
      <c r="E144" s="211" t="s">
        <v>87</v>
      </c>
      <c r="F144" s="199" t="s">
        <v>403</v>
      </c>
      <c r="G144" s="200" t="s">
        <v>426</v>
      </c>
      <c r="H144" s="201" t="s">
        <v>426</v>
      </c>
      <c r="I144" s="202" t="s">
        <v>537</v>
      </c>
      <c r="J144" s="202" t="s">
        <v>429</v>
      </c>
      <c r="K144" s="204">
        <v>13154</v>
      </c>
      <c r="L144" s="205">
        <v>9065</v>
      </c>
      <c r="M144" s="209">
        <v>9065</v>
      </c>
      <c r="N144" s="213">
        <v>15230</v>
      </c>
      <c r="O144" s="212">
        <v>48028.460279572493</v>
      </c>
      <c r="P144" s="207">
        <v>-0.68289635121870362</v>
      </c>
      <c r="Q144" s="208">
        <v>0.68008825151682295</v>
      </c>
      <c r="R144" s="209">
        <v>22299.9</v>
      </c>
      <c r="S144" s="213">
        <v>29230.83</v>
      </c>
      <c r="T144" s="212">
        <v>118150.01228774831</v>
      </c>
      <c r="U144" s="207">
        <v>-0.75259562454543116</v>
      </c>
      <c r="V144" s="208">
        <v>0.31080542962076052</v>
      </c>
      <c r="W144" s="212">
        <v>98217.71018317483</v>
      </c>
      <c r="X144" s="301">
        <v>0.15506368425405395</v>
      </c>
      <c r="Y144" s="302">
        <v>241615.56705061006</v>
      </c>
      <c r="Z144" s="208">
        <v>0.12098073959728414</v>
      </c>
      <c r="AA144" s="163"/>
    </row>
    <row r="145" spans="2:27" ht="15" customHeight="1" x14ac:dyDescent="0.25">
      <c r="B145" s="155"/>
      <c r="C145" s="197">
        <v>3</v>
      </c>
      <c r="D145" s="211" t="s">
        <v>111</v>
      </c>
      <c r="E145" s="211" t="s">
        <v>87</v>
      </c>
      <c r="F145" s="199" t="s">
        <v>403</v>
      </c>
      <c r="G145" s="200" t="s">
        <v>426</v>
      </c>
      <c r="H145" s="201" t="s">
        <v>426</v>
      </c>
      <c r="I145" s="202" t="s">
        <v>538</v>
      </c>
      <c r="J145" s="202" t="s">
        <v>429</v>
      </c>
      <c r="K145" s="204">
        <v>13096</v>
      </c>
      <c r="L145" s="205">
        <v>6054</v>
      </c>
      <c r="M145" s="209">
        <v>11491</v>
      </c>
      <c r="N145" s="213">
        <v>-539</v>
      </c>
      <c r="O145" s="212">
        <v>0</v>
      </c>
      <c r="P145" s="207" t="s">
        <v>425</v>
      </c>
      <c r="Q145" s="208" t="s">
        <v>425</v>
      </c>
      <c r="R145" s="209">
        <v>16669.490000000002</v>
      </c>
      <c r="S145" s="213">
        <v>-732.48</v>
      </c>
      <c r="T145" s="212">
        <v>0</v>
      </c>
      <c r="U145" s="207" t="s">
        <v>425</v>
      </c>
      <c r="V145" s="208" t="s">
        <v>425</v>
      </c>
      <c r="W145" s="212">
        <v>0</v>
      </c>
      <c r="X145" s="301" t="s">
        <v>425</v>
      </c>
      <c r="Y145" s="302">
        <v>0</v>
      </c>
      <c r="Z145" s="208">
        <v>0</v>
      </c>
      <c r="AA145" s="163"/>
    </row>
    <row r="146" spans="2:27" ht="15" customHeight="1" x14ac:dyDescent="0.25">
      <c r="B146" s="155"/>
      <c r="C146" s="197">
        <v>3</v>
      </c>
      <c r="D146" s="211" t="s">
        <v>111</v>
      </c>
      <c r="E146" s="211" t="s">
        <v>87</v>
      </c>
      <c r="F146" s="199" t="s">
        <v>403</v>
      </c>
      <c r="G146" s="200" t="s">
        <v>426</v>
      </c>
      <c r="H146" s="201" t="s">
        <v>426</v>
      </c>
      <c r="I146" s="202" t="s">
        <v>539</v>
      </c>
      <c r="J146" s="202" t="s">
        <v>429</v>
      </c>
      <c r="K146" s="204">
        <v>13095</v>
      </c>
      <c r="L146" s="205">
        <v>-7</v>
      </c>
      <c r="M146" s="209">
        <v>12830</v>
      </c>
      <c r="N146" s="213">
        <v>-145</v>
      </c>
      <c r="O146" s="212">
        <v>0</v>
      </c>
      <c r="P146" s="207" t="s">
        <v>425</v>
      </c>
      <c r="Q146" s="208" t="s">
        <v>425</v>
      </c>
      <c r="R146" s="209">
        <v>24687.15</v>
      </c>
      <c r="S146" s="213">
        <v>-287.44</v>
      </c>
      <c r="T146" s="212">
        <v>0</v>
      </c>
      <c r="U146" s="207" t="s">
        <v>425</v>
      </c>
      <c r="V146" s="208" t="s">
        <v>425</v>
      </c>
      <c r="W146" s="212">
        <v>0</v>
      </c>
      <c r="X146" s="301" t="s">
        <v>425</v>
      </c>
      <c r="Y146" s="302">
        <v>0</v>
      </c>
      <c r="Z146" s="208">
        <v>0</v>
      </c>
      <c r="AA146" s="163"/>
    </row>
    <row r="147" spans="2:27" ht="15" customHeight="1" x14ac:dyDescent="0.25">
      <c r="B147" s="155"/>
      <c r="C147" s="197">
        <v>3</v>
      </c>
      <c r="D147" s="211" t="s">
        <v>111</v>
      </c>
      <c r="E147" s="211" t="s">
        <v>87</v>
      </c>
      <c r="F147" s="199" t="s">
        <v>403</v>
      </c>
      <c r="G147" s="200" t="s">
        <v>426</v>
      </c>
      <c r="H147" s="201" t="s">
        <v>426</v>
      </c>
      <c r="I147" s="202" t="s">
        <v>540</v>
      </c>
      <c r="J147" s="202" t="s">
        <v>429</v>
      </c>
      <c r="K147" s="204">
        <v>13093</v>
      </c>
      <c r="L147" s="205">
        <v>1258</v>
      </c>
      <c r="M147" s="209">
        <v>13187</v>
      </c>
      <c r="N147" s="213">
        <v>28000</v>
      </c>
      <c r="O147" s="212">
        <v>15863.394320290858</v>
      </c>
      <c r="P147" s="207">
        <v>0.76506991093231647</v>
      </c>
      <c r="Q147" s="208">
        <v>1.1233032532039129</v>
      </c>
      <c r="R147" s="209">
        <v>65329.43</v>
      </c>
      <c r="S147" s="213">
        <v>141878.01999999999</v>
      </c>
      <c r="T147" s="212">
        <v>78588.496914373172</v>
      </c>
      <c r="U147" s="207">
        <v>0.80532807688871455</v>
      </c>
      <c r="V147" s="208">
        <v>1.1717320968512963</v>
      </c>
      <c r="W147" s="212">
        <v>32440.479182598894</v>
      </c>
      <c r="X147" s="301">
        <v>0.86311918644590269</v>
      </c>
      <c r="Y147" s="302">
        <v>160712.67262652999</v>
      </c>
      <c r="Z147" s="208">
        <v>0.88280542959858144</v>
      </c>
      <c r="AA147" s="163"/>
    </row>
    <row r="148" spans="2:27" ht="15" customHeight="1" x14ac:dyDescent="0.25">
      <c r="B148" s="155"/>
      <c r="C148" s="197">
        <v>3</v>
      </c>
      <c r="D148" s="211" t="s">
        <v>111</v>
      </c>
      <c r="E148" s="211" t="s">
        <v>87</v>
      </c>
      <c r="F148" s="199" t="s">
        <v>403</v>
      </c>
      <c r="G148" s="200" t="s">
        <v>426</v>
      </c>
      <c r="H148" s="201" t="s">
        <v>426</v>
      </c>
      <c r="I148" s="202" t="s">
        <v>541</v>
      </c>
      <c r="J148" s="202" t="s">
        <v>429</v>
      </c>
      <c r="K148" s="204">
        <v>13091</v>
      </c>
      <c r="L148" s="205">
        <v>6098</v>
      </c>
      <c r="M148" s="209">
        <v>27207</v>
      </c>
      <c r="N148" s="213">
        <v>29397</v>
      </c>
      <c r="O148" s="212">
        <v>20725.984280765675</v>
      </c>
      <c r="P148" s="207">
        <v>0.41836448401059934</v>
      </c>
      <c r="Q148" s="208">
        <v>8.049399051714623E-2</v>
      </c>
      <c r="R148" s="209">
        <v>141198.82999999999</v>
      </c>
      <c r="S148" s="213">
        <v>152397.95000000001</v>
      </c>
      <c r="T148" s="212">
        <v>107563.66857950177</v>
      </c>
      <c r="U148" s="207">
        <v>0.4168162169679126</v>
      </c>
      <c r="V148" s="208">
        <v>7.9314538229530829E-2</v>
      </c>
      <c r="W148" s="212">
        <v>42384.425932036145</v>
      </c>
      <c r="X148" s="301">
        <v>0.69358023268118307</v>
      </c>
      <c r="Y148" s="302">
        <v>219966.60241206907</v>
      </c>
      <c r="Z148" s="208">
        <v>0.69282313009730923</v>
      </c>
      <c r="AA148" s="163"/>
    </row>
    <row r="149" spans="2:27" ht="15" customHeight="1" x14ac:dyDescent="0.25">
      <c r="B149" s="155"/>
      <c r="C149" s="197">
        <v>3</v>
      </c>
      <c r="D149" s="211" t="s">
        <v>111</v>
      </c>
      <c r="E149" s="211" t="s">
        <v>87</v>
      </c>
      <c r="F149" s="199" t="s">
        <v>403</v>
      </c>
      <c r="G149" s="200" t="s">
        <v>426</v>
      </c>
      <c r="H149" s="201" t="s">
        <v>426</v>
      </c>
      <c r="I149" s="202" t="s">
        <v>542</v>
      </c>
      <c r="J149" s="202" t="s">
        <v>429</v>
      </c>
      <c r="K149" s="204">
        <v>13089</v>
      </c>
      <c r="L149" s="205">
        <v>2650</v>
      </c>
      <c r="M149" s="209">
        <v>27333</v>
      </c>
      <c r="N149" s="213">
        <v>31536</v>
      </c>
      <c r="O149" s="212">
        <v>21303.357240512676</v>
      </c>
      <c r="P149" s="207">
        <v>0.48033005520969563</v>
      </c>
      <c r="Q149" s="208">
        <v>0.15377016792887721</v>
      </c>
      <c r="R149" s="209">
        <v>142191.38</v>
      </c>
      <c r="S149" s="213">
        <v>158786.21</v>
      </c>
      <c r="T149" s="212">
        <v>110824.05021993522</v>
      </c>
      <c r="U149" s="207">
        <v>0.43277753957630805</v>
      </c>
      <c r="V149" s="208">
        <v>0.1167077075980274</v>
      </c>
      <c r="W149" s="212">
        <v>43565.14773110977</v>
      </c>
      <c r="X149" s="301">
        <v>0.72388139699754117</v>
      </c>
      <c r="Y149" s="302">
        <v>226634.04952951986</v>
      </c>
      <c r="Z149" s="208">
        <v>0.70062821685281473</v>
      </c>
      <c r="AA149" s="163"/>
    </row>
    <row r="150" spans="2:27" ht="15" customHeight="1" x14ac:dyDescent="0.25">
      <c r="B150" s="155"/>
      <c r="C150" s="197">
        <v>3</v>
      </c>
      <c r="D150" s="211" t="s">
        <v>111</v>
      </c>
      <c r="E150" s="211" t="s">
        <v>87</v>
      </c>
      <c r="F150" s="199" t="s">
        <v>403</v>
      </c>
      <c r="G150" s="200" t="s">
        <v>426</v>
      </c>
      <c r="H150" s="201" t="s">
        <v>426</v>
      </c>
      <c r="I150" s="202" t="s">
        <v>543</v>
      </c>
      <c r="J150" s="202" t="s">
        <v>429</v>
      </c>
      <c r="K150" s="204">
        <v>13108</v>
      </c>
      <c r="L150" s="205">
        <v>9026</v>
      </c>
      <c r="M150" s="209">
        <v>9026</v>
      </c>
      <c r="N150" s="213">
        <v>7846</v>
      </c>
      <c r="O150" s="212">
        <v>16792.362680097405</v>
      </c>
      <c r="P150" s="207">
        <v>-0.53276378378253986</v>
      </c>
      <c r="Q150" s="208">
        <v>-0.1307334367383115</v>
      </c>
      <c r="R150" s="209">
        <v>17690.96</v>
      </c>
      <c r="S150" s="213">
        <v>11875.65</v>
      </c>
      <c r="T150" s="212">
        <v>32913.030852990916</v>
      </c>
      <c r="U150" s="207">
        <v>-0.63918090518482829</v>
      </c>
      <c r="V150" s="208">
        <v>-0.32871647440274576</v>
      </c>
      <c r="W150" s="212">
        <v>34340.209979749299</v>
      </c>
      <c r="X150" s="301">
        <v>0.22847850973033798</v>
      </c>
      <c r="Y150" s="302">
        <v>67306.811560308619</v>
      </c>
      <c r="Z150" s="208">
        <v>0.17644053736461895</v>
      </c>
      <c r="AA150" s="163"/>
    </row>
    <row r="151" spans="2:27" ht="15" customHeight="1" x14ac:dyDescent="0.25">
      <c r="B151" s="155"/>
      <c r="C151" s="197">
        <v>3</v>
      </c>
      <c r="D151" s="211" t="s">
        <v>111</v>
      </c>
      <c r="E151" s="211" t="s">
        <v>87</v>
      </c>
      <c r="F151" s="199" t="s">
        <v>403</v>
      </c>
      <c r="G151" s="200" t="s">
        <v>426</v>
      </c>
      <c r="H151" s="201" t="s">
        <v>426</v>
      </c>
      <c r="I151" s="202" t="s">
        <v>544</v>
      </c>
      <c r="J151" s="202" t="s">
        <v>429</v>
      </c>
      <c r="K151" s="204">
        <v>13107</v>
      </c>
      <c r="L151" s="205">
        <v>-11</v>
      </c>
      <c r="M151" s="209">
        <v>39489</v>
      </c>
      <c r="N151" s="213">
        <v>-84</v>
      </c>
      <c r="O151" s="212">
        <v>0</v>
      </c>
      <c r="P151" s="207" t="s">
        <v>425</v>
      </c>
      <c r="Q151" s="208" t="s">
        <v>425</v>
      </c>
      <c r="R151" s="209">
        <v>79961.789999999994</v>
      </c>
      <c r="S151" s="213">
        <v>-148.38</v>
      </c>
      <c r="T151" s="212">
        <v>0</v>
      </c>
      <c r="U151" s="207" t="s">
        <v>425</v>
      </c>
      <c r="V151" s="208" t="s">
        <v>425</v>
      </c>
      <c r="W151" s="212">
        <v>0</v>
      </c>
      <c r="X151" s="301" t="s">
        <v>425</v>
      </c>
      <c r="Y151" s="302">
        <v>0</v>
      </c>
      <c r="Z151" s="208">
        <v>0</v>
      </c>
      <c r="AA151" s="163"/>
    </row>
    <row r="152" spans="2:27" ht="15" customHeight="1" x14ac:dyDescent="0.25">
      <c r="B152" s="155"/>
      <c r="C152" s="197">
        <v>3</v>
      </c>
      <c r="D152" s="211" t="s">
        <v>111</v>
      </c>
      <c r="E152" s="211" t="s">
        <v>87</v>
      </c>
      <c r="F152" s="199" t="s">
        <v>403</v>
      </c>
      <c r="G152" s="200" t="s">
        <v>426</v>
      </c>
      <c r="H152" s="201" t="s">
        <v>426</v>
      </c>
      <c r="I152" s="202" t="s">
        <v>545</v>
      </c>
      <c r="J152" s="202" t="s">
        <v>429</v>
      </c>
      <c r="K152" s="204">
        <v>13149</v>
      </c>
      <c r="L152" s="205">
        <v>8999</v>
      </c>
      <c r="M152" s="209">
        <v>8999</v>
      </c>
      <c r="N152" s="213">
        <v>27048</v>
      </c>
      <c r="O152" s="212">
        <v>54827.968015959574</v>
      </c>
      <c r="P152" s="207">
        <v>-0.50667513353537474</v>
      </c>
      <c r="Q152" s="208">
        <v>2.005667296366263</v>
      </c>
      <c r="R152" s="209">
        <v>24747.25</v>
      </c>
      <c r="S152" s="213">
        <v>64602.41</v>
      </c>
      <c r="T152" s="212">
        <v>150776.91204388882</v>
      </c>
      <c r="U152" s="207">
        <v>-0.57153645658165986</v>
      </c>
      <c r="V152" s="208">
        <v>1.610488438109285</v>
      </c>
      <c r="W152" s="212">
        <v>112122.63397946743</v>
      </c>
      <c r="X152" s="301">
        <v>0.24123585970120173</v>
      </c>
      <c r="Y152" s="302">
        <v>308337.24344353541</v>
      </c>
      <c r="Z152" s="208">
        <v>0.20951867273156832</v>
      </c>
      <c r="AA152" s="163"/>
    </row>
    <row r="153" spans="2:27" ht="15" customHeight="1" x14ac:dyDescent="0.25">
      <c r="B153" s="155"/>
      <c r="C153" s="197">
        <v>2</v>
      </c>
      <c r="D153" s="211" t="s">
        <v>111</v>
      </c>
      <c r="E153" s="211" t="s">
        <v>426</v>
      </c>
      <c r="F153" s="199" t="s">
        <v>403</v>
      </c>
      <c r="G153" s="200" t="s">
        <v>426</v>
      </c>
      <c r="H153" s="201" t="s">
        <v>546</v>
      </c>
      <c r="I153" s="202" t="s">
        <v>426</v>
      </c>
      <c r="J153" s="202" t="s">
        <v>426</v>
      </c>
      <c r="K153" s="204" t="s">
        <v>426</v>
      </c>
      <c r="L153" s="205">
        <v>95141</v>
      </c>
      <c r="M153" s="209">
        <v>352047</v>
      </c>
      <c r="N153" s="213">
        <v>225803</v>
      </c>
      <c r="O153" s="212">
        <v>384791.28981899744</v>
      </c>
      <c r="P153" s="207">
        <v>-0.41318058393105572</v>
      </c>
      <c r="Q153" s="208">
        <v>-0.35859984604328399</v>
      </c>
      <c r="R153" s="209">
        <v>888802.99</v>
      </c>
      <c r="S153" s="213">
        <v>728025.28000000014</v>
      </c>
      <c r="T153" s="212">
        <v>1040850.4284936211</v>
      </c>
      <c r="U153" s="207">
        <v>-0.30054764827868641</v>
      </c>
      <c r="V153" s="208">
        <v>-0.18089240451362554</v>
      </c>
      <c r="W153" s="212">
        <v>786894.25320858392</v>
      </c>
      <c r="X153" s="301">
        <v>0.28695469445771371</v>
      </c>
      <c r="Y153" s="302">
        <v>2128528.4836270371</v>
      </c>
      <c r="Z153" s="208">
        <v>0.3420321999917223</v>
      </c>
      <c r="AA153" s="163"/>
    </row>
    <row r="154" spans="2:27" ht="15" customHeight="1" x14ac:dyDescent="0.25">
      <c r="B154" s="155"/>
      <c r="C154" s="197">
        <v>3</v>
      </c>
      <c r="D154" s="211" t="s">
        <v>111</v>
      </c>
      <c r="E154" s="211" t="s">
        <v>108</v>
      </c>
      <c r="F154" s="199" t="s">
        <v>403</v>
      </c>
      <c r="G154" s="200" t="s">
        <v>426</v>
      </c>
      <c r="H154" s="201" t="s">
        <v>108</v>
      </c>
      <c r="I154" s="202" t="s">
        <v>109</v>
      </c>
      <c r="J154" s="202" t="s">
        <v>429</v>
      </c>
      <c r="K154" s="204">
        <v>13087</v>
      </c>
      <c r="L154" s="205">
        <v>3742</v>
      </c>
      <c r="M154" s="209">
        <v>7215</v>
      </c>
      <c r="N154" s="213">
        <v>5526</v>
      </c>
      <c r="O154" s="212">
        <v>13404.216743325529</v>
      </c>
      <c r="P154" s="207">
        <v>-0.58774167071331451</v>
      </c>
      <c r="Q154" s="208">
        <v>-0.23409563409563405</v>
      </c>
      <c r="R154" s="209">
        <v>16164.54</v>
      </c>
      <c r="S154" s="213">
        <v>16725.73</v>
      </c>
      <c r="T154" s="212">
        <v>35265.13354255195</v>
      </c>
      <c r="U154" s="207">
        <v>-0.52571482595356578</v>
      </c>
      <c r="V154" s="208">
        <v>3.4717350447337036E-2</v>
      </c>
      <c r="W154" s="212">
        <v>27411.486182669792</v>
      </c>
      <c r="X154" s="301">
        <v>0.20159432302118926</v>
      </c>
      <c r="Y154" s="302">
        <v>72116.837510331185</v>
      </c>
      <c r="Z154" s="208">
        <v>0.23192545010870638</v>
      </c>
      <c r="AA154" s="163"/>
    </row>
    <row r="155" spans="2:27" ht="15" customHeight="1" x14ac:dyDescent="0.25">
      <c r="B155" s="155"/>
      <c r="C155" s="197">
        <v>3</v>
      </c>
      <c r="D155" s="211" t="s">
        <v>111</v>
      </c>
      <c r="E155" s="211" t="s">
        <v>108</v>
      </c>
      <c r="F155" s="199" t="s">
        <v>403</v>
      </c>
      <c r="G155" s="200" t="s">
        <v>426</v>
      </c>
      <c r="H155" s="201" t="s">
        <v>426</v>
      </c>
      <c r="I155" s="202" t="s">
        <v>547</v>
      </c>
      <c r="J155" s="202" t="s">
        <v>429</v>
      </c>
      <c r="K155" s="204">
        <v>13085</v>
      </c>
      <c r="L155" s="205">
        <v>1129</v>
      </c>
      <c r="M155" s="209">
        <v>3065</v>
      </c>
      <c r="N155" s="213">
        <v>754</v>
      </c>
      <c r="O155" s="212">
        <v>5258.4639839458159</v>
      </c>
      <c r="P155" s="207">
        <v>-0.85661212051618585</v>
      </c>
      <c r="Q155" s="208">
        <v>-0.75399673735725936</v>
      </c>
      <c r="R155" s="209">
        <v>20244.190000000002</v>
      </c>
      <c r="S155" s="213">
        <v>4021.9100000000003</v>
      </c>
      <c r="T155" s="212">
        <v>37247.224117576327</v>
      </c>
      <c r="U155" s="207">
        <v>-0.89202121512990473</v>
      </c>
      <c r="V155" s="208">
        <v>-0.80133015941857888</v>
      </c>
      <c r="W155" s="212">
        <v>10753.505079643797</v>
      </c>
      <c r="X155" s="301">
        <v>7.0116673067585122E-2</v>
      </c>
      <c r="Y155" s="302">
        <v>76170.192469481233</v>
      </c>
      <c r="Z155" s="208">
        <v>5.2801625801476619E-2</v>
      </c>
      <c r="AA155" s="163"/>
    </row>
    <row r="156" spans="2:27" ht="15" customHeight="1" x14ac:dyDescent="0.25">
      <c r="B156" s="155"/>
      <c r="C156" s="197">
        <v>2</v>
      </c>
      <c r="D156" s="211" t="s">
        <v>111</v>
      </c>
      <c r="E156" s="211" t="s">
        <v>426</v>
      </c>
      <c r="F156" s="199" t="s">
        <v>403</v>
      </c>
      <c r="G156" s="200" t="s">
        <v>426</v>
      </c>
      <c r="H156" s="201" t="s">
        <v>548</v>
      </c>
      <c r="I156" s="202" t="s">
        <v>426</v>
      </c>
      <c r="J156" s="202" t="s">
        <v>426</v>
      </c>
      <c r="K156" s="204" t="s">
        <v>426</v>
      </c>
      <c r="L156" s="205">
        <v>4871</v>
      </c>
      <c r="M156" s="209">
        <v>10280</v>
      </c>
      <c r="N156" s="213">
        <v>6280</v>
      </c>
      <c r="O156" s="212">
        <v>18662.680727271345</v>
      </c>
      <c r="P156" s="207">
        <v>-0.6634995748052861</v>
      </c>
      <c r="Q156" s="208">
        <v>-0.3891050583657587</v>
      </c>
      <c r="R156" s="209">
        <v>36408.730000000003</v>
      </c>
      <c r="S156" s="213">
        <v>20747.64</v>
      </c>
      <c r="T156" s="212">
        <v>72512.357660128269</v>
      </c>
      <c r="U156" s="207">
        <v>-0.7138744254152376</v>
      </c>
      <c r="V156" s="208">
        <v>-0.43014656100336379</v>
      </c>
      <c r="W156" s="212">
        <v>38164.99126231359</v>
      </c>
      <c r="X156" s="301">
        <v>0.16454870792021509</v>
      </c>
      <c r="Y156" s="302">
        <v>148287.02997981242</v>
      </c>
      <c r="Z156" s="208">
        <v>0.13991540597194882</v>
      </c>
      <c r="AA156" s="163"/>
    </row>
    <row r="157" spans="2:27" ht="15" customHeight="1" x14ac:dyDescent="0.25">
      <c r="B157" s="155"/>
      <c r="C157" s="197">
        <v>1</v>
      </c>
      <c r="D157" s="211" t="s">
        <v>111</v>
      </c>
      <c r="E157" s="211" t="s">
        <v>426</v>
      </c>
      <c r="F157" s="199" t="s">
        <v>616</v>
      </c>
      <c r="G157" s="200" t="s">
        <v>549</v>
      </c>
      <c r="H157" s="201" t="s">
        <v>426</v>
      </c>
      <c r="I157" s="202" t="s">
        <v>426</v>
      </c>
      <c r="J157" s="202" t="s">
        <v>426</v>
      </c>
      <c r="K157" s="204" t="s">
        <v>426</v>
      </c>
      <c r="L157" s="205">
        <v>100012</v>
      </c>
      <c r="M157" s="209">
        <v>362327</v>
      </c>
      <c r="N157" s="213">
        <v>232083</v>
      </c>
      <c r="O157" s="212">
        <v>403453.9705462688</v>
      </c>
      <c r="P157" s="207">
        <v>-0.42475965799577053</v>
      </c>
      <c r="Q157" s="208">
        <v>-0.35946534484043424</v>
      </c>
      <c r="R157" s="209">
        <v>925211.72</v>
      </c>
      <c r="S157" s="213">
        <v>748772.92000000016</v>
      </c>
      <c r="T157" s="212">
        <v>1113362.7861537493</v>
      </c>
      <c r="U157" s="207">
        <v>-0.32746726465797404</v>
      </c>
      <c r="V157" s="208">
        <v>-0.19070099976684241</v>
      </c>
      <c r="W157" s="212">
        <v>825059.24447089748</v>
      </c>
      <c r="X157" s="301">
        <v>0.2812925272400682</v>
      </c>
      <c r="Y157" s="302">
        <v>2276815.5136068496</v>
      </c>
      <c r="Z157" s="208">
        <v>0.32886850758225067</v>
      </c>
      <c r="AA157" s="163"/>
    </row>
    <row r="158" spans="2:27" ht="15" customHeight="1" x14ac:dyDescent="0.25">
      <c r="B158" s="155"/>
      <c r="C158" s="197">
        <v>0</v>
      </c>
      <c r="D158" s="211" t="s">
        <v>111</v>
      </c>
      <c r="E158" s="211" t="s">
        <v>426</v>
      </c>
      <c r="F158" s="199" t="s">
        <v>618</v>
      </c>
      <c r="G158" s="200" t="s">
        <v>618</v>
      </c>
      <c r="H158" s="201" t="s">
        <v>426</v>
      </c>
      <c r="I158" s="202" t="s">
        <v>426</v>
      </c>
      <c r="J158" s="202" t="s">
        <v>426</v>
      </c>
      <c r="K158" s="204" t="s">
        <v>426</v>
      </c>
      <c r="L158" s="205">
        <v>139438</v>
      </c>
      <c r="M158" s="209">
        <v>625480</v>
      </c>
      <c r="N158" s="213">
        <v>599891</v>
      </c>
      <c r="O158" s="212">
        <v>734077.01582392526</v>
      </c>
      <c r="P158" s="207">
        <v>-0.18279555541364467</v>
      </c>
      <c r="Q158" s="208">
        <v>-4.0910980367078076E-2</v>
      </c>
      <c r="R158" s="209">
        <v>3280284.0600000005</v>
      </c>
      <c r="S158" s="213">
        <v>4572115.8800000018</v>
      </c>
      <c r="T158" s="212">
        <v>4675640.5163368182</v>
      </c>
      <c r="U158" s="207">
        <v>-2.2141273687551144E-2</v>
      </c>
      <c r="V158" s="208">
        <v>0.39381705863607475</v>
      </c>
      <c r="W158" s="212">
        <v>1517755.8678189253</v>
      </c>
      <c r="X158" s="301">
        <v>0.3952486778140854</v>
      </c>
      <c r="Y158" s="302">
        <v>9647639.3467255272</v>
      </c>
      <c r="Z158" s="208">
        <v>0.47391032310425329</v>
      </c>
      <c r="AA158" s="163"/>
    </row>
    <row r="159" spans="2:27" ht="15" hidden="1" customHeight="1" x14ac:dyDescent="0.25">
      <c r="B159" s="155"/>
      <c r="C159" s="197" t="s">
        <v>426</v>
      </c>
      <c r="D159" s="211" t="s">
        <v>426</v>
      </c>
      <c r="E159" s="211" t="s">
        <v>426</v>
      </c>
      <c r="F159" s="199" t="s">
        <v>426</v>
      </c>
      <c r="G159" s="200" t="s">
        <v>426</v>
      </c>
      <c r="H159" s="201" t="s">
        <v>426</v>
      </c>
      <c r="I159" s="202" t="s">
        <v>426</v>
      </c>
      <c r="J159" s="202" t="s">
        <v>426</v>
      </c>
      <c r="K159" s="204" t="s">
        <v>426</v>
      </c>
      <c r="L159" s="205" t="s">
        <v>426</v>
      </c>
      <c r="M159" s="209" t="s">
        <v>426</v>
      </c>
      <c r="N159" s="213" t="s">
        <v>426</v>
      </c>
      <c r="O159" s="212" t="s">
        <v>426</v>
      </c>
      <c r="P159" s="207" t="s">
        <v>426</v>
      </c>
      <c r="Q159" s="208" t="s">
        <v>426</v>
      </c>
      <c r="R159" s="209" t="s">
        <v>426</v>
      </c>
      <c r="S159" s="213" t="s">
        <v>426</v>
      </c>
      <c r="T159" s="212" t="s">
        <v>426</v>
      </c>
      <c r="U159" s="207" t="s">
        <v>426</v>
      </c>
      <c r="V159" s="208" t="s">
        <v>426</v>
      </c>
      <c r="W159" s="212" t="s">
        <v>426</v>
      </c>
      <c r="X159" s="301" t="s">
        <v>426</v>
      </c>
      <c r="Y159" s="302" t="s">
        <v>426</v>
      </c>
      <c r="Z159" s="208" t="s">
        <v>426</v>
      </c>
      <c r="AA159" s="163"/>
    </row>
    <row r="160" spans="2:27" ht="15" hidden="1" customHeight="1" x14ac:dyDescent="0.25">
      <c r="B160" s="155"/>
      <c r="C160" s="197" t="s">
        <v>426</v>
      </c>
      <c r="D160" s="211" t="s">
        <v>426</v>
      </c>
      <c r="E160" s="211" t="s">
        <v>426</v>
      </c>
      <c r="F160" s="199" t="s">
        <v>426</v>
      </c>
      <c r="G160" s="200" t="s">
        <v>426</v>
      </c>
      <c r="H160" s="201" t="s">
        <v>426</v>
      </c>
      <c r="I160" s="202" t="s">
        <v>426</v>
      </c>
      <c r="J160" s="202" t="s">
        <v>426</v>
      </c>
      <c r="K160" s="204" t="s">
        <v>426</v>
      </c>
      <c r="L160" s="205" t="s">
        <v>426</v>
      </c>
      <c r="M160" s="209" t="s">
        <v>426</v>
      </c>
      <c r="N160" s="213" t="s">
        <v>426</v>
      </c>
      <c r="O160" s="212" t="s">
        <v>426</v>
      </c>
      <c r="P160" s="207" t="s">
        <v>426</v>
      </c>
      <c r="Q160" s="208" t="s">
        <v>426</v>
      </c>
      <c r="R160" s="209" t="s">
        <v>426</v>
      </c>
      <c r="S160" s="213" t="s">
        <v>426</v>
      </c>
      <c r="T160" s="212" t="s">
        <v>426</v>
      </c>
      <c r="U160" s="207" t="s">
        <v>426</v>
      </c>
      <c r="V160" s="208" t="s">
        <v>426</v>
      </c>
      <c r="W160" s="212" t="s">
        <v>426</v>
      </c>
      <c r="X160" s="301" t="s">
        <v>426</v>
      </c>
      <c r="Y160" s="302" t="s">
        <v>426</v>
      </c>
      <c r="Z160" s="208" t="s">
        <v>426</v>
      </c>
      <c r="AA160" s="163"/>
    </row>
    <row r="161" spans="2:27" ht="15" hidden="1" customHeight="1" x14ac:dyDescent="0.25">
      <c r="B161" s="155"/>
      <c r="C161" s="197" t="s">
        <v>426</v>
      </c>
      <c r="D161" s="211" t="s">
        <v>426</v>
      </c>
      <c r="E161" s="211" t="s">
        <v>426</v>
      </c>
      <c r="F161" s="199" t="s">
        <v>426</v>
      </c>
      <c r="G161" s="200" t="s">
        <v>426</v>
      </c>
      <c r="H161" s="201" t="s">
        <v>426</v>
      </c>
      <c r="I161" s="202" t="s">
        <v>426</v>
      </c>
      <c r="J161" s="202" t="s">
        <v>426</v>
      </c>
      <c r="K161" s="204" t="s">
        <v>426</v>
      </c>
      <c r="L161" s="205" t="s">
        <v>426</v>
      </c>
      <c r="M161" s="209" t="s">
        <v>426</v>
      </c>
      <c r="N161" s="213" t="s">
        <v>426</v>
      </c>
      <c r="O161" s="212" t="s">
        <v>426</v>
      </c>
      <c r="P161" s="207" t="s">
        <v>426</v>
      </c>
      <c r="Q161" s="208" t="s">
        <v>426</v>
      </c>
      <c r="R161" s="209" t="s">
        <v>426</v>
      </c>
      <c r="S161" s="213" t="s">
        <v>426</v>
      </c>
      <c r="T161" s="212" t="s">
        <v>426</v>
      </c>
      <c r="U161" s="207" t="s">
        <v>426</v>
      </c>
      <c r="V161" s="208" t="s">
        <v>426</v>
      </c>
      <c r="W161" s="212" t="s">
        <v>426</v>
      </c>
      <c r="X161" s="301" t="s">
        <v>426</v>
      </c>
      <c r="Y161" s="302" t="s">
        <v>426</v>
      </c>
      <c r="Z161" s="208" t="s">
        <v>426</v>
      </c>
      <c r="AA161" s="163"/>
    </row>
    <row r="162" spans="2:27" ht="15" hidden="1" customHeight="1" x14ac:dyDescent="0.25">
      <c r="B162" s="155"/>
      <c r="C162" s="197" t="s">
        <v>426</v>
      </c>
      <c r="D162" s="211" t="s">
        <v>426</v>
      </c>
      <c r="E162" s="211" t="s">
        <v>426</v>
      </c>
      <c r="F162" s="199" t="s">
        <v>426</v>
      </c>
      <c r="G162" s="200" t="s">
        <v>426</v>
      </c>
      <c r="H162" s="201" t="s">
        <v>426</v>
      </c>
      <c r="I162" s="202" t="s">
        <v>426</v>
      </c>
      <c r="J162" s="202" t="s">
        <v>426</v>
      </c>
      <c r="K162" s="204" t="s">
        <v>426</v>
      </c>
      <c r="L162" s="205" t="s">
        <v>426</v>
      </c>
      <c r="M162" s="209" t="s">
        <v>426</v>
      </c>
      <c r="N162" s="213" t="s">
        <v>426</v>
      </c>
      <c r="O162" s="212" t="s">
        <v>426</v>
      </c>
      <c r="P162" s="207" t="s">
        <v>426</v>
      </c>
      <c r="Q162" s="208" t="s">
        <v>426</v>
      </c>
      <c r="R162" s="209" t="s">
        <v>426</v>
      </c>
      <c r="S162" s="213" t="s">
        <v>426</v>
      </c>
      <c r="T162" s="212" t="s">
        <v>426</v>
      </c>
      <c r="U162" s="207" t="s">
        <v>426</v>
      </c>
      <c r="V162" s="208" t="s">
        <v>426</v>
      </c>
      <c r="W162" s="212" t="s">
        <v>426</v>
      </c>
      <c r="X162" s="301" t="s">
        <v>426</v>
      </c>
      <c r="Y162" s="302" t="s">
        <v>426</v>
      </c>
      <c r="Z162" s="208" t="s">
        <v>426</v>
      </c>
      <c r="AA162" s="163"/>
    </row>
    <row r="163" spans="2:27" ht="15" hidden="1" customHeight="1" x14ac:dyDescent="0.25">
      <c r="B163" s="155"/>
      <c r="C163" s="197" t="s">
        <v>426</v>
      </c>
      <c r="D163" s="211" t="s">
        <v>426</v>
      </c>
      <c r="E163" s="211" t="s">
        <v>426</v>
      </c>
      <c r="F163" s="199" t="s">
        <v>426</v>
      </c>
      <c r="G163" s="200" t="s">
        <v>426</v>
      </c>
      <c r="H163" s="201" t="s">
        <v>426</v>
      </c>
      <c r="I163" s="202" t="s">
        <v>426</v>
      </c>
      <c r="J163" s="202" t="s">
        <v>426</v>
      </c>
      <c r="K163" s="204" t="s">
        <v>426</v>
      </c>
      <c r="L163" s="205" t="s">
        <v>426</v>
      </c>
      <c r="M163" s="209" t="s">
        <v>426</v>
      </c>
      <c r="N163" s="213" t="s">
        <v>426</v>
      </c>
      <c r="O163" s="212" t="s">
        <v>426</v>
      </c>
      <c r="P163" s="207" t="s">
        <v>426</v>
      </c>
      <c r="Q163" s="208" t="s">
        <v>426</v>
      </c>
      <c r="R163" s="209" t="s">
        <v>426</v>
      </c>
      <c r="S163" s="213" t="s">
        <v>426</v>
      </c>
      <c r="T163" s="212" t="s">
        <v>426</v>
      </c>
      <c r="U163" s="207" t="s">
        <v>426</v>
      </c>
      <c r="V163" s="208" t="s">
        <v>426</v>
      </c>
      <c r="W163" s="212" t="s">
        <v>426</v>
      </c>
      <c r="X163" s="301" t="s">
        <v>426</v>
      </c>
      <c r="Y163" s="302" t="s">
        <v>426</v>
      </c>
      <c r="Z163" s="208" t="s">
        <v>426</v>
      </c>
      <c r="AA163" s="163"/>
    </row>
    <row r="164" spans="2:27" ht="15" hidden="1" customHeight="1" x14ac:dyDescent="0.25">
      <c r="B164" s="155"/>
      <c r="C164" s="197" t="s">
        <v>426</v>
      </c>
      <c r="D164" s="211" t="s">
        <v>426</v>
      </c>
      <c r="E164" s="211" t="s">
        <v>426</v>
      </c>
      <c r="F164" s="199" t="s">
        <v>426</v>
      </c>
      <c r="G164" s="200" t="s">
        <v>426</v>
      </c>
      <c r="H164" s="201" t="s">
        <v>426</v>
      </c>
      <c r="I164" s="202" t="s">
        <v>426</v>
      </c>
      <c r="J164" s="202" t="s">
        <v>426</v>
      </c>
      <c r="K164" s="204" t="s">
        <v>426</v>
      </c>
      <c r="L164" s="205" t="s">
        <v>426</v>
      </c>
      <c r="M164" s="209" t="s">
        <v>426</v>
      </c>
      <c r="N164" s="213" t="s">
        <v>426</v>
      </c>
      <c r="O164" s="212" t="s">
        <v>426</v>
      </c>
      <c r="P164" s="207" t="s">
        <v>426</v>
      </c>
      <c r="Q164" s="208" t="s">
        <v>426</v>
      </c>
      <c r="R164" s="209" t="s">
        <v>426</v>
      </c>
      <c r="S164" s="213" t="s">
        <v>426</v>
      </c>
      <c r="T164" s="212" t="s">
        <v>426</v>
      </c>
      <c r="U164" s="207" t="s">
        <v>426</v>
      </c>
      <c r="V164" s="208" t="s">
        <v>426</v>
      </c>
      <c r="W164" s="212" t="s">
        <v>426</v>
      </c>
      <c r="X164" s="301" t="s">
        <v>426</v>
      </c>
      <c r="Y164" s="302" t="s">
        <v>426</v>
      </c>
      <c r="Z164" s="208" t="s">
        <v>426</v>
      </c>
      <c r="AA164" s="163"/>
    </row>
    <row r="165" spans="2:27" ht="15" hidden="1" customHeight="1" x14ac:dyDescent="0.25">
      <c r="B165" s="155"/>
      <c r="C165" s="197" t="s">
        <v>426</v>
      </c>
      <c r="D165" s="211" t="s">
        <v>426</v>
      </c>
      <c r="E165" s="211" t="s">
        <v>426</v>
      </c>
      <c r="F165" s="199" t="s">
        <v>426</v>
      </c>
      <c r="G165" s="200" t="s">
        <v>426</v>
      </c>
      <c r="H165" s="201" t="s">
        <v>426</v>
      </c>
      <c r="I165" s="202" t="s">
        <v>426</v>
      </c>
      <c r="J165" s="202" t="s">
        <v>426</v>
      </c>
      <c r="K165" s="204" t="s">
        <v>426</v>
      </c>
      <c r="L165" s="205" t="s">
        <v>426</v>
      </c>
      <c r="M165" s="209" t="s">
        <v>426</v>
      </c>
      <c r="N165" s="213" t="s">
        <v>426</v>
      </c>
      <c r="O165" s="212" t="s">
        <v>426</v>
      </c>
      <c r="P165" s="207" t="s">
        <v>426</v>
      </c>
      <c r="Q165" s="208" t="s">
        <v>426</v>
      </c>
      <c r="R165" s="209" t="s">
        <v>426</v>
      </c>
      <c r="S165" s="213" t="s">
        <v>426</v>
      </c>
      <c r="T165" s="212" t="s">
        <v>426</v>
      </c>
      <c r="U165" s="207" t="s">
        <v>426</v>
      </c>
      <c r="V165" s="208" t="s">
        <v>426</v>
      </c>
      <c r="W165" s="212" t="s">
        <v>426</v>
      </c>
      <c r="X165" s="301" t="s">
        <v>426</v>
      </c>
      <c r="Y165" s="302" t="s">
        <v>426</v>
      </c>
      <c r="Z165" s="208" t="s">
        <v>426</v>
      </c>
      <c r="AA165" s="163"/>
    </row>
    <row r="166" spans="2:27" ht="15" hidden="1" customHeight="1" x14ac:dyDescent="0.25">
      <c r="B166" s="155"/>
      <c r="C166" s="197" t="s">
        <v>426</v>
      </c>
      <c r="D166" s="211" t="s">
        <v>426</v>
      </c>
      <c r="E166" s="211" t="s">
        <v>426</v>
      </c>
      <c r="F166" s="199" t="s">
        <v>426</v>
      </c>
      <c r="G166" s="200" t="s">
        <v>426</v>
      </c>
      <c r="H166" s="201" t="s">
        <v>426</v>
      </c>
      <c r="I166" s="202" t="s">
        <v>426</v>
      </c>
      <c r="J166" s="202" t="s">
        <v>426</v>
      </c>
      <c r="K166" s="204" t="s">
        <v>426</v>
      </c>
      <c r="L166" s="205" t="s">
        <v>426</v>
      </c>
      <c r="M166" s="209" t="s">
        <v>426</v>
      </c>
      <c r="N166" s="213" t="s">
        <v>426</v>
      </c>
      <c r="O166" s="212" t="s">
        <v>426</v>
      </c>
      <c r="P166" s="207" t="s">
        <v>426</v>
      </c>
      <c r="Q166" s="208" t="s">
        <v>426</v>
      </c>
      <c r="R166" s="209" t="s">
        <v>426</v>
      </c>
      <c r="S166" s="213" t="s">
        <v>426</v>
      </c>
      <c r="T166" s="212" t="s">
        <v>426</v>
      </c>
      <c r="U166" s="207" t="s">
        <v>426</v>
      </c>
      <c r="V166" s="208" t="s">
        <v>426</v>
      </c>
      <c r="W166" s="212" t="s">
        <v>426</v>
      </c>
      <c r="X166" s="301" t="s">
        <v>426</v>
      </c>
      <c r="Y166" s="302" t="s">
        <v>426</v>
      </c>
      <c r="Z166" s="208" t="s">
        <v>426</v>
      </c>
      <c r="AA166" s="163"/>
    </row>
    <row r="167" spans="2:27" ht="15" hidden="1" customHeight="1" x14ac:dyDescent="0.25">
      <c r="B167" s="155"/>
      <c r="C167" s="197" t="s">
        <v>426</v>
      </c>
      <c r="D167" s="211" t="s">
        <v>426</v>
      </c>
      <c r="E167" s="211" t="s">
        <v>426</v>
      </c>
      <c r="F167" s="199" t="s">
        <v>426</v>
      </c>
      <c r="G167" s="200" t="s">
        <v>426</v>
      </c>
      <c r="H167" s="201" t="s">
        <v>426</v>
      </c>
      <c r="I167" s="202" t="s">
        <v>426</v>
      </c>
      <c r="J167" s="202" t="s">
        <v>426</v>
      </c>
      <c r="K167" s="204" t="s">
        <v>426</v>
      </c>
      <c r="L167" s="205" t="s">
        <v>426</v>
      </c>
      <c r="M167" s="209" t="s">
        <v>426</v>
      </c>
      <c r="N167" s="213" t="s">
        <v>426</v>
      </c>
      <c r="O167" s="212" t="s">
        <v>426</v>
      </c>
      <c r="P167" s="207" t="s">
        <v>426</v>
      </c>
      <c r="Q167" s="208" t="s">
        <v>426</v>
      </c>
      <c r="R167" s="209" t="s">
        <v>426</v>
      </c>
      <c r="S167" s="213" t="s">
        <v>426</v>
      </c>
      <c r="T167" s="212" t="s">
        <v>426</v>
      </c>
      <c r="U167" s="207" t="s">
        <v>426</v>
      </c>
      <c r="V167" s="208" t="s">
        <v>426</v>
      </c>
      <c r="W167" s="212" t="s">
        <v>426</v>
      </c>
      <c r="X167" s="301" t="s">
        <v>426</v>
      </c>
      <c r="Y167" s="302" t="s">
        <v>426</v>
      </c>
      <c r="Z167" s="208" t="s">
        <v>426</v>
      </c>
      <c r="AA167" s="163"/>
    </row>
    <row r="168" spans="2:27" ht="15" hidden="1" customHeight="1" x14ac:dyDescent="0.25">
      <c r="B168" s="155"/>
      <c r="C168" s="197" t="s">
        <v>426</v>
      </c>
      <c r="D168" s="211" t="s">
        <v>426</v>
      </c>
      <c r="E168" s="211" t="s">
        <v>426</v>
      </c>
      <c r="F168" s="199" t="s">
        <v>426</v>
      </c>
      <c r="G168" s="200" t="s">
        <v>426</v>
      </c>
      <c r="H168" s="201" t="s">
        <v>426</v>
      </c>
      <c r="I168" s="202" t="s">
        <v>426</v>
      </c>
      <c r="J168" s="202" t="s">
        <v>426</v>
      </c>
      <c r="K168" s="204" t="s">
        <v>426</v>
      </c>
      <c r="L168" s="205" t="s">
        <v>426</v>
      </c>
      <c r="M168" s="209" t="s">
        <v>426</v>
      </c>
      <c r="N168" s="213" t="s">
        <v>426</v>
      </c>
      <c r="O168" s="212" t="s">
        <v>426</v>
      </c>
      <c r="P168" s="207" t="s">
        <v>426</v>
      </c>
      <c r="Q168" s="208" t="s">
        <v>426</v>
      </c>
      <c r="R168" s="209" t="s">
        <v>426</v>
      </c>
      <c r="S168" s="213" t="s">
        <v>426</v>
      </c>
      <c r="T168" s="212" t="s">
        <v>426</v>
      </c>
      <c r="U168" s="207" t="s">
        <v>426</v>
      </c>
      <c r="V168" s="208" t="s">
        <v>426</v>
      </c>
      <c r="W168" s="212" t="s">
        <v>426</v>
      </c>
      <c r="X168" s="301" t="s">
        <v>426</v>
      </c>
      <c r="Y168" s="302" t="s">
        <v>426</v>
      </c>
      <c r="Z168" s="208" t="s">
        <v>426</v>
      </c>
      <c r="AA168" s="163"/>
    </row>
    <row r="169" spans="2:27" ht="15" hidden="1" customHeight="1" x14ac:dyDescent="0.25">
      <c r="B169" s="155"/>
      <c r="C169" s="197" t="s">
        <v>426</v>
      </c>
      <c r="D169" s="211" t="s">
        <v>426</v>
      </c>
      <c r="E169" s="211" t="s">
        <v>426</v>
      </c>
      <c r="F169" s="199" t="s">
        <v>426</v>
      </c>
      <c r="G169" s="200" t="s">
        <v>426</v>
      </c>
      <c r="H169" s="201" t="s">
        <v>426</v>
      </c>
      <c r="I169" s="202" t="s">
        <v>426</v>
      </c>
      <c r="J169" s="202" t="s">
        <v>426</v>
      </c>
      <c r="K169" s="204" t="s">
        <v>426</v>
      </c>
      <c r="L169" s="205" t="s">
        <v>426</v>
      </c>
      <c r="M169" s="209" t="s">
        <v>426</v>
      </c>
      <c r="N169" s="213" t="s">
        <v>426</v>
      </c>
      <c r="O169" s="212" t="s">
        <v>426</v>
      </c>
      <c r="P169" s="207" t="s">
        <v>426</v>
      </c>
      <c r="Q169" s="208" t="s">
        <v>426</v>
      </c>
      <c r="R169" s="209" t="s">
        <v>426</v>
      </c>
      <c r="S169" s="213" t="s">
        <v>426</v>
      </c>
      <c r="T169" s="212" t="s">
        <v>426</v>
      </c>
      <c r="U169" s="207" t="s">
        <v>426</v>
      </c>
      <c r="V169" s="208" t="s">
        <v>426</v>
      </c>
      <c r="W169" s="212" t="s">
        <v>426</v>
      </c>
      <c r="X169" s="301" t="s">
        <v>426</v>
      </c>
      <c r="Y169" s="302" t="s">
        <v>426</v>
      </c>
      <c r="Z169" s="208" t="s">
        <v>426</v>
      </c>
      <c r="AA169" s="163"/>
    </row>
    <row r="170" spans="2:27" ht="15" hidden="1" customHeight="1" x14ac:dyDescent="0.25">
      <c r="B170" s="155"/>
      <c r="C170" s="197" t="s">
        <v>426</v>
      </c>
      <c r="D170" s="211" t="s">
        <v>426</v>
      </c>
      <c r="E170" s="211" t="s">
        <v>426</v>
      </c>
      <c r="F170" s="199" t="s">
        <v>426</v>
      </c>
      <c r="G170" s="200" t="s">
        <v>426</v>
      </c>
      <c r="H170" s="201" t="s">
        <v>426</v>
      </c>
      <c r="I170" s="202" t="s">
        <v>426</v>
      </c>
      <c r="J170" s="202" t="s">
        <v>426</v>
      </c>
      <c r="K170" s="204" t="s">
        <v>426</v>
      </c>
      <c r="L170" s="205" t="s">
        <v>426</v>
      </c>
      <c r="M170" s="209" t="s">
        <v>426</v>
      </c>
      <c r="N170" s="213" t="s">
        <v>426</v>
      </c>
      <c r="O170" s="212" t="s">
        <v>426</v>
      </c>
      <c r="P170" s="207" t="s">
        <v>426</v>
      </c>
      <c r="Q170" s="208" t="s">
        <v>426</v>
      </c>
      <c r="R170" s="209" t="s">
        <v>426</v>
      </c>
      <c r="S170" s="213" t="s">
        <v>426</v>
      </c>
      <c r="T170" s="212" t="s">
        <v>426</v>
      </c>
      <c r="U170" s="207" t="s">
        <v>426</v>
      </c>
      <c r="V170" s="208" t="s">
        <v>426</v>
      </c>
      <c r="W170" s="212" t="s">
        <v>426</v>
      </c>
      <c r="X170" s="301" t="s">
        <v>426</v>
      </c>
      <c r="Y170" s="302" t="s">
        <v>426</v>
      </c>
      <c r="Z170" s="208" t="s">
        <v>426</v>
      </c>
      <c r="AA170" s="163"/>
    </row>
    <row r="171" spans="2:27" ht="15" hidden="1" customHeight="1" x14ac:dyDescent="0.25">
      <c r="B171" s="155"/>
      <c r="C171" s="197" t="s">
        <v>426</v>
      </c>
      <c r="D171" s="211" t="s">
        <v>426</v>
      </c>
      <c r="E171" s="211" t="s">
        <v>426</v>
      </c>
      <c r="F171" s="199" t="s">
        <v>426</v>
      </c>
      <c r="G171" s="200" t="s">
        <v>426</v>
      </c>
      <c r="H171" s="201" t="s">
        <v>426</v>
      </c>
      <c r="I171" s="202" t="s">
        <v>426</v>
      </c>
      <c r="J171" s="202" t="s">
        <v>426</v>
      </c>
      <c r="K171" s="204" t="s">
        <v>426</v>
      </c>
      <c r="L171" s="205" t="s">
        <v>426</v>
      </c>
      <c r="M171" s="209" t="s">
        <v>426</v>
      </c>
      <c r="N171" s="213" t="s">
        <v>426</v>
      </c>
      <c r="O171" s="212" t="s">
        <v>426</v>
      </c>
      <c r="P171" s="207" t="s">
        <v>426</v>
      </c>
      <c r="Q171" s="208" t="s">
        <v>426</v>
      </c>
      <c r="R171" s="209" t="s">
        <v>426</v>
      </c>
      <c r="S171" s="213" t="s">
        <v>426</v>
      </c>
      <c r="T171" s="212" t="s">
        <v>426</v>
      </c>
      <c r="U171" s="207" t="s">
        <v>426</v>
      </c>
      <c r="V171" s="208" t="s">
        <v>426</v>
      </c>
      <c r="W171" s="212" t="s">
        <v>426</v>
      </c>
      <c r="X171" s="301" t="s">
        <v>426</v>
      </c>
      <c r="Y171" s="302" t="s">
        <v>426</v>
      </c>
      <c r="Z171" s="208" t="s">
        <v>426</v>
      </c>
      <c r="AA171" s="163"/>
    </row>
    <row r="172" spans="2:27" ht="15" hidden="1" customHeight="1" x14ac:dyDescent="0.25">
      <c r="B172" s="155"/>
      <c r="C172" s="197" t="s">
        <v>426</v>
      </c>
      <c r="D172" s="211" t="s">
        <v>426</v>
      </c>
      <c r="E172" s="211" t="s">
        <v>426</v>
      </c>
      <c r="F172" s="199" t="s">
        <v>426</v>
      </c>
      <c r="G172" s="200" t="s">
        <v>426</v>
      </c>
      <c r="H172" s="201" t="s">
        <v>426</v>
      </c>
      <c r="I172" s="202" t="s">
        <v>426</v>
      </c>
      <c r="J172" s="202" t="s">
        <v>426</v>
      </c>
      <c r="K172" s="204" t="s">
        <v>426</v>
      </c>
      <c r="L172" s="205" t="s">
        <v>426</v>
      </c>
      <c r="M172" s="209" t="s">
        <v>426</v>
      </c>
      <c r="N172" s="213" t="s">
        <v>426</v>
      </c>
      <c r="O172" s="212" t="s">
        <v>426</v>
      </c>
      <c r="P172" s="207" t="s">
        <v>426</v>
      </c>
      <c r="Q172" s="208" t="s">
        <v>426</v>
      </c>
      <c r="R172" s="209" t="s">
        <v>426</v>
      </c>
      <c r="S172" s="213" t="s">
        <v>426</v>
      </c>
      <c r="T172" s="212" t="s">
        <v>426</v>
      </c>
      <c r="U172" s="207" t="s">
        <v>426</v>
      </c>
      <c r="V172" s="208" t="s">
        <v>426</v>
      </c>
      <c r="W172" s="212" t="s">
        <v>426</v>
      </c>
      <c r="X172" s="301" t="s">
        <v>426</v>
      </c>
      <c r="Y172" s="302" t="s">
        <v>426</v>
      </c>
      <c r="Z172" s="208" t="s">
        <v>426</v>
      </c>
      <c r="AA172" s="163"/>
    </row>
    <row r="173" spans="2:27" ht="15" hidden="1" customHeight="1" x14ac:dyDescent="0.25">
      <c r="B173" s="155"/>
      <c r="C173" s="197" t="s">
        <v>426</v>
      </c>
      <c r="D173" s="211" t="s">
        <v>426</v>
      </c>
      <c r="E173" s="211" t="s">
        <v>426</v>
      </c>
      <c r="F173" s="199" t="s">
        <v>426</v>
      </c>
      <c r="G173" s="200" t="s">
        <v>426</v>
      </c>
      <c r="H173" s="201" t="s">
        <v>426</v>
      </c>
      <c r="I173" s="202" t="s">
        <v>426</v>
      </c>
      <c r="J173" s="202" t="s">
        <v>426</v>
      </c>
      <c r="K173" s="204" t="s">
        <v>426</v>
      </c>
      <c r="L173" s="205" t="s">
        <v>426</v>
      </c>
      <c r="M173" s="209" t="s">
        <v>426</v>
      </c>
      <c r="N173" s="213" t="s">
        <v>426</v>
      </c>
      <c r="O173" s="212" t="s">
        <v>426</v>
      </c>
      <c r="P173" s="207" t="s">
        <v>426</v>
      </c>
      <c r="Q173" s="208" t="s">
        <v>426</v>
      </c>
      <c r="R173" s="209" t="s">
        <v>426</v>
      </c>
      <c r="S173" s="213" t="s">
        <v>426</v>
      </c>
      <c r="T173" s="212" t="s">
        <v>426</v>
      </c>
      <c r="U173" s="207" t="s">
        <v>426</v>
      </c>
      <c r="V173" s="208" t="s">
        <v>426</v>
      </c>
      <c r="W173" s="212" t="s">
        <v>426</v>
      </c>
      <c r="X173" s="301" t="s">
        <v>426</v>
      </c>
      <c r="Y173" s="302" t="s">
        <v>426</v>
      </c>
      <c r="Z173" s="208" t="s">
        <v>426</v>
      </c>
      <c r="AA173" s="163"/>
    </row>
    <row r="174" spans="2:27" ht="15" hidden="1" customHeight="1" x14ac:dyDescent="0.25">
      <c r="B174" s="155"/>
      <c r="C174" s="197" t="s">
        <v>426</v>
      </c>
      <c r="D174" s="211" t="s">
        <v>426</v>
      </c>
      <c r="E174" s="211" t="s">
        <v>426</v>
      </c>
      <c r="F174" s="199" t="s">
        <v>426</v>
      </c>
      <c r="G174" s="200" t="s">
        <v>426</v>
      </c>
      <c r="H174" s="201" t="s">
        <v>426</v>
      </c>
      <c r="I174" s="202" t="s">
        <v>426</v>
      </c>
      <c r="J174" s="202" t="s">
        <v>426</v>
      </c>
      <c r="K174" s="204" t="s">
        <v>426</v>
      </c>
      <c r="L174" s="205" t="s">
        <v>426</v>
      </c>
      <c r="M174" s="209" t="s">
        <v>426</v>
      </c>
      <c r="N174" s="213" t="s">
        <v>426</v>
      </c>
      <c r="O174" s="212" t="s">
        <v>426</v>
      </c>
      <c r="P174" s="207" t="s">
        <v>426</v>
      </c>
      <c r="Q174" s="208" t="s">
        <v>426</v>
      </c>
      <c r="R174" s="209" t="s">
        <v>426</v>
      </c>
      <c r="S174" s="213" t="s">
        <v>426</v>
      </c>
      <c r="T174" s="212" t="s">
        <v>426</v>
      </c>
      <c r="U174" s="207" t="s">
        <v>426</v>
      </c>
      <c r="V174" s="208" t="s">
        <v>426</v>
      </c>
      <c r="W174" s="212" t="s">
        <v>426</v>
      </c>
      <c r="X174" s="301" t="s">
        <v>426</v>
      </c>
      <c r="Y174" s="302" t="s">
        <v>426</v>
      </c>
      <c r="Z174" s="208" t="s">
        <v>426</v>
      </c>
      <c r="AA174" s="163"/>
    </row>
    <row r="175" spans="2:27" ht="15" hidden="1" customHeight="1" x14ac:dyDescent="0.25">
      <c r="B175" s="155"/>
      <c r="C175" s="197" t="s">
        <v>426</v>
      </c>
      <c r="D175" s="211" t="s">
        <v>426</v>
      </c>
      <c r="E175" s="211" t="s">
        <v>426</v>
      </c>
      <c r="F175" s="199" t="s">
        <v>426</v>
      </c>
      <c r="G175" s="200" t="s">
        <v>426</v>
      </c>
      <c r="H175" s="201" t="s">
        <v>426</v>
      </c>
      <c r="I175" s="202" t="s">
        <v>426</v>
      </c>
      <c r="J175" s="202" t="s">
        <v>426</v>
      </c>
      <c r="K175" s="204" t="s">
        <v>426</v>
      </c>
      <c r="L175" s="205" t="s">
        <v>426</v>
      </c>
      <c r="M175" s="209" t="s">
        <v>426</v>
      </c>
      <c r="N175" s="213" t="s">
        <v>426</v>
      </c>
      <c r="O175" s="212" t="s">
        <v>426</v>
      </c>
      <c r="P175" s="207" t="s">
        <v>426</v>
      </c>
      <c r="Q175" s="208" t="s">
        <v>426</v>
      </c>
      <c r="R175" s="209" t="s">
        <v>426</v>
      </c>
      <c r="S175" s="213" t="s">
        <v>426</v>
      </c>
      <c r="T175" s="212" t="s">
        <v>426</v>
      </c>
      <c r="U175" s="207" t="s">
        <v>426</v>
      </c>
      <c r="V175" s="208" t="s">
        <v>426</v>
      </c>
      <c r="W175" s="212" t="s">
        <v>426</v>
      </c>
      <c r="X175" s="301" t="s">
        <v>426</v>
      </c>
      <c r="Y175" s="302" t="s">
        <v>426</v>
      </c>
      <c r="Z175" s="208" t="s">
        <v>426</v>
      </c>
      <c r="AA175" s="163"/>
    </row>
    <row r="176" spans="2:27" ht="15" hidden="1" customHeight="1" x14ac:dyDescent="0.25">
      <c r="B176" s="155"/>
      <c r="C176" s="197" t="s">
        <v>426</v>
      </c>
      <c r="D176" s="211" t="s">
        <v>426</v>
      </c>
      <c r="E176" s="211" t="s">
        <v>426</v>
      </c>
      <c r="F176" s="199" t="s">
        <v>426</v>
      </c>
      <c r="G176" s="200" t="s">
        <v>426</v>
      </c>
      <c r="H176" s="201" t="s">
        <v>426</v>
      </c>
      <c r="I176" s="202" t="s">
        <v>426</v>
      </c>
      <c r="J176" s="202" t="s">
        <v>426</v>
      </c>
      <c r="K176" s="204" t="s">
        <v>426</v>
      </c>
      <c r="L176" s="205" t="s">
        <v>426</v>
      </c>
      <c r="M176" s="209" t="s">
        <v>426</v>
      </c>
      <c r="N176" s="213" t="s">
        <v>426</v>
      </c>
      <c r="O176" s="212" t="s">
        <v>426</v>
      </c>
      <c r="P176" s="207" t="s">
        <v>426</v>
      </c>
      <c r="Q176" s="208" t="s">
        <v>426</v>
      </c>
      <c r="R176" s="209" t="s">
        <v>426</v>
      </c>
      <c r="S176" s="213" t="s">
        <v>426</v>
      </c>
      <c r="T176" s="212" t="s">
        <v>426</v>
      </c>
      <c r="U176" s="207" t="s">
        <v>426</v>
      </c>
      <c r="V176" s="208" t="s">
        <v>426</v>
      </c>
      <c r="W176" s="212" t="s">
        <v>426</v>
      </c>
      <c r="X176" s="301" t="s">
        <v>426</v>
      </c>
      <c r="Y176" s="302" t="s">
        <v>426</v>
      </c>
      <c r="Z176" s="208" t="s">
        <v>426</v>
      </c>
      <c r="AA176" s="163"/>
    </row>
    <row r="177" spans="2:27" ht="15" hidden="1" customHeight="1" x14ac:dyDescent="0.25">
      <c r="B177" s="155"/>
      <c r="C177" s="197" t="s">
        <v>426</v>
      </c>
      <c r="D177" s="211" t="s">
        <v>426</v>
      </c>
      <c r="E177" s="211" t="s">
        <v>426</v>
      </c>
      <c r="F177" s="199" t="s">
        <v>426</v>
      </c>
      <c r="G177" s="200" t="s">
        <v>426</v>
      </c>
      <c r="H177" s="201" t="s">
        <v>426</v>
      </c>
      <c r="I177" s="202" t="s">
        <v>426</v>
      </c>
      <c r="J177" s="202" t="s">
        <v>426</v>
      </c>
      <c r="K177" s="204" t="s">
        <v>426</v>
      </c>
      <c r="L177" s="205" t="s">
        <v>426</v>
      </c>
      <c r="M177" s="209" t="s">
        <v>426</v>
      </c>
      <c r="N177" s="213" t="s">
        <v>426</v>
      </c>
      <c r="O177" s="212" t="s">
        <v>426</v>
      </c>
      <c r="P177" s="207" t="s">
        <v>426</v>
      </c>
      <c r="Q177" s="208" t="s">
        <v>426</v>
      </c>
      <c r="R177" s="209" t="s">
        <v>426</v>
      </c>
      <c r="S177" s="213" t="s">
        <v>426</v>
      </c>
      <c r="T177" s="212" t="s">
        <v>426</v>
      </c>
      <c r="U177" s="207" t="s">
        <v>426</v>
      </c>
      <c r="V177" s="208" t="s">
        <v>426</v>
      </c>
      <c r="W177" s="212" t="s">
        <v>426</v>
      </c>
      <c r="X177" s="301" t="s">
        <v>426</v>
      </c>
      <c r="Y177" s="302" t="s">
        <v>426</v>
      </c>
      <c r="Z177" s="208" t="s">
        <v>426</v>
      </c>
      <c r="AA177" s="163"/>
    </row>
    <row r="178" spans="2:27" ht="15" hidden="1" customHeight="1" x14ac:dyDescent="0.25">
      <c r="B178" s="155"/>
      <c r="C178" s="197" t="s">
        <v>426</v>
      </c>
      <c r="D178" s="211" t="s">
        <v>426</v>
      </c>
      <c r="E178" s="211" t="s">
        <v>426</v>
      </c>
      <c r="F178" s="199" t="s">
        <v>426</v>
      </c>
      <c r="G178" s="200" t="s">
        <v>426</v>
      </c>
      <c r="H178" s="201" t="s">
        <v>426</v>
      </c>
      <c r="I178" s="202" t="s">
        <v>426</v>
      </c>
      <c r="J178" s="202" t="s">
        <v>426</v>
      </c>
      <c r="K178" s="204" t="s">
        <v>426</v>
      </c>
      <c r="L178" s="205" t="s">
        <v>426</v>
      </c>
      <c r="M178" s="209" t="s">
        <v>426</v>
      </c>
      <c r="N178" s="213" t="s">
        <v>426</v>
      </c>
      <c r="O178" s="212" t="s">
        <v>426</v>
      </c>
      <c r="P178" s="207" t="s">
        <v>426</v>
      </c>
      <c r="Q178" s="208" t="s">
        <v>426</v>
      </c>
      <c r="R178" s="209" t="s">
        <v>426</v>
      </c>
      <c r="S178" s="213" t="s">
        <v>426</v>
      </c>
      <c r="T178" s="212" t="s">
        <v>426</v>
      </c>
      <c r="U178" s="207" t="s">
        <v>426</v>
      </c>
      <c r="V178" s="208" t="s">
        <v>426</v>
      </c>
      <c r="W178" s="212" t="s">
        <v>426</v>
      </c>
      <c r="X178" s="301" t="s">
        <v>426</v>
      </c>
      <c r="Y178" s="302" t="s">
        <v>426</v>
      </c>
      <c r="Z178" s="208" t="s">
        <v>426</v>
      </c>
      <c r="AA178" s="163"/>
    </row>
    <row r="179" spans="2:27" ht="15" hidden="1" customHeight="1" x14ac:dyDescent="0.25">
      <c r="B179" s="155"/>
      <c r="C179" s="197" t="s">
        <v>426</v>
      </c>
      <c r="D179" s="211" t="s">
        <v>426</v>
      </c>
      <c r="E179" s="211" t="s">
        <v>426</v>
      </c>
      <c r="F179" s="199" t="s">
        <v>426</v>
      </c>
      <c r="G179" s="200" t="s">
        <v>426</v>
      </c>
      <c r="H179" s="201" t="s">
        <v>426</v>
      </c>
      <c r="I179" s="202" t="s">
        <v>426</v>
      </c>
      <c r="J179" s="202" t="s">
        <v>426</v>
      </c>
      <c r="K179" s="204" t="s">
        <v>426</v>
      </c>
      <c r="L179" s="205" t="s">
        <v>426</v>
      </c>
      <c r="M179" s="209" t="s">
        <v>426</v>
      </c>
      <c r="N179" s="213" t="s">
        <v>426</v>
      </c>
      <c r="O179" s="212" t="s">
        <v>426</v>
      </c>
      <c r="P179" s="207" t="s">
        <v>426</v>
      </c>
      <c r="Q179" s="208" t="s">
        <v>426</v>
      </c>
      <c r="R179" s="209" t="s">
        <v>426</v>
      </c>
      <c r="S179" s="213" t="s">
        <v>426</v>
      </c>
      <c r="T179" s="212" t="s">
        <v>426</v>
      </c>
      <c r="U179" s="207" t="s">
        <v>426</v>
      </c>
      <c r="V179" s="208" t="s">
        <v>426</v>
      </c>
      <c r="W179" s="212" t="s">
        <v>426</v>
      </c>
      <c r="X179" s="301" t="s">
        <v>426</v>
      </c>
      <c r="Y179" s="302" t="s">
        <v>426</v>
      </c>
      <c r="Z179" s="208" t="s">
        <v>426</v>
      </c>
      <c r="AA179" s="163"/>
    </row>
    <row r="180" spans="2:27" ht="15" hidden="1" customHeight="1" x14ac:dyDescent="0.25">
      <c r="B180" s="155"/>
      <c r="C180" s="197" t="s">
        <v>426</v>
      </c>
      <c r="D180" s="211" t="s">
        <v>426</v>
      </c>
      <c r="E180" s="211" t="s">
        <v>426</v>
      </c>
      <c r="F180" s="199" t="s">
        <v>426</v>
      </c>
      <c r="G180" s="200" t="s">
        <v>426</v>
      </c>
      <c r="H180" s="201" t="s">
        <v>426</v>
      </c>
      <c r="I180" s="202" t="s">
        <v>426</v>
      </c>
      <c r="J180" s="202" t="s">
        <v>426</v>
      </c>
      <c r="K180" s="204" t="s">
        <v>426</v>
      </c>
      <c r="L180" s="205" t="s">
        <v>426</v>
      </c>
      <c r="M180" s="209" t="s">
        <v>426</v>
      </c>
      <c r="N180" s="213" t="s">
        <v>426</v>
      </c>
      <c r="O180" s="212" t="s">
        <v>426</v>
      </c>
      <c r="P180" s="207" t="s">
        <v>426</v>
      </c>
      <c r="Q180" s="208" t="s">
        <v>426</v>
      </c>
      <c r="R180" s="209" t="s">
        <v>426</v>
      </c>
      <c r="S180" s="213" t="s">
        <v>426</v>
      </c>
      <c r="T180" s="212" t="s">
        <v>426</v>
      </c>
      <c r="U180" s="207" t="s">
        <v>426</v>
      </c>
      <c r="V180" s="208" t="s">
        <v>426</v>
      </c>
      <c r="W180" s="212" t="s">
        <v>426</v>
      </c>
      <c r="X180" s="301" t="s">
        <v>426</v>
      </c>
      <c r="Y180" s="302" t="s">
        <v>426</v>
      </c>
      <c r="Z180" s="208" t="s">
        <v>426</v>
      </c>
      <c r="AA180" s="163"/>
    </row>
    <row r="181" spans="2:27" ht="15" hidden="1" customHeight="1" x14ac:dyDescent="0.25">
      <c r="B181" s="155"/>
      <c r="C181" s="197" t="s">
        <v>426</v>
      </c>
      <c r="D181" s="211" t="s">
        <v>426</v>
      </c>
      <c r="E181" s="211" t="s">
        <v>426</v>
      </c>
      <c r="F181" s="199" t="s">
        <v>426</v>
      </c>
      <c r="G181" s="200" t="s">
        <v>426</v>
      </c>
      <c r="H181" s="201" t="s">
        <v>426</v>
      </c>
      <c r="I181" s="202" t="s">
        <v>426</v>
      </c>
      <c r="J181" s="202" t="s">
        <v>426</v>
      </c>
      <c r="K181" s="204" t="s">
        <v>426</v>
      </c>
      <c r="L181" s="205" t="s">
        <v>426</v>
      </c>
      <c r="M181" s="209" t="s">
        <v>426</v>
      </c>
      <c r="N181" s="213" t="s">
        <v>426</v>
      </c>
      <c r="O181" s="212" t="s">
        <v>426</v>
      </c>
      <c r="P181" s="207" t="s">
        <v>426</v>
      </c>
      <c r="Q181" s="208" t="s">
        <v>426</v>
      </c>
      <c r="R181" s="209" t="s">
        <v>426</v>
      </c>
      <c r="S181" s="213" t="s">
        <v>426</v>
      </c>
      <c r="T181" s="212" t="s">
        <v>426</v>
      </c>
      <c r="U181" s="207" t="s">
        <v>426</v>
      </c>
      <c r="V181" s="208" t="s">
        <v>426</v>
      </c>
      <c r="W181" s="212" t="s">
        <v>426</v>
      </c>
      <c r="X181" s="301" t="s">
        <v>426</v>
      </c>
      <c r="Y181" s="302" t="s">
        <v>426</v>
      </c>
      <c r="Z181" s="208" t="s">
        <v>426</v>
      </c>
      <c r="AA181" s="163"/>
    </row>
    <row r="182" spans="2:27" ht="15" hidden="1" customHeight="1" x14ac:dyDescent="0.25">
      <c r="B182" s="155"/>
      <c r="C182" s="197" t="s">
        <v>426</v>
      </c>
      <c r="D182" s="211" t="s">
        <v>426</v>
      </c>
      <c r="E182" s="211" t="s">
        <v>426</v>
      </c>
      <c r="F182" s="199" t="s">
        <v>426</v>
      </c>
      <c r="G182" s="200" t="s">
        <v>426</v>
      </c>
      <c r="H182" s="201" t="s">
        <v>426</v>
      </c>
      <c r="I182" s="202" t="s">
        <v>426</v>
      </c>
      <c r="J182" s="202" t="s">
        <v>426</v>
      </c>
      <c r="K182" s="204" t="s">
        <v>426</v>
      </c>
      <c r="L182" s="205" t="s">
        <v>426</v>
      </c>
      <c r="M182" s="209" t="s">
        <v>426</v>
      </c>
      <c r="N182" s="213" t="s">
        <v>426</v>
      </c>
      <c r="O182" s="212" t="s">
        <v>426</v>
      </c>
      <c r="P182" s="207" t="s">
        <v>426</v>
      </c>
      <c r="Q182" s="208" t="s">
        <v>426</v>
      </c>
      <c r="R182" s="209" t="s">
        <v>426</v>
      </c>
      <c r="S182" s="213" t="s">
        <v>426</v>
      </c>
      <c r="T182" s="212" t="s">
        <v>426</v>
      </c>
      <c r="U182" s="207" t="s">
        <v>426</v>
      </c>
      <c r="V182" s="208" t="s">
        <v>426</v>
      </c>
      <c r="W182" s="212" t="s">
        <v>426</v>
      </c>
      <c r="X182" s="301" t="s">
        <v>426</v>
      </c>
      <c r="Y182" s="302" t="s">
        <v>426</v>
      </c>
      <c r="Z182" s="208" t="s">
        <v>426</v>
      </c>
      <c r="AA182" s="163"/>
    </row>
    <row r="183" spans="2:27" ht="15" hidden="1" customHeight="1" x14ac:dyDescent="0.25">
      <c r="B183" s="155"/>
      <c r="C183" s="197" t="s">
        <v>426</v>
      </c>
      <c r="D183" s="211" t="s">
        <v>426</v>
      </c>
      <c r="E183" s="211" t="s">
        <v>426</v>
      </c>
      <c r="F183" s="199" t="s">
        <v>426</v>
      </c>
      <c r="G183" s="200" t="s">
        <v>426</v>
      </c>
      <c r="H183" s="201" t="s">
        <v>426</v>
      </c>
      <c r="I183" s="202" t="s">
        <v>426</v>
      </c>
      <c r="J183" s="202" t="s">
        <v>426</v>
      </c>
      <c r="K183" s="204" t="s">
        <v>426</v>
      </c>
      <c r="L183" s="205" t="s">
        <v>426</v>
      </c>
      <c r="M183" s="209" t="s">
        <v>426</v>
      </c>
      <c r="N183" s="213" t="s">
        <v>426</v>
      </c>
      <c r="O183" s="212" t="s">
        <v>426</v>
      </c>
      <c r="P183" s="207" t="s">
        <v>426</v>
      </c>
      <c r="Q183" s="208" t="s">
        <v>426</v>
      </c>
      <c r="R183" s="209" t="s">
        <v>426</v>
      </c>
      <c r="S183" s="213" t="s">
        <v>426</v>
      </c>
      <c r="T183" s="212" t="s">
        <v>426</v>
      </c>
      <c r="U183" s="207" t="s">
        <v>426</v>
      </c>
      <c r="V183" s="208" t="s">
        <v>426</v>
      </c>
      <c r="W183" s="212" t="s">
        <v>426</v>
      </c>
      <c r="X183" s="301" t="s">
        <v>426</v>
      </c>
      <c r="Y183" s="302" t="s">
        <v>426</v>
      </c>
      <c r="Z183" s="208" t="s">
        <v>426</v>
      </c>
      <c r="AA183" s="163"/>
    </row>
    <row r="184" spans="2:27" ht="15" hidden="1" customHeight="1" x14ac:dyDescent="0.25">
      <c r="B184" s="155"/>
      <c r="C184" s="197" t="s">
        <v>426</v>
      </c>
      <c r="D184" s="211" t="s">
        <v>426</v>
      </c>
      <c r="E184" s="211" t="s">
        <v>426</v>
      </c>
      <c r="F184" s="199" t="s">
        <v>426</v>
      </c>
      <c r="G184" s="200" t="s">
        <v>426</v>
      </c>
      <c r="H184" s="201" t="s">
        <v>426</v>
      </c>
      <c r="I184" s="202" t="s">
        <v>426</v>
      </c>
      <c r="J184" s="202" t="s">
        <v>426</v>
      </c>
      <c r="K184" s="204" t="s">
        <v>426</v>
      </c>
      <c r="L184" s="205" t="s">
        <v>426</v>
      </c>
      <c r="M184" s="209" t="s">
        <v>426</v>
      </c>
      <c r="N184" s="213" t="s">
        <v>426</v>
      </c>
      <c r="O184" s="212" t="s">
        <v>426</v>
      </c>
      <c r="P184" s="207" t="s">
        <v>426</v>
      </c>
      <c r="Q184" s="208" t="s">
        <v>426</v>
      </c>
      <c r="R184" s="209" t="s">
        <v>426</v>
      </c>
      <c r="S184" s="213" t="s">
        <v>426</v>
      </c>
      <c r="T184" s="212" t="s">
        <v>426</v>
      </c>
      <c r="U184" s="207" t="s">
        <v>426</v>
      </c>
      <c r="V184" s="208" t="s">
        <v>426</v>
      </c>
      <c r="W184" s="212" t="s">
        <v>426</v>
      </c>
      <c r="X184" s="301" t="s">
        <v>426</v>
      </c>
      <c r="Y184" s="302" t="s">
        <v>426</v>
      </c>
      <c r="Z184" s="208" t="s">
        <v>426</v>
      </c>
      <c r="AA184" s="163"/>
    </row>
    <row r="185" spans="2:27" ht="15" hidden="1" customHeight="1" x14ac:dyDescent="0.25">
      <c r="B185" s="155"/>
      <c r="C185" s="197" t="s">
        <v>426</v>
      </c>
      <c r="D185" s="211" t="s">
        <v>426</v>
      </c>
      <c r="E185" s="211" t="s">
        <v>426</v>
      </c>
      <c r="F185" s="199" t="s">
        <v>426</v>
      </c>
      <c r="G185" s="200" t="s">
        <v>426</v>
      </c>
      <c r="H185" s="201" t="s">
        <v>426</v>
      </c>
      <c r="I185" s="202" t="s">
        <v>426</v>
      </c>
      <c r="J185" s="202" t="s">
        <v>426</v>
      </c>
      <c r="K185" s="204" t="s">
        <v>426</v>
      </c>
      <c r="L185" s="205" t="s">
        <v>426</v>
      </c>
      <c r="M185" s="209" t="s">
        <v>426</v>
      </c>
      <c r="N185" s="213" t="s">
        <v>426</v>
      </c>
      <c r="O185" s="212" t="s">
        <v>426</v>
      </c>
      <c r="P185" s="207" t="s">
        <v>426</v>
      </c>
      <c r="Q185" s="208" t="s">
        <v>426</v>
      </c>
      <c r="R185" s="209" t="s">
        <v>426</v>
      </c>
      <c r="S185" s="213" t="s">
        <v>426</v>
      </c>
      <c r="T185" s="212" t="s">
        <v>426</v>
      </c>
      <c r="U185" s="207" t="s">
        <v>426</v>
      </c>
      <c r="V185" s="208" t="s">
        <v>426</v>
      </c>
      <c r="W185" s="212" t="s">
        <v>426</v>
      </c>
      <c r="X185" s="301" t="s">
        <v>426</v>
      </c>
      <c r="Y185" s="302" t="s">
        <v>426</v>
      </c>
      <c r="Z185" s="208" t="s">
        <v>426</v>
      </c>
      <c r="AA185" s="163"/>
    </row>
    <row r="186" spans="2:27" ht="15" hidden="1" customHeight="1" x14ac:dyDescent="0.25">
      <c r="B186" s="155"/>
      <c r="C186" s="197" t="s">
        <v>426</v>
      </c>
      <c r="D186" s="211" t="s">
        <v>426</v>
      </c>
      <c r="E186" s="211" t="s">
        <v>426</v>
      </c>
      <c r="F186" s="199" t="s">
        <v>426</v>
      </c>
      <c r="G186" s="200" t="s">
        <v>426</v>
      </c>
      <c r="H186" s="201" t="s">
        <v>426</v>
      </c>
      <c r="I186" s="202" t="s">
        <v>426</v>
      </c>
      <c r="J186" s="202" t="s">
        <v>426</v>
      </c>
      <c r="K186" s="204" t="s">
        <v>426</v>
      </c>
      <c r="L186" s="205" t="s">
        <v>426</v>
      </c>
      <c r="M186" s="209" t="s">
        <v>426</v>
      </c>
      <c r="N186" s="213" t="s">
        <v>426</v>
      </c>
      <c r="O186" s="212" t="s">
        <v>426</v>
      </c>
      <c r="P186" s="207" t="s">
        <v>426</v>
      </c>
      <c r="Q186" s="208" t="s">
        <v>426</v>
      </c>
      <c r="R186" s="209" t="s">
        <v>426</v>
      </c>
      <c r="S186" s="213" t="s">
        <v>426</v>
      </c>
      <c r="T186" s="212" t="s">
        <v>426</v>
      </c>
      <c r="U186" s="207" t="s">
        <v>426</v>
      </c>
      <c r="V186" s="208" t="s">
        <v>426</v>
      </c>
      <c r="W186" s="212" t="s">
        <v>426</v>
      </c>
      <c r="X186" s="301" t="s">
        <v>426</v>
      </c>
      <c r="Y186" s="302" t="s">
        <v>426</v>
      </c>
      <c r="Z186" s="208" t="s">
        <v>426</v>
      </c>
      <c r="AA186" s="163"/>
    </row>
    <row r="187" spans="2:27" ht="15" hidden="1" customHeight="1" x14ac:dyDescent="0.25">
      <c r="B187" s="155"/>
      <c r="C187" s="197" t="s">
        <v>426</v>
      </c>
      <c r="D187" s="211" t="s">
        <v>426</v>
      </c>
      <c r="E187" s="211" t="s">
        <v>426</v>
      </c>
      <c r="F187" s="199" t="s">
        <v>426</v>
      </c>
      <c r="G187" s="200" t="s">
        <v>426</v>
      </c>
      <c r="H187" s="201" t="s">
        <v>426</v>
      </c>
      <c r="I187" s="202" t="s">
        <v>426</v>
      </c>
      <c r="J187" s="202" t="s">
        <v>426</v>
      </c>
      <c r="K187" s="204" t="s">
        <v>426</v>
      </c>
      <c r="L187" s="205" t="s">
        <v>426</v>
      </c>
      <c r="M187" s="209" t="s">
        <v>426</v>
      </c>
      <c r="N187" s="213" t="s">
        <v>426</v>
      </c>
      <c r="O187" s="212" t="s">
        <v>426</v>
      </c>
      <c r="P187" s="207" t="s">
        <v>426</v>
      </c>
      <c r="Q187" s="208" t="s">
        <v>426</v>
      </c>
      <c r="R187" s="209" t="s">
        <v>426</v>
      </c>
      <c r="S187" s="213" t="s">
        <v>426</v>
      </c>
      <c r="T187" s="212" t="s">
        <v>426</v>
      </c>
      <c r="U187" s="207" t="s">
        <v>426</v>
      </c>
      <c r="V187" s="208" t="s">
        <v>426</v>
      </c>
      <c r="W187" s="212" t="s">
        <v>426</v>
      </c>
      <c r="X187" s="301" t="s">
        <v>426</v>
      </c>
      <c r="Y187" s="302" t="s">
        <v>426</v>
      </c>
      <c r="Z187" s="208" t="s">
        <v>426</v>
      </c>
      <c r="AA187" s="163"/>
    </row>
    <row r="188" spans="2:27" ht="15" hidden="1" customHeight="1" x14ac:dyDescent="0.25">
      <c r="B188" s="155"/>
      <c r="C188" s="197" t="s">
        <v>426</v>
      </c>
      <c r="D188" s="211" t="s">
        <v>426</v>
      </c>
      <c r="E188" s="211" t="s">
        <v>426</v>
      </c>
      <c r="F188" s="199" t="s">
        <v>426</v>
      </c>
      <c r="G188" s="200" t="s">
        <v>426</v>
      </c>
      <c r="H188" s="201" t="s">
        <v>426</v>
      </c>
      <c r="I188" s="202" t="s">
        <v>426</v>
      </c>
      <c r="J188" s="202" t="s">
        <v>426</v>
      </c>
      <c r="K188" s="204" t="s">
        <v>426</v>
      </c>
      <c r="L188" s="205" t="s">
        <v>426</v>
      </c>
      <c r="M188" s="209" t="s">
        <v>426</v>
      </c>
      <c r="N188" s="213" t="s">
        <v>426</v>
      </c>
      <c r="O188" s="212" t="s">
        <v>426</v>
      </c>
      <c r="P188" s="207" t="s">
        <v>426</v>
      </c>
      <c r="Q188" s="208" t="s">
        <v>426</v>
      </c>
      <c r="R188" s="209" t="s">
        <v>426</v>
      </c>
      <c r="S188" s="213" t="s">
        <v>426</v>
      </c>
      <c r="T188" s="212" t="s">
        <v>426</v>
      </c>
      <c r="U188" s="207" t="s">
        <v>426</v>
      </c>
      <c r="V188" s="208" t="s">
        <v>426</v>
      </c>
      <c r="W188" s="212" t="s">
        <v>426</v>
      </c>
      <c r="X188" s="301" t="s">
        <v>426</v>
      </c>
      <c r="Y188" s="302" t="s">
        <v>426</v>
      </c>
      <c r="Z188" s="208" t="s">
        <v>426</v>
      </c>
      <c r="AA188" s="163"/>
    </row>
    <row r="189" spans="2:27" ht="15" hidden="1" customHeight="1" x14ac:dyDescent="0.25">
      <c r="B189" s="155"/>
      <c r="C189" s="197" t="s">
        <v>426</v>
      </c>
      <c r="D189" s="211" t="s">
        <v>426</v>
      </c>
      <c r="E189" s="211" t="s">
        <v>426</v>
      </c>
      <c r="F189" s="199" t="s">
        <v>426</v>
      </c>
      <c r="G189" s="200" t="s">
        <v>426</v>
      </c>
      <c r="H189" s="201" t="s">
        <v>426</v>
      </c>
      <c r="I189" s="202" t="s">
        <v>426</v>
      </c>
      <c r="J189" s="202" t="s">
        <v>426</v>
      </c>
      <c r="K189" s="204" t="s">
        <v>426</v>
      </c>
      <c r="L189" s="205" t="s">
        <v>426</v>
      </c>
      <c r="M189" s="209" t="s">
        <v>426</v>
      </c>
      <c r="N189" s="213" t="s">
        <v>426</v>
      </c>
      <c r="O189" s="212" t="s">
        <v>426</v>
      </c>
      <c r="P189" s="207" t="s">
        <v>426</v>
      </c>
      <c r="Q189" s="208" t="s">
        <v>426</v>
      </c>
      <c r="R189" s="209" t="s">
        <v>426</v>
      </c>
      <c r="S189" s="213" t="s">
        <v>426</v>
      </c>
      <c r="T189" s="212" t="s">
        <v>426</v>
      </c>
      <c r="U189" s="207" t="s">
        <v>426</v>
      </c>
      <c r="V189" s="208" t="s">
        <v>426</v>
      </c>
      <c r="W189" s="212" t="s">
        <v>426</v>
      </c>
      <c r="X189" s="301" t="s">
        <v>426</v>
      </c>
      <c r="Y189" s="302" t="s">
        <v>426</v>
      </c>
      <c r="Z189" s="208" t="s">
        <v>426</v>
      </c>
      <c r="AA189" s="163"/>
    </row>
    <row r="190" spans="2:27" ht="15" hidden="1" customHeight="1" x14ac:dyDescent="0.25">
      <c r="B190" s="155"/>
      <c r="C190" s="197" t="s">
        <v>426</v>
      </c>
      <c r="D190" s="211" t="s">
        <v>426</v>
      </c>
      <c r="E190" s="211" t="s">
        <v>426</v>
      </c>
      <c r="F190" s="199" t="s">
        <v>426</v>
      </c>
      <c r="G190" s="200" t="s">
        <v>426</v>
      </c>
      <c r="H190" s="201" t="s">
        <v>426</v>
      </c>
      <c r="I190" s="202" t="s">
        <v>426</v>
      </c>
      <c r="J190" s="202" t="s">
        <v>426</v>
      </c>
      <c r="K190" s="204" t="s">
        <v>426</v>
      </c>
      <c r="L190" s="205" t="s">
        <v>426</v>
      </c>
      <c r="M190" s="209" t="s">
        <v>426</v>
      </c>
      <c r="N190" s="213" t="s">
        <v>426</v>
      </c>
      <c r="O190" s="212" t="s">
        <v>426</v>
      </c>
      <c r="P190" s="207" t="s">
        <v>426</v>
      </c>
      <c r="Q190" s="208" t="s">
        <v>426</v>
      </c>
      <c r="R190" s="209" t="s">
        <v>426</v>
      </c>
      <c r="S190" s="213" t="s">
        <v>426</v>
      </c>
      <c r="T190" s="212" t="s">
        <v>426</v>
      </c>
      <c r="U190" s="207" t="s">
        <v>426</v>
      </c>
      <c r="V190" s="208" t="s">
        <v>426</v>
      </c>
      <c r="W190" s="212" t="s">
        <v>426</v>
      </c>
      <c r="X190" s="301" t="s">
        <v>426</v>
      </c>
      <c r="Y190" s="302" t="s">
        <v>426</v>
      </c>
      <c r="Z190" s="208" t="s">
        <v>426</v>
      </c>
      <c r="AA190" s="163"/>
    </row>
    <row r="191" spans="2:27" ht="15" hidden="1" customHeight="1" x14ac:dyDescent="0.25">
      <c r="B191" s="155"/>
      <c r="C191" s="197" t="s">
        <v>426</v>
      </c>
      <c r="D191" s="211" t="s">
        <v>426</v>
      </c>
      <c r="E191" s="211" t="s">
        <v>426</v>
      </c>
      <c r="F191" s="199" t="s">
        <v>426</v>
      </c>
      <c r="G191" s="200" t="s">
        <v>426</v>
      </c>
      <c r="H191" s="201" t="s">
        <v>426</v>
      </c>
      <c r="I191" s="202" t="s">
        <v>426</v>
      </c>
      <c r="J191" s="202" t="s">
        <v>426</v>
      </c>
      <c r="K191" s="204" t="s">
        <v>426</v>
      </c>
      <c r="L191" s="205" t="s">
        <v>426</v>
      </c>
      <c r="M191" s="209" t="s">
        <v>426</v>
      </c>
      <c r="N191" s="213" t="s">
        <v>426</v>
      </c>
      <c r="O191" s="212" t="s">
        <v>426</v>
      </c>
      <c r="P191" s="207" t="s">
        <v>426</v>
      </c>
      <c r="Q191" s="208" t="s">
        <v>426</v>
      </c>
      <c r="R191" s="209" t="s">
        <v>426</v>
      </c>
      <c r="S191" s="213" t="s">
        <v>426</v>
      </c>
      <c r="T191" s="212" t="s">
        <v>426</v>
      </c>
      <c r="U191" s="207" t="s">
        <v>426</v>
      </c>
      <c r="V191" s="208" t="s">
        <v>426</v>
      </c>
      <c r="W191" s="212" t="s">
        <v>426</v>
      </c>
      <c r="X191" s="301" t="s">
        <v>426</v>
      </c>
      <c r="Y191" s="302" t="s">
        <v>426</v>
      </c>
      <c r="Z191" s="208" t="s">
        <v>426</v>
      </c>
      <c r="AA191" s="163"/>
    </row>
    <row r="192" spans="2:27" ht="15" hidden="1" customHeight="1" x14ac:dyDescent="0.25">
      <c r="B192" s="155"/>
      <c r="C192" s="197" t="s">
        <v>426</v>
      </c>
      <c r="D192" s="211" t="s">
        <v>426</v>
      </c>
      <c r="E192" s="211" t="s">
        <v>426</v>
      </c>
      <c r="F192" s="199" t="s">
        <v>426</v>
      </c>
      <c r="G192" s="200" t="s">
        <v>426</v>
      </c>
      <c r="H192" s="201" t="s">
        <v>426</v>
      </c>
      <c r="I192" s="202" t="s">
        <v>426</v>
      </c>
      <c r="J192" s="202" t="s">
        <v>426</v>
      </c>
      <c r="K192" s="204" t="s">
        <v>426</v>
      </c>
      <c r="L192" s="205" t="s">
        <v>426</v>
      </c>
      <c r="M192" s="209" t="s">
        <v>426</v>
      </c>
      <c r="N192" s="213" t="s">
        <v>426</v>
      </c>
      <c r="O192" s="212" t="s">
        <v>426</v>
      </c>
      <c r="P192" s="207" t="s">
        <v>426</v>
      </c>
      <c r="Q192" s="208" t="s">
        <v>426</v>
      </c>
      <c r="R192" s="209" t="s">
        <v>426</v>
      </c>
      <c r="S192" s="213" t="s">
        <v>426</v>
      </c>
      <c r="T192" s="212" t="s">
        <v>426</v>
      </c>
      <c r="U192" s="207" t="s">
        <v>426</v>
      </c>
      <c r="V192" s="208" t="s">
        <v>426</v>
      </c>
      <c r="W192" s="212" t="s">
        <v>426</v>
      </c>
      <c r="X192" s="301" t="s">
        <v>426</v>
      </c>
      <c r="Y192" s="302" t="s">
        <v>426</v>
      </c>
      <c r="Z192" s="208" t="s">
        <v>426</v>
      </c>
      <c r="AA192" s="163"/>
    </row>
    <row r="193" spans="2:27" ht="15" hidden="1" customHeight="1" x14ac:dyDescent="0.25">
      <c r="B193" s="155"/>
      <c r="C193" s="197" t="s">
        <v>426</v>
      </c>
      <c r="D193" s="211" t="s">
        <v>426</v>
      </c>
      <c r="E193" s="211" t="s">
        <v>426</v>
      </c>
      <c r="F193" s="199" t="s">
        <v>426</v>
      </c>
      <c r="G193" s="200" t="s">
        <v>426</v>
      </c>
      <c r="H193" s="201" t="s">
        <v>426</v>
      </c>
      <c r="I193" s="202" t="s">
        <v>426</v>
      </c>
      <c r="J193" s="202" t="s">
        <v>426</v>
      </c>
      <c r="K193" s="204" t="s">
        <v>426</v>
      </c>
      <c r="L193" s="205" t="s">
        <v>426</v>
      </c>
      <c r="M193" s="209" t="s">
        <v>426</v>
      </c>
      <c r="N193" s="213" t="s">
        <v>426</v>
      </c>
      <c r="O193" s="212" t="s">
        <v>426</v>
      </c>
      <c r="P193" s="207" t="s">
        <v>426</v>
      </c>
      <c r="Q193" s="208" t="s">
        <v>426</v>
      </c>
      <c r="R193" s="209" t="s">
        <v>426</v>
      </c>
      <c r="S193" s="213" t="s">
        <v>426</v>
      </c>
      <c r="T193" s="212" t="s">
        <v>426</v>
      </c>
      <c r="U193" s="207" t="s">
        <v>426</v>
      </c>
      <c r="V193" s="208" t="s">
        <v>426</v>
      </c>
      <c r="W193" s="212" t="s">
        <v>426</v>
      </c>
      <c r="X193" s="301" t="s">
        <v>426</v>
      </c>
      <c r="Y193" s="302" t="s">
        <v>426</v>
      </c>
      <c r="Z193" s="208" t="s">
        <v>426</v>
      </c>
      <c r="AA193" s="163"/>
    </row>
    <row r="194" spans="2:27" ht="15" hidden="1" customHeight="1" x14ac:dyDescent="0.25">
      <c r="B194" s="155"/>
      <c r="C194" s="197" t="s">
        <v>426</v>
      </c>
      <c r="D194" s="211" t="s">
        <v>426</v>
      </c>
      <c r="E194" s="211" t="s">
        <v>426</v>
      </c>
      <c r="F194" s="199" t="s">
        <v>426</v>
      </c>
      <c r="G194" s="200" t="s">
        <v>426</v>
      </c>
      <c r="H194" s="201" t="s">
        <v>426</v>
      </c>
      <c r="I194" s="202" t="s">
        <v>426</v>
      </c>
      <c r="J194" s="202" t="s">
        <v>426</v>
      </c>
      <c r="K194" s="204" t="s">
        <v>426</v>
      </c>
      <c r="L194" s="205" t="s">
        <v>426</v>
      </c>
      <c r="M194" s="209" t="s">
        <v>426</v>
      </c>
      <c r="N194" s="213" t="s">
        <v>426</v>
      </c>
      <c r="O194" s="212" t="s">
        <v>426</v>
      </c>
      <c r="P194" s="207" t="s">
        <v>426</v>
      </c>
      <c r="Q194" s="208" t="s">
        <v>426</v>
      </c>
      <c r="R194" s="209" t="s">
        <v>426</v>
      </c>
      <c r="S194" s="213" t="s">
        <v>426</v>
      </c>
      <c r="T194" s="212" t="s">
        <v>426</v>
      </c>
      <c r="U194" s="207" t="s">
        <v>426</v>
      </c>
      <c r="V194" s="208" t="s">
        <v>426</v>
      </c>
      <c r="W194" s="212" t="s">
        <v>426</v>
      </c>
      <c r="X194" s="301" t="s">
        <v>426</v>
      </c>
      <c r="Y194" s="302" t="s">
        <v>426</v>
      </c>
      <c r="Z194" s="208" t="s">
        <v>426</v>
      </c>
      <c r="AA194" s="163"/>
    </row>
    <row r="195" spans="2:27" ht="15" hidden="1" customHeight="1" x14ac:dyDescent="0.25">
      <c r="B195" s="155"/>
      <c r="C195" s="197" t="s">
        <v>426</v>
      </c>
      <c r="D195" s="211" t="s">
        <v>426</v>
      </c>
      <c r="E195" s="211" t="s">
        <v>426</v>
      </c>
      <c r="F195" s="199" t="s">
        <v>426</v>
      </c>
      <c r="G195" s="200" t="s">
        <v>426</v>
      </c>
      <c r="H195" s="201" t="s">
        <v>426</v>
      </c>
      <c r="I195" s="202" t="s">
        <v>426</v>
      </c>
      <c r="J195" s="202" t="s">
        <v>426</v>
      </c>
      <c r="K195" s="204" t="s">
        <v>426</v>
      </c>
      <c r="L195" s="205" t="s">
        <v>426</v>
      </c>
      <c r="M195" s="209" t="s">
        <v>426</v>
      </c>
      <c r="N195" s="213" t="s">
        <v>426</v>
      </c>
      <c r="O195" s="212" t="s">
        <v>426</v>
      </c>
      <c r="P195" s="207" t="s">
        <v>426</v>
      </c>
      <c r="Q195" s="208" t="s">
        <v>426</v>
      </c>
      <c r="R195" s="209" t="s">
        <v>426</v>
      </c>
      <c r="S195" s="213" t="s">
        <v>426</v>
      </c>
      <c r="T195" s="212" t="s">
        <v>426</v>
      </c>
      <c r="U195" s="207" t="s">
        <v>426</v>
      </c>
      <c r="V195" s="208" t="s">
        <v>426</v>
      </c>
      <c r="W195" s="212" t="s">
        <v>426</v>
      </c>
      <c r="X195" s="301" t="s">
        <v>426</v>
      </c>
      <c r="Y195" s="302" t="s">
        <v>426</v>
      </c>
      <c r="Z195" s="208" t="s">
        <v>426</v>
      </c>
      <c r="AA195" s="163"/>
    </row>
    <row r="196" spans="2:27" ht="15" hidden="1" customHeight="1" x14ac:dyDescent="0.25">
      <c r="B196" s="155"/>
      <c r="C196" s="197" t="s">
        <v>426</v>
      </c>
      <c r="D196" s="211" t="s">
        <v>426</v>
      </c>
      <c r="E196" s="211" t="s">
        <v>426</v>
      </c>
      <c r="F196" s="199" t="s">
        <v>426</v>
      </c>
      <c r="G196" s="200" t="s">
        <v>426</v>
      </c>
      <c r="H196" s="201" t="s">
        <v>426</v>
      </c>
      <c r="I196" s="202" t="s">
        <v>426</v>
      </c>
      <c r="J196" s="202" t="s">
        <v>426</v>
      </c>
      <c r="K196" s="204" t="s">
        <v>426</v>
      </c>
      <c r="L196" s="205" t="s">
        <v>426</v>
      </c>
      <c r="M196" s="209" t="s">
        <v>426</v>
      </c>
      <c r="N196" s="213" t="s">
        <v>426</v>
      </c>
      <c r="O196" s="212" t="s">
        <v>426</v>
      </c>
      <c r="P196" s="207" t="s">
        <v>426</v>
      </c>
      <c r="Q196" s="208" t="s">
        <v>426</v>
      </c>
      <c r="R196" s="209" t="s">
        <v>426</v>
      </c>
      <c r="S196" s="213" t="s">
        <v>426</v>
      </c>
      <c r="T196" s="212" t="s">
        <v>426</v>
      </c>
      <c r="U196" s="207" t="s">
        <v>426</v>
      </c>
      <c r="V196" s="208" t="s">
        <v>426</v>
      </c>
      <c r="W196" s="212" t="s">
        <v>426</v>
      </c>
      <c r="X196" s="301" t="s">
        <v>426</v>
      </c>
      <c r="Y196" s="302" t="s">
        <v>426</v>
      </c>
      <c r="Z196" s="208" t="s">
        <v>426</v>
      </c>
      <c r="AA196" s="163"/>
    </row>
    <row r="197" spans="2:27" ht="15" hidden="1" customHeight="1" x14ac:dyDescent="0.25">
      <c r="B197" s="155"/>
      <c r="C197" s="197" t="s">
        <v>426</v>
      </c>
      <c r="D197" s="211" t="s">
        <v>426</v>
      </c>
      <c r="E197" s="211" t="s">
        <v>426</v>
      </c>
      <c r="F197" s="199" t="s">
        <v>426</v>
      </c>
      <c r="G197" s="200" t="s">
        <v>426</v>
      </c>
      <c r="H197" s="201" t="s">
        <v>426</v>
      </c>
      <c r="I197" s="202" t="s">
        <v>426</v>
      </c>
      <c r="J197" s="202" t="s">
        <v>426</v>
      </c>
      <c r="K197" s="204" t="s">
        <v>426</v>
      </c>
      <c r="L197" s="205" t="s">
        <v>426</v>
      </c>
      <c r="M197" s="209" t="s">
        <v>426</v>
      </c>
      <c r="N197" s="213" t="s">
        <v>426</v>
      </c>
      <c r="O197" s="212" t="s">
        <v>426</v>
      </c>
      <c r="P197" s="207" t="s">
        <v>426</v>
      </c>
      <c r="Q197" s="208" t="s">
        <v>426</v>
      </c>
      <c r="R197" s="209" t="s">
        <v>426</v>
      </c>
      <c r="S197" s="213" t="s">
        <v>426</v>
      </c>
      <c r="T197" s="212" t="s">
        <v>426</v>
      </c>
      <c r="U197" s="207" t="s">
        <v>426</v>
      </c>
      <c r="V197" s="208" t="s">
        <v>426</v>
      </c>
      <c r="W197" s="212" t="s">
        <v>426</v>
      </c>
      <c r="X197" s="301" t="s">
        <v>426</v>
      </c>
      <c r="Y197" s="302" t="s">
        <v>426</v>
      </c>
      <c r="Z197" s="208" t="s">
        <v>426</v>
      </c>
      <c r="AA197" s="163"/>
    </row>
    <row r="198" spans="2:27" ht="15" hidden="1" customHeight="1" x14ac:dyDescent="0.25">
      <c r="B198" s="155"/>
      <c r="C198" s="197" t="s">
        <v>426</v>
      </c>
      <c r="D198" s="211" t="s">
        <v>426</v>
      </c>
      <c r="E198" s="211" t="s">
        <v>426</v>
      </c>
      <c r="F198" s="199" t="s">
        <v>426</v>
      </c>
      <c r="G198" s="200" t="s">
        <v>426</v>
      </c>
      <c r="H198" s="201" t="s">
        <v>426</v>
      </c>
      <c r="I198" s="202" t="s">
        <v>426</v>
      </c>
      <c r="J198" s="202" t="s">
        <v>426</v>
      </c>
      <c r="K198" s="204" t="s">
        <v>426</v>
      </c>
      <c r="L198" s="205" t="s">
        <v>426</v>
      </c>
      <c r="M198" s="209" t="s">
        <v>426</v>
      </c>
      <c r="N198" s="213" t="s">
        <v>426</v>
      </c>
      <c r="O198" s="212" t="s">
        <v>426</v>
      </c>
      <c r="P198" s="207" t="s">
        <v>426</v>
      </c>
      <c r="Q198" s="208" t="s">
        <v>426</v>
      </c>
      <c r="R198" s="209" t="s">
        <v>426</v>
      </c>
      <c r="S198" s="213" t="s">
        <v>426</v>
      </c>
      <c r="T198" s="212" t="s">
        <v>426</v>
      </c>
      <c r="U198" s="207" t="s">
        <v>426</v>
      </c>
      <c r="V198" s="208" t="s">
        <v>426</v>
      </c>
      <c r="W198" s="212" t="s">
        <v>426</v>
      </c>
      <c r="X198" s="301" t="s">
        <v>426</v>
      </c>
      <c r="Y198" s="302" t="s">
        <v>426</v>
      </c>
      <c r="Z198" s="208" t="s">
        <v>426</v>
      </c>
      <c r="AA198" s="163"/>
    </row>
    <row r="199" spans="2:27" ht="15" hidden="1" customHeight="1" x14ac:dyDescent="0.25">
      <c r="B199" s="155"/>
      <c r="C199" s="197" t="s">
        <v>426</v>
      </c>
      <c r="D199" s="211" t="s">
        <v>426</v>
      </c>
      <c r="E199" s="211" t="s">
        <v>426</v>
      </c>
      <c r="F199" s="199" t="s">
        <v>426</v>
      </c>
      <c r="G199" s="200" t="s">
        <v>426</v>
      </c>
      <c r="H199" s="201" t="s">
        <v>426</v>
      </c>
      <c r="I199" s="202" t="s">
        <v>426</v>
      </c>
      <c r="J199" s="202" t="s">
        <v>426</v>
      </c>
      <c r="K199" s="204" t="s">
        <v>426</v>
      </c>
      <c r="L199" s="205" t="s">
        <v>426</v>
      </c>
      <c r="M199" s="209" t="s">
        <v>426</v>
      </c>
      <c r="N199" s="213" t="s">
        <v>426</v>
      </c>
      <c r="O199" s="212" t="s">
        <v>426</v>
      </c>
      <c r="P199" s="207" t="s">
        <v>426</v>
      </c>
      <c r="Q199" s="208" t="s">
        <v>426</v>
      </c>
      <c r="R199" s="209" t="s">
        <v>426</v>
      </c>
      <c r="S199" s="213" t="s">
        <v>426</v>
      </c>
      <c r="T199" s="212" t="s">
        <v>426</v>
      </c>
      <c r="U199" s="207" t="s">
        <v>426</v>
      </c>
      <c r="V199" s="208" t="s">
        <v>426</v>
      </c>
      <c r="W199" s="212" t="s">
        <v>426</v>
      </c>
      <c r="X199" s="301" t="s">
        <v>426</v>
      </c>
      <c r="Y199" s="302" t="s">
        <v>426</v>
      </c>
      <c r="Z199" s="208" t="s">
        <v>426</v>
      </c>
      <c r="AA199" s="163"/>
    </row>
    <row r="200" spans="2:27" ht="15" hidden="1" customHeight="1" x14ac:dyDescent="0.25">
      <c r="B200" s="155"/>
      <c r="C200" s="197" t="s">
        <v>426</v>
      </c>
      <c r="D200" s="211" t="s">
        <v>426</v>
      </c>
      <c r="E200" s="211" t="s">
        <v>426</v>
      </c>
      <c r="F200" s="199" t="s">
        <v>426</v>
      </c>
      <c r="G200" s="200" t="s">
        <v>426</v>
      </c>
      <c r="H200" s="201" t="s">
        <v>426</v>
      </c>
      <c r="I200" s="202" t="s">
        <v>426</v>
      </c>
      <c r="J200" s="202" t="s">
        <v>426</v>
      </c>
      <c r="K200" s="204" t="s">
        <v>426</v>
      </c>
      <c r="L200" s="205" t="s">
        <v>426</v>
      </c>
      <c r="M200" s="209" t="s">
        <v>426</v>
      </c>
      <c r="N200" s="213" t="s">
        <v>426</v>
      </c>
      <c r="O200" s="212" t="s">
        <v>426</v>
      </c>
      <c r="P200" s="207" t="s">
        <v>426</v>
      </c>
      <c r="Q200" s="208" t="s">
        <v>426</v>
      </c>
      <c r="R200" s="209" t="s">
        <v>426</v>
      </c>
      <c r="S200" s="213" t="s">
        <v>426</v>
      </c>
      <c r="T200" s="212" t="s">
        <v>426</v>
      </c>
      <c r="U200" s="207" t="s">
        <v>426</v>
      </c>
      <c r="V200" s="208" t="s">
        <v>426</v>
      </c>
      <c r="W200" s="212" t="s">
        <v>426</v>
      </c>
      <c r="X200" s="301" t="s">
        <v>426</v>
      </c>
      <c r="Y200" s="302" t="s">
        <v>426</v>
      </c>
      <c r="Z200" s="208" t="s">
        <v>426</v>
      </c>
      <c r="AA200" s="163"/>
    </row>
    <row r="201" spans="2:27" ht="15" hidden="1" customHeight="1" x14ac:dyDescent="0.25">
      <c r="B201" s="155"/>
      <c r="C201" s="197" t="s">
        <v>426</v>
      </c>
      <c r="D201" s="211" t="s">
        <v>426</v>
      </c>
      <c r="E201" s="211" t="s">
        <v>426</v>
      </c>
      <c r="F201" s="199" t="s">
        <v>426</v>
      </c>
      <c r="G201" s="200" t="s">
        <v>426</v>
      </c>
      <c r="H201" s="201" t="s">
        <v>426</v>
      </c>
      <c r="I201" s="202" t="s">
        <v>426</v>
      </c>
      <c r="J201" s="202" t="s">
        <v>426</v>
      </c>
      <c r="K201" s="204" t="s">
        <v>426</v>
      </c>
      <c r="L201" s="205" t="s">
        <v>426</v>
      </c>
      <c r="M201" s="209" t="s">
        <v>426</v>
      </c>
      <c r="N201" s="213" t="s">
        <v>426</v>
      </c>
      <c r="O201" s="212" t="s">
        <v>426</v>
      </c>
      <c r="P201" s="207" t="s">
        <v>426</v>
      </c>
      <c r="Q201" s="208" t="s">
        <v>426</v>
      </c>
      <c r="R201" s="209" t="s">
        <v>426</v>
      </c>
      <c r="S201" s="213" t="s">
        <v>426</v>
      </c>
      <c r="T201" s="212" t="s">
        <v>426</v>
      </c>
      <c r="U201" s="207" t="s">
        <v>426</v>
      </c>
      <c r="V201" s="208" t="s">
        <v>426</v>
      </c>
      <c r="W201" s="212" t="s">
        <v>426</v>
      </c>
      <c r="X201" s="301" t="s">
        <v>426</v>
      </c>
      <c r="Y201" s="302" t="s">
        <v>426</v>
      </c>
      <c r="Z201" s="208" t="s">
        <v>426</v>
      </c>
      <c r="AA201" s="163"/>
    </row>
    <row r="202" spans="2:27" ht="15" hidden="1" customHeight="1" x14ac:dyDescent="0.25">
      <c r="B202" s="155"/>
      <c r="C202" s="197" t="s">
        <v>426</v>
      </c>
      <c r="D202" s="211" t="s">
        <v>426</v>
      </c>
      <c r="E202" s="211" t="s">
        <v>426</v>
      </c>
      <c r="F202" s="199" t="s">
        <v>426</v>
      </c>
      <c r="G202" s="200" t="s">
        <v>426</v>
      </c>
      <c r="H202" s="201" t="s">
        <v>426</v>
      </c>
      <c r="I202" s="202" t="s">
        <v>426</v>
      </c>
      <c r="J202" s="202" t="s">
        <v>426</v>
      </c>
      <c r="K202" s="204" t="s">
        <v>426</v>
      </c>
      <c r="L202" s="205" t="s">
        <v>426</v>
      </c>
      <c r="M202" s="209" t="s">
        <v>426</v>
      </c>
      <c r="N202" s="213" t="s">
        <v>426</v>
      </c>
      <c r="O202" s="212" t="s">
        <v>426</v>
      </c>
      <c r="P202" s="207" t="s">
        <v>426</v>
      </c>
      <c r="Q202" s="208" t="s">
        <v>426</v>
      </c>
      <c r="R202" s="209" t="s">
        <v>426</v>
      </c>
      <c r="S202" s="213" t="s">
        <v>426</v>
      </c>
      <c r="T202" s="212" t="s">
        <v>426</v>
      </c>
      <c r="U202" s="207" t="s">
        <v>426</v>
      </c>
      <c r="V202" s="208" t="s">
        <v>426</v>
      </c>
      <c r="W202" s="212" t="s">
        <v>426</v>
      </c>
      <c r="X202" s="301" t="s">
        <v>426</v>
      </c>
      <c r="Y202" s="302" t="s">
        <v>426</v>
      </c>
      <c r="Z202" s="208" t="s">
        <v>426</v>
      </c>
      <c r="AA202" s="163"/>
    </row>
    <row r="203" spans="2:27" ht="15" hidden="1" customHeight="1" x14ac:dyDescent="0.25">
      <c r="B203" s="155"/>
      <c r="C203" s="197" t="s">
        <v>426</v>
      </c>
      <c r="D203" s="211" t="s">
        <v>426</v>
      </c>
      <c r="E203" s="211" t="s">
        <v>426</v>
      </c>
      <c r="F203" s="199" t="s">
        <v>426</v>
      </c>
      <c r="G203" s="200" t="s">
        <v>426</v>
      </c>
      <c r="H203" s="201" t="s">
        <v>426</v>
      </c>
      <c r="I203" s="202" t="s">
        <v>426</v>
      </c>
      <c r="J203" s="202" t="s">
        <v>426</v>
      </c>
      <c r="K203" s="204" t="s">
        <v>426</v>
      </c>
      <c r="L203" s="205" t="s">
        <v>426</v>
      </c>
      <c r="M203" s="209" t="s">
        <v>426</v>
      </c>
      <c r="N203" s="213" t="s">
        <v>426</v>
      </c>
      <c r="O203" s="212" t="s">
        <v>426</v>
      </c>
      <c r="P203" s="207" t="s">
        <v>426</v>
      </c>
      <c r="Q203" s="208" t="s">
        <v>426</v>
      </c>
      <c r="R203" s="209" t="s">
        <v>426</v>
      </c>
      <c r="S203" s="213" t="s">
        <v>426</v>
      </c>
      <c r="T203" s="212" t="s">
        <v>426</v>
      </c>
      <c r="U203" s="207" t="s">
        <v>426</v>
      </c>
      <c r="V203" s="208" t="s">
        <v>426</v>
      </c>
      <c r="W203" s="212" t="s">
        <v>426</v>
      </c>
      <c r="X203" s="301" t="s">
        <v>426</v>
      </c>
      <c r="Y203" s="302" t="s">
        <v>426</v>
      </c>
      <c r="Z203" s="208" t="s">
        <v>426</v>
      </c>
      <c r="AA203" s="163"/>
    </row>
    <row r="204" spans="2:27" ht="15" hidden="1" customHeight="1" x14ac:dyDescent="0.25">
      <c r="B204" s="155"/>
      <c r="C204" s="197" t="s">
        <v>426</v>
      </c>
      <c r="D204" s="211" t="s">
        <v>426</v>
      </c>
      <c r="E204" s="211" t="s">
        <v>426</v>
      </c>
      <c r="F204" s="199" t="s">
        <v>426</v>
      </c>
      <c r="G204" s="200" t="s">
        <v>426</v>
      </c>
      <c r="H204" s="201" t="s">
        <v>426</v>
      </c>
      <c r="I204" s="202" t="s">
        <v>426</v>
      </c>
      <c r="J204" s="202" t="s">
        <v>426</v>
      </c>
      <c r="K204" s="204" t="s">
        <v>426</v>
      </c>
      <c r="L204" s="205" t="s">
        <v>426</v>
      </c>
      <c r="M204" s="209" t="s">
        <v>426</v>
      </c>
      <c r="N204" s="213" t="s">
        <v>426</v>
      </c>
      <c r="O204" s="212" t="s">
        <v>426</v>
      </c>
      <c r="P204" s="207" t="s">
        <v>426</v>
      </c>
      <c r="Q204" s="208" t="s">
        <v>426</v>
      </c>
      <c r="R204" s="209" t="s">
        <v>426</v>
      </c>
      <c r="S204" s="213" t="s">
        <v>426</v>
      </c>
      <c r="T204" s="212" t="s">
        <v>426</v>
      </c>
      <c r="U204" s="207" t="s">
        <v>426</v>
      </c>
      <c r="V204" s="208" t="s">
        <v>426</v>
      </c>
      <c r="W204" s="212" t="s">
        <v>426</v>
      </c>
      <c r="X204" s="301" t="s">
        <v>426</v>
      </c>
      <c r="Y204" s="302" t="s">
        <v>426</v>
      </c>
      <c r="Z204" s="208" t="s">
        <v>426</v>
      </c>
      <c r="AA204" s="163"/>
    </row>
    <row r="205" spans="2:27" ht="15" hidden="1" customHeight="1" x14ac:dyDescent="0.25">
      <c r="B205" s="155"/>
      <c r="C205" s="197" t="s">
        <v>426</v>
      </c>
      <c r="D205" s="211" t="s">
        <v>426</v>
      </c>
      <c r="E205" s="211" t="s">
        <v>426</v>
      </c>
      <c r="F205" s="199" t="s">
        <v>426</v>
      </c>
      <c r="G205" s="200" t="s">
        <v>426</v>
      </c>
      <c r="H205" s="201" t="s">
        <v>426</v>
      </c>
      <c r="I205" s="202" t="s">
        <v>426</v>
      </c>
      <c r="J205" s="202" t="s">
        <v>426</v>
      </c>
      <c r="K205" s="204" t="s">
        <v>426</v>
      </c>
      <c r="L205" s="205" t="s">
        <v>426</v>
      </c>
      <c r="M205" s="209" t="s">
        <v>426</v>
      </c>
      <c r="N205" s="213" t="s">
        <v>426</v>
      </c>
      <c r="O205" s="212" t="s">
        <v>426</v>
      </c>
      <c r="P205" s="207" t="s">
        <v>426</v>
      </c>
      <c r="Q205" s="208" t="s">
        <v>426</v>
      </c>
      <c r="R205" s="209" t="s">
        <v>426</v>
      </c>
      <c r="S205" s="213" t="s">
        <v>426</v>
      </c>
      <c r="T205" s="212" t="s">
        <v>426</v>
      </c>
      <c r="U205" s="207" t="s">
        <v>426</v>
      </c>
      <c r="V205" s="208" t="s">
        <v>426</v>
      </c>
      <c r="W205" s="212" t="s">
        <v>426</v>
      </c>
      <c r="X205" s="301" t="s">
        <v>426</v>
      </c>
      <c r="Y205" s="302" t="s">
        <v>426</v>
      </c>
      <c r="Z205" s="208" t="s">
        <v>426</v>
      </c>
      <c r="AA205" s="163"/>
    </row>
    <row r="206" spans="2:27" ht="15" hidden="1" customHeight="1" x14ac:dyDescent="0.25">
      <c r="B206" s="155"/>
      <c r="C206" s="197" t="s">
        <v>426</v>
      </c>
      <c r="D206" s="211" t="s">
        <v>426</v>
      </c>
      <c r="E206" s="211" t="s">
        <v>426</v>
      </c>
      <c r="F206" s="199" t="s">
        <v>426</v>
      </c>
      <c r="G206" s="200" t="s">
        <v>426</v>
      </c>
      <c r="H206" s="201" t="s">
        <v>426</v>
      </c>
      <c r="I206" s="202" t="s">
        <v>426</v>
      </c>
      <c r="J206" s="202" t="s">
        <v>426</v>
      </c>
      <c r="K206" s="204" t="s">
        <v>426</v>
      </c>
      <c r="L206" s="205" t="s">
        <v>426</v>
      </c>
      <c r="M206" s="209" t="s">
        <v>426</v>
      </c>
      <c r="N206" s="213" t="s">
        <v>426</v>
      </c>
      <c r="O206" s="212" t="s">
        <v>426</v>
      </c>
      <c r="P206" s="207" t="s">
        <v>426</v>
      </c>
      <c r="Q206" s="208" t="s">
        <v>426</v>
      </c>
      <c r="R206" s="209" t="s">
        <v>426</v>
      </c>
      <c r="S206" s="213" t="s">
        <v>426</v>
      </c>
      <c r="T206" s="212" t="s">
        <v>426</v>
      </c>
      <c r="U206" s="207" t="s">
        <v>426</v>
      </c>
      <c r="V206" s="208" t="s">
        <v>426</v>
      </c>
      <c r="W206" s="212" t="s">
        <v>426</v>
      </c>
      <c r="X206" s="301" t="s">
        <v>426</v>
      </c>
      <c r="Y206" s="302" t="s">
        <v>426</v>
      </c>
      <c r="Z206" s="208" t="s">
        <v>426</v>
      </c>
      <c r="AA206" s="163"/>
    </row>
    <row r="207" spans="2:27" ht="15" hidden="1" customHeight="1" x14ac:dyDescent="0.25">
      <c r="B207" s="155"/>
      <c r="C207" s="197" t="s">
        <v>426</v>
      </c>
      <c r="D207" s="211" t="s">
        <v>426</v>
      </c>
      <c r="E207" s="211" t="s">
        <v>426</v>
      </c>
      <c r="F207" s="199" t="s">
        <v>426</v>
      </c>
      <c r="G207" s="200" t="s">
        <v>426</v>
      </c>
      <c r="H207" s="201" t="s">
        <v>426</v>
      </c>
      <c r="I207" s="202" t="s">
        <v>426</v>
      </c>
      <c r="J207" s="202" t="s">
        <v>426</v>
      </c>
      <c r="K207" s="204" t="s">
        <v>426</v>
      </c>
      <c r="L207" s="205" t="s">
        <v>426</v>
      </c>
      <c r="M207" s="209" t="s">
        <v>426</v>
      </c>
      <c r="N207" s="213" t="s">
        <v>426</v>
      </c>
      <c r="O207" s="212" t="s">
        <v>426</v>
      </c>
      <c r="P207" s="207" t="s">
        <v>426</v>
      </c>
      <c r="Q207" s="208" t="s">
        <v>426</v>
      </c>
      <c r="R207" s="209" t="s">
        <v>426</v>
      </c>
      <c r="S207" s="213" t="s">
        <v>426</v>
      </c>
      <c r="T207" s="212" t="s">
        <v>426</v>
      </c>
      <c r="U207" s="207" t="s">
        <v>426</v>
      </c>
      <c r="V207" s="208" t="s">
        <v>426</v>
      </c>
      <c r="W207" s="212" t="s">
        <v>426</v>
      </c>
      <c r="X207" s="301" t="s">
        <v>426</v>
      </c>
      <c r="Y207" s="302" t="s">
        <v>426</v>
      </c>
      <c r="Z207" s="208" t="s">
        <v>426</v>
      </c>
      <c r="AA207" s="163"/>
    </row>
    <row r="208" spans="2:27" ht="15" hidden="1" customHeight="1" x14ac:dyDescent="0.25">
      <c r="B208" s="155"/>
      <c r="C208" s="197" t="s">
        <v>426</v>
      </c>
      <c r="D208" s="211" t="s">
        <v>426</v>
      </c>
      <c r="E208" s="211" t="s">
        <v>426</v>
      </c>
      <c r="F208" s="199" t="s">
        <v>426</v>
      </c>
      <c r="G208" s="200" t="s">
        <v>426</v>
      </c>
      <c r="H208" s="201" t="s">
        <v>426</v>
      </c>
      <c r="I208" s="202" t="s">
        <v>426</v>
      </c>
      <c r="J208" s="202" t="s">
        <v>426</v>
      </c>
      <c r="K208" s="204" t="s">
        <v>426</v>
      </c>
      <c r="L208" s="205" t="s">
        <v>426</v>
      </c>
      <c r="M208" s="209" t="s">
        <v>426</v>
      </c>
      <c r="N208" s="213" t="s">
        <v>426</v>
      </c>
      <c r="O208" s="212" t="s">
        <v>426</v>
      </c>
      <c r="P208" s="207" t="s">
        <v>426</v>
      </c>
      <c r="Q208" s="208" t="s">
        <v>426</v>
      </c>
      <c r="R208" s="209" t="s">
        <v>426</v>
      </c>
      <c r="S208" s="213" t="s">
        <v>426</v>
      </c>
      <c r="T208" s="212" t="s">
        <v>426</v>
      </c>
      <c r="U208" s="207" t="s">
        <v>426</v>
      </c>
      <c r="V208" s="208" t="s">
        <v>426</v>
      </c>
      <c r="W208" s="212" t="s">
        <v>426</v>
      </c>
      <c r="X208" s="301" t="s">
        <v>426</v>
      </c>
      <c r="Y208" s="302" t="s">
        <v>426</v>
      </c>
      <c r="Z208" s="208" t="s">
        <v>426</v>
      </c>
      <c r="AA208" s="163"/>
    </row>
    <row r="209" spans="2:27" ht="15" hidden="1" customHeight="1" x14ac:dyDescent="0.25">
      <c r="B209" s="155"/>
      <c r="C209" s="197" t="s">
        <v>426</v>
      </c>
      <c r="D209" s="211" t="s">
        <v>426</v>
      </c>
      <c r="E209" s="211" t="s">
        <v>426</v>
      </c>
      <c r="F209" s="199" t="s">
        <v>426</v>
      </c>
      <c r="G209" s="200" t="s">
        <v>426</v>
      </c>
      <c r="H209" s="201" t="s">
        <v>426</v>
      </c>
      <c r="I209" s="202" t="s">
        <v>426</v>
      </c>
      <c r="J209" s="202" t="s">
        <v>426</v>
      </c>
      <c r="K209" s="204" t="s">
        <v>426</v>
      </c>
      <c r="L209" s="205" t="s">
        <v>426</v>
      </c>
      <c r="M209" s="209" t="s">
        <v>426</v>
      </c>
      <c r="N209" s="213" t="s">
        <v>426</v>
      </c>
      <c r="O209" s="212" t="s">
        <v>426</v>
      </c>
      <c r="P209" s="207" t="s">
        <v>426</v>
      </c>
      <c r="Q209" s="208" t="s">
        <v>426</v>
      </c>
      <c r="R209" s="209" t="s">
        <v>426</v>
      </c>
      <c r="S209" s="213" t="s">
        <v>426</v>
      </c>
      <c r="T209" s="212" t="s">
        <v>426</v>
      </c>
      <c r="U209" s="207" t="s">
        <v>426</v>
      </c>
      <c r="V209" s="208" t="s">
        <v>426</v>
      </c>
      <c r="W209" s="212" t="s">
        <v>426</v>
      </c>
      <c r="X209" s="301" t="s">
        <v>426</v>
      </c>
      <c r="Y209" s="302" t="s">
        <v>426</v>
      </c>
      <c r="Z209" s="208" t="s">
        <v>426</v>
      </c>
      <c r="AA209" s="163"/>
    </row>
    <row r="210" spans="2:27" ht="15" hidden="1" customHeight="1" x14ac:dyDescent="0.25">
      <c r="B210" s="155"/>
      <c r="C210" s="197" t="s">
        <v>426</v>
      </c>
      <c r="D210" s="211" t="s">
        <v>426</v>
      </c>
      <c r="E210" s="211" t="s">
        <v>426</v>
      </c>
      <c r="F210" s="199" t="s">
        <v>426</v>
      </c>
      <c r="G210" s="200" t="s">
        <v>426</v>
      </c>
      <c r="H210" s="201" t="s">
        <v>426</v>
      </c>
      <c r="I210" s="202" t="s">
        <v>426</v>
      </c>
      <c r="J210" s="202" t="s">
        <v>426</v>
      </c>
      <c r="K210" s="204" t="s">
        <v>426</v>
      </c>
      <c r="L210" s="205" t="s">
        <v>426</v>
      </c>
      <c r="M210" s="209" t="s">
        <v>426</v>
      </c>
      <c r="N210" s="213" t="s">
        <v>426</v>
      </c>
      <c r="O210" s="212" t="s">
        <v>426</v>
      </c>
      <c r="P210" s="207" t="s">
        <v>426</v>
      </c>
      <c r="Q210" s="208" t="s">
        <v>426</v>
      </c>
      <c r="R210" s="209" t="s">
        <v>426</v>
      </c>
      <c r="S210" s="213" t="s">
        <v>426</v>
      </c>
      <c r="T210" s="212" t="s">
        <v>426</v>
      </c>
      <c r="U210" s="207" t="s">
        <v>426</v>
      </c>
      <c r="V210" s="208" t="s">
        <v>426</v>
      </c>
      <c r="W210" s="212" t="s">
        <v>426</v>
      </c>
      <c r="X210" s="301" t="s">
        <v>426</v>
      </c>
      <c r="Y210" s="302" t="s">
        <v>426</v>
      </c>
      <c r="Z210" s="208" t="s">
        <v>426</v>
      </c>
      <c r="AA210" s="163"/>
    </row>
    <row r="211" spans="2:27" ht="15" hidden="1" customHeight="1" x14ac:dyDescent="0.25">
      <c r="B211" s="155"/>
      <c r="C211" s="197" t="s">
        <v>426</v>
      </c>
      <c r="D211" s="211" t="s">
        <v>426</v>
      </c>
      <c r="E211" s="211" t="s">
        <v>426</v>
      </c>
      <c r="F211" s="199" t="s">
        <v>426</v>
      </c>
      <c r="G211" s="200" t="s">
        <v>426</v>
      </c>
      <c r="H211" s="201" t="s">
        <v>426</v>
      </c>
      <c r="I211" s="202" t="s">
        <v>426</v>
      </c>
      <c r="J211" s="202" t="s">
        <v>426</v>
      </c>
      <c r="K211" s="204" t="s">
        <v>426</v>
      </c>
      <c r="L211" s="205" t="s">
        <v>426</v>
      </c>
      <c r="M211" s="209" t="s">
        <v>426</v>
      </c>
      <c r="N211" s="213" t="s">
        <v>426</v>
      </c>
      <c r="O211" s="212" t="s">
        <v>426</v>
      </c>
      <c r="P211" s="207" t="s">
        <v>426</v>
      </c>
      <c r="Q211" s="208" t="s">
        <v>426</v>
      </c>
      <c r="R211" s="209" t="s">
        <v>426</v>
      </c>
      <c r="S211" s="213" t="s">
        <v>426</v>
      </c>
      <c r="T211" s="212" t="s">
        <v>426</v>
      </c>
      <c r="U211" s="207" t="s">
        <v>426</v>
      </c>
      <c r="V211" s="208" t="s">
        <v>426</v>
      </c>
      <c r="W211" s="212" t="s">
        <v>426</v>
      </c>
      <c r="X211" s="301" t="s">
        <v>426</v>
      </c>
      <c r="Y211" s="302" t="s">
        <v>426</v>
      </c>
      <c r="Z211" s="208" t="s">
        <v>426</v>
      </c>
      <c r="AA211" s="163"/>
    </row>
    <row r="212" spans="2:27" ht="15" hidden="1" customHeight="1" x14ac:dyDescent="0.25">
      <c r="B212" s="155"/>
      <c r="C212" s="197" t="s">
        <v>426</v>
      </c>
      <c r="D212" s="214" t="s">
        <v>426</v>
      </c>
      <c r="E212" s="211" t="s">
        <v>426</v>
      </c>
      <c r="F212" s="199" t="s">
        <v>426</v>
      </c>
      <c r="G212" s="200" t="s">
        <v>426</v>
      </c>
      <c r="H212" s="201" t="s">
        <v>426</v>
      </c>
      <c r="I212" s="202" t="s">
        <v>426</v>
      </c>
      <c r="J212" s="202" t="s">
        <v>426</v>
      </c>
      <c r="K212" s="204" t="s">
        <v>426</v>
      </c>
      <c r="L212" s="205" t="s">
        <v>426</v>
      </c>
      <c r="M212" s="209" t="s">
        <v>426</v>
      </c>
      <c r="N212" s="213" t="s">
        <v>426</v>
      </c>
      <c r="O212" s="212" t="s">
        <v>426</v>
      </c>
      <c r="P212" s="207" t="s">
        <v>426</v>
      </c>
      <c r="Q212" s="208" t="s">
        <v>426</v>
      </c>
      <c r="R212" s="209" t="s">
        <v>426</v>
      </c>
      <c r="S212" s="213" t="s">
        <v>426</v>
      </c>
      <c r="T212" s="212" t="s">
        <v>426</v>
      </c>
      <c r="U212" s="207" t="s">
        <v>426</v>
      </c>
      <c r="V212" s="208" t="s">
        <v>426</v>
      </c>
      <c r="W212" s="212" t="s">
        <v>426</v>
      </c>
      <c r="X212" s="301" t="s">
        <v>426</v>
      </c>
      <c r="Y212" s="302" t="s">
        <v>426</v>
      </c>
      <c r="Z212" s="208" t="s">
        <v>426</v>
      </c>
      <c r="AA212" s="163"/>
    </row>
    <row r="213" spans="2:27" s="224" customFormat="1" ht="15" customHeight="1" x14ac:dyDescent="0.25">
      <c r="B213" s="215"/>
      <c r="C213" s="184">
        <v>1</v>
      </c>
      <c r="D213" s="185"/>
      <c r="E213" s="185"/>
      <c r="F213" s="185"/>
      <c r="G213" s="500" t="s">
        <v>111</v>
      </c>
      <c r="H213" s="501"/>
      <c r="I213" s="501"/>
      <c r="J213" s="295"/>
      <c r="K213" s="216"/>
      <c r="L213" s="217">
        <v>240850</v>
      </c>
      <c r="M213" s="220">
        <v>1080259</v>
      </c>
      <c r="N213" s="221">
        <v>1147084</v>
      </c>
      <c r="O213" s="222">
        <v>1233067.1959483444</v>
      </c>
      <c r="P213" s="218">
        <v>-6.9731151903863031E-2</v>
      </c>
      <c r="Q213" s="219">
        <v>6.1860165015982238E-2</v>
      </c>
      <c r="R213" s="220">
        <v>6377796.3800000027</v>
      </c>
      <c r="S213" s="221">
        <v>8484419.6100000031</v>
      </c>
      <c r="T213" s="222">
        <v>8392623.4621779826</v>
      </c>
      <c r="U213" s="218">
        <v>1.093771789425646E-2</v>
      </c>
      <c r="V213" s="219">
        <v>0.33030581481185495</v>
      </c>
      <c r="W213" s="303">
        <v>2545099.9335130346</v>
      </c>
      <c r="X213" s="219">
        <v>0.45070293110913923</v>
      </c>
      <c r="Y213" s="304">
        <v>17324920.817833204</v>
      </c>
      <c r="Z213" s="305">
        <v>0.48972342784197115</v>
      </c>
      <c r="AA213" s="223"/>
    </row>
    <row r="214" spans="2:27" ht="5.0999999999999996" customHeight="1" x14ac:dyDescent="0.25">
      <c r="B214" s="155"/>
      <c r="C214" s="225"/>
      <c r="D214" s="226"/>
      <c r="E214" s="226"/>
      <c r="F214" s="226"/>
      <c r="G214" s="227"/>
      <c r="H214" s="228"/>
      <c r="I214" s="229"/>
      <c r="J214" s="230"/>
      <c r="K214" s="231"/>
      <c r="L214" s="232"/>
      <c r="M214" s="236"/>
      <c r="N214" s="237"/>
      <c r="O214" s="233"/>
      <c r="P214" s="234"/>
      <c r="Q214" s="235"/>
      <c r="R214" s="236"/>
      <c r="S214" s="237"/>
      <c r="T214" s="233"/>
      <c r="U214" s="234"/>
      <c r="V214" s="235"/>
      <c r="W214" s="233"/>
      <c r="X214" s="307"/>
      <c r="Y214" s="306"/>
      <c r="Z214" s="235"/>
      <c r="AA214" s="163"/>
    </row>
    <row r="215" spans="2:27" ht="13.5" thickBot="1" x14ac:dyDescent="0.3">
      <c r="B215" s="238"/>
      <c r="C215" s="239"/>
      <c r="D215" s="239"/>
      <c r="E215" s="239"/>
      <c r="F215" s="239"/>
      <c r="G215" s="240"/>
      <c r="H215" s="240"/>
      <c r="I215" s="240"/>
      <c r="J215" s="240"/>
      <c r="K215" s="241"/>
      <c r="L215" s="242"/>
      <c r="M215" s="244"/>
      <c r="N215" s="243"/>
      <c r="O215" s="243"/>
      <c r="P215" s="241"/>
      <c r="Q215" s="241"/>
      <c r="R215" s="244"/>
      <c r="S215" s="243"/>
      <c r="T215" s="243"/>
      <c r="U215" s="241"/>
      <c r="V215" s="241"/>
      <c r="W215" s="243"/>
      <c r="X215" s="241"/>
      <c r="Y215" s="243"/>
      <c r="Z215" s="241"/>
      <c r="AA215" s="245"/>
    </row>
    <row r="216" spans="2:27" ht="13.5" thickTop="1" x14ac:dyDescent="0.25"/>
    <row r="217" spans="2:27" hidden="1" x14ac:dyDescent="0.25"/>
    <row r="218" spans="2:27" ht="12.75" hidden="1" customHeight="1" x14ac:dyDescent="0.25"/>
    <row r="219" spans="2:27" ht="12.75" hidden="1" customHeight="1" x14ac:dyDescent="0.25"/>
    <row r="220" spans="2:27" ht="12.75" hidden="1" customHeight="1" x14ac:dyDescent="0.25"/>
  </sheetData>
  <mergeCells count="4">
    <mergeCell ref="G1:H1"/>
    <mergeCell ref="N11:V11"/>
    <mergeCell ref="W11:Z11"/>
    <mergeCell ref="G213:I213"/>
  </mergeCells>
  <conditionalFormatting sqref="G13:Z212">
    <cfRule type="expression" dxfId="4" priority="4">
      <formula>OR(LEFT($G13,5)="Total",RIGHT($G13,5)="Total")</formula>
    </cfRule>
    <cfRule type="expression" dxfId="3" priority="5">
      <formula>OR(LEFT($G13,5)="Total",LEFT($H13,5)="Total")</formula>
    </cfRule>
  </conditionalFormatting>
  <conditionalFormatting sqref="H13:Z212">
    <cfRule type="expression" dxfId="2" priority="3">
      <formula>LEFT($H13,5)="Total"</formula>
    </cfRule>
  </conditionalFormatting>
  <conditionalFormatting sqref="N13:O212 S13:T212 W13:W212 Y13:Y212">
    <cfRule type="expression" dxfId="1" priority="2">
      <formula>N13</formula>
    </cfRule>
  </conditionalFormatting>
  <conditionalFormatting sqref="P13:Q212 U13:V212 X13:X212 Z13:Z212">
    <cfRule type="expression" dxfId="0" priority="1">
      <formula>P13&lt;0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AS115"/>
  <sheetViews>
    <sheetView topLeftCell="B1" zoomScale="90" zoomScaleNormal="90" workbookViewId="0">
      <pane xSplit="3" ySplit="6" topLeftCell="AN100" activePane="bottomRight" state="frozen"/>
      <selection activeCell="B1" sqref="B1"/>
      <selection pane="topRight" activeCell="E1" sqref="E1"/>
      <selection pane="bottomLeft" activeCell="B7" sqref="B7"/>
      <selection pane="bottomRight" activeCell="AS102" sqref="AS102"/>
    </sheetView>
  </sheetViews>
  <sheetFormatPr baseColWidth="10" defaultRowHeight="15" x14ac:dyDescent="0.25"/>
  <cols>
    <col min="1" max="1" width="4" customWidth="1"/>
    <col min="2" max="2" width="7.85546875" customWidth="1"/>
    <col min="3" max="3" width="17.7109375" customWidth="1"/>
    <col min="4" max="4" width="29.42578125" style="453" customWidth="1"/>
    <col min="5" max="5" width="12.28515625" customWidth="1"/>
    <col min="18" max="23" width="0" hidden="1" customWidth="1"/>
    <col min="24" max="24" width="35.7109375" hidden="1" customWidth="1"/>
    <col min="25" max="38" width="0" hidden="1" customWidth="1"/>
    <col min="40" max="41" width="11.42578125" style="326"/>
    <col min="43" max="43" width="13.42578125" bestFit="1" customWidth="1"/>
    <col min="44" max="44" width="12.5703125" customWidth="1"/>
  </cols>
  <sheetData>
    <row r="1" spans="2:44" x14ac:dyDescent="0.25">
      <c r="D1" s="452"/>
      <c r="E1" s="328"/>
      <c r="F1" s="328"/>
      <c r="G1" s="328"/>
      <c r="H1" s="328"/>
      <c r="I1" s="328"/>
      <c r="J1" s="328"/>
      <c r="K1" s="328"/>
      <c r="L1" s="328"/>
      <c r="M1" s="328"/>
      <c r="N1" s="328"/>
      <c r="O1" s="328"/>
      <c r="P1" s="328"/>
    </row>
    <row r="2" spans="2:44" x14ac:dyDescent="0.25">
      <c r="Q2" s="335"/>
      <c r="R2" s="335"/>
      <c r="S2" s="335"/>
    </row>
    <row r="3" spans="2:44" s="330" customFormat="1" x14ac:dyDescent="0.25">
      <c r="B3" s="454">
        <v>1</v>
      </c>
      <c r="C3" s="454">
        <v>2</v>
      </c>
      <c r="D3" s="454">
        <v>3</v>
      </c>
      <c r="E3" s="454">
        <v>4</v>
      </c>
      <c r="F3" s="454">
        <v>5</v>
      </c>
      <c r="G3" s="454">
        <v>6</v>
      </c>
      <c r="H3" s="454">
        <v>7</v>
      </c>
      <c r="I3" s="454">
        <v>8</v>
      </c>
      <c r="J3" s="454">
        <v>9</v>
      </c>
      <c r="K3" s="454">
        <v>10</v>
      </c>
      <c r="L3" s="454">
        <v>11</v>
      </c>
      <c r="M3" s="454">
        <v>12</v>
      </c>
      <c r="N3" s="454">
        <v>13</v>
      </c>
      <c r="O3" s="454">
        <v>14</v>
      </c>
      <c r="P3" s="454">
        <v>15</v>
      </c>
      <c r="Q3" s="454">
        <v>16</v>
      </c>
      <c r="X3" s="330">
        <v>1</v>
      </c>
      <c r="Y3" s="330">
        <v>2</v>
      </c>
      <c r="Z3" s="330">
        <v>3</v>
      </c>
      <c r="AA3" s="330">
        <v>4</v>
      </c>
      <c r="AB3" s="330">
        <v>5</v>
      </c>
      <c r="AC3" s="330">
        <v>6</v>
      </c>
      <c r="AD3" s="330">
        <v>7</v>
      </c>
      <c r="AE3" s="330">
        <v>8</v>
      </c>
      <c r="AF3" s="330">
        <v>9</v>
      </c>
      <c r="AG3" s="330">
        <v>10</v>
      </c>
      <c r="AH3" s="330">
        <v>11</v>
      </c>
      <c r="AI3" s="330">
        <v>12</v>
      </c>
      <c r="AJ3" s="330">
        <v>13</v>
      </c>
      <c r="AK3" s="330">
        <v>14</v>
      </c>
      <c r="AN3" s="329"/>
      <c r="AO3" s="329"/>
    </row>
    <row r="4" spans="2:44" x14ac:dyDescent="0.25">
      <c r="E4" s="332" t="s">
        <v>694</v>
      </c>
      <c r="Q4" s="331" t="s">
        <v>647</v>
      </c>
      <c r="R4" s="331"/>
      <c r="Y4" s="455" t="s">
        <v>695</v>
      </c>
      <c r="Z4" s="456"/>
    </row>
    <row r="5" spans="2:44" x14ac:dyDescent="0.25">
      <c r="E5" s="334" t="s">
        <v>133</v>
      </c>
      <c r="F5" s="334" t="s">
        <v>134</v>
      </c>
      <c r="G5" s="334" t="s">
        <v>135</v>
      </c>
      <c r="H5" s="334" t="s">
        <v>136</v>
      </c>
      <c r="I5" s="334" t="s">
        <v>137</v>
      </c>
      <c r="J5" s="334" t="s">
        <v>138</v>
      </c>
      <c r="K5" s="334" t="s">
        <v>139</v>
      </c>
      <c r="L5" s="334" t="s">
        <v>140</v>
      </c>
      <c r="M5" s="334" t="s">
        <v>141</v>
      </c>
      <c r="N5" s="334" t="s">
        <v>142</v>
      </c>
      <c r="O5" s="334" t="s">
        <v>143</v>
      </c>
      <c r="P5" s="334" t="s">
        <v>144</v>
      </c>
      <c r="Q5" s="334" t="s">
        <v>146</v>
      </c>
      <c r="R5" s="331"/>
      <c r="Y5" s="334" t="s">
        <v>133</v>
      </c>
      <c r="Z5" s="334" t="s">
        <v>134</v>
      </c>
      <c r="AA5" s="334" t="s">
        <v>135</v>
      </c>
      <c r="AB5" s="334" t="s">
        <v>136</v>
      </c>
      <c r="AC5" s="334" t="s">
        <v>137</v>
      </c>
      <c r="AD5" s="334" t="s">
        <v>138</v>
      </c>
      <c r="AE5" s="334" t="s">
        <v>139</v>
      </c>
      <c r="AF5" s="334" t="s">
        <v>140</v>
      </c>
      <c r="AG5" s="334" t="s">
        <v>141</v>
      </c>
      <c r="AH5" s="334" t="s">
        <v>142</v>
      </c>
      <c r="AI5" s="334" t="s">
        <v>143</v>
      </c>
      <c r="AJ5" s="334" t="s">
        <v>144</v>
      </c>
      <c r="AK5" s="334" t="s">
        <v>146</v>
      </c>
      <c r="AM5" s="331"/>
      <c r="AN5" s="514" t="s">
        <v>709</v>
      </c>
      <c r="AO5" s="514" t="s">
        <v>710</v>
      </c>
      <c r="AP5" s="514" t="s">
        <v>711</v>
      </c>
      <c r="AQ5" s="514" t="s">
        <v>625</v>
      </c>
      <c r="AR5" s="514" t="s">
        <v>626</v>
      </c>
    </row>
    <row r="6" spans="2:44" x14ac:dyDescent="0.25">
      <c r="Q6" s="335" t="s">
        <v>651</v>
      </c>
      <c r="R6" s="335" t="s">
        <v>652</v>
      </c>
      <c r="S6" s="335" t="s">
        <v>653</v>
      </c>
    </row>
    <row r="7" spans="2:44" x14ac:dyDescent="0.25">
      <c r="B7" s="339">
        <v>13017</v>
      </c>
      <c r="C7" s="340" t="s">
        <v>5</v>
      </c>
      <c r="D7" s="341" t="s">
        <v>6</v>
      </c>
      <c r="E7" s="342">
        <f>IFERROR(VLOOKUP(B7,BDFDUSD!$B:$BJ,41,FALSE),0)</f>
        <v>0</v>
      </c>
      <c r="F7" s="342">
        <f>IFERROR(VLOOKUP(B7,BDFDUSD!$B:$BJ,44,FALSE),0)</f>
        <v>-25.18</v>
      </c>
      <c r="G7" s="342">
        <f>IFERROR(VLOOKUP(B7,BDFDUSD!$B:$BJ,47,FALSE),0)</f>
        <v>-4310.12</v>
      </c>
      <c r="H7" s="342">
        <f>IFERROR(VLOOKUP(B7,BDFDUSD!$B:$BJ,50,FALSE),0)</f>
        <v>-1462.15</v>
      </c>
      <c r="I7" s="342">
        <f>IFERROR(VLOOKUP(B7,BDFDUSD!$B:$BJ,53,FALSE),0)</f>
        <v>-1778.34</v>
      </c>
      <c r="J7" s="342">
        <f>IFERROR(VLOOKUP(B7,BDFDUSD!$B:$BJ,56,FALSE),0)</f>
        <v>-318.55</v>
      </c>
      <c r="K7" s="342">
        <f>IFERROR(VLOOKUP(B7,BDFDUSD!$B:$BJ,59,FALSE),0)</f>
        <v>-678.65</v>
      </c>
      <c r="L7" s="516">
        <f>BDPPTO!L7*BDPPTOUSD!$AP7</f>
        <v>0</v>
      </c>
      <c r="M7" s="516">
        <f>BDPPTO!M7*BDPPTOUSD!$AP7</f>
        <v>0</v>
      </c>
      <c r="N7" s="516">
        <f>BDPPTO!N7*BDPPTOUSD!$AP7</f>
        <v>0</v>
      </c>
      <c r="O7" s="516">
        <f>BDPPTO!O7*BDPPTOUSD!$AP7</f>
        <v>0</v>
      </c>
      <c r="P7" s="516">
        <f>BDPPTO!P7*BDPPTOUSD!$AP7</f>
        <v>0</v>
      </c>
      <c r="Q7" s="343">
        <f>SUM(E7:P7)</f>
        <v>-8572.9900000000016</v>
      </c>
      <c r="R7" s="346">
        <v>16009.601734415117</v>
      </c>
      <c r="S7" s="346">
        <v>16128.247714014586</v>
      </c>
      <c r="T7" s="346"/>
      <c r="U7" s="346"/>
      <c r="V7" s="339">
        <v>13017</v>
      </c>
      <c r="W7" s="340" t="s">
        <v>5</v>
      </c>
      <c r="X7" s="341" t="s">
        <v>6</v>
      </c>
      <c r="Y7" s="342">
        <v>56.249095563315194</v>
      </c>
      <c r="Z7" s="342">
        <v>58.625817911060906</v>
      </c>
      <c r="AA7" s="342">
        <v>63.379262606552338</v>
      </c>
      <c r="AB7" s="342">
        <v>68.132707302043769</v>
      </c>
      <c r="AC7" s="342">
        <v>71.301670432371367</v>
      </c>
      <c r="AD7" s="342">
        <v>69.717188867207554</v>
      </c>
      <c r="AE7" s="342">
        <v>68.924948084625655</v>
      </c>
      <c r="AF7" s="342">
        <v>63.379262606552338</v>
      </c>
      <c r="AG7" s="342">
        <v>71.301670432371367</v>
      </c>
      <c r="AH7" s="342">
        <v>72.886151997535194</v>
      </c>
      <c r="AI7" s="342">
        <v>66.548225736879957</v>
      </c>
      <c r="AJ7" s="342">
        <v>61.794781041388518</v>
      </c>
      <c r="AK7" s="343">
        <v>792.24078258190411</v>
      </c>
      <c r="AM7" s="457"/>
      <c r="AN7" s="513">
        <f>SUM(E7:K7)</f>
        <v>-8572.9900000000016</v>
      </c>
      <c r="AO7" s="513">
        <f>SUM(L7:P7)</f>
        <v>0</v>
      </c>
      <c r="AP7" s="515">
        <f>AN7/BDPPTO!BH7</f>
        <v>3.0207857646229743</v>
      </c>
      <c r="AQ7" s="346">
        <f>SUM(Q7:Q8)</f>
        <v>-11706.000000000002</v>
      </c>
    </row>
    <row r="8" spans="2:44" x14ac:dyDescent="0.25">
      <c r="B8" s="339">
        <v>13016</v>
      </c>
      <c r="C8" s="349"/>
      <c r="D8" s="341" t="s">
        <v>7</v>
      </c>
      <c r="E8" s="342">
        <f>IFERROR(VLOOKUP(B8,BDFDUSD!$B:$BJ,41,FALSE),0)</f>
        <v>-44.33</v>
      </c>
      <c r="F8" s="342">
        <f>IFERROR(VLOOKUP(B8,BDFDUSD!$B:$BJ,44,FALSE),0)</f>
        <v>-281.04000000000002</v>
      </c>
      <c r="G8" s="342">
        <f>IFERROR(VLOOKUP(B8,BDFDUSD!$B:$BJ,47,FALSE),0)</f>
        <v>-16.66</v>
      </c>
      <c r="H8" s="342">
        <f>IFERROR(VLOOKUP(B8,BDFDUSD!$B:$BJ,50,FALSE),0)</f>
        <v>-2979.85</v>
      </c>
      <c r="I8" s="342">
        <f>IFERROR(VLOOKUP(B8,BDFDUSD!$B:$BJ,53,FALSE),0)</f>
        <v>-3233.81</v>
      </c>
      <c r="J8" s="342">
        <f>IFERROR(VLOOKUP(B8,BDFDUSD!$B:$BJ,56,FALSE),0)</f>
        <v>-893</v>
      </c>
      <c r="K8" s="342">
        <f>IFERROR(VLOOKUP(B8,BDFDUSD!$B:$BJ,59,FALSE),0)</f>
        <v>1624.68</v>
      </c>
      <c r="L8" s="516">
        <f>BDPPTO!L8*BDPPTOUSD!$AP8</f>
        <v>413.99999999999994</v>
      </c>
      <c r="M8" s="516">
        <f>BDPPTO!M8*BDPPTOUSD!$AP8</f>
        <v>621</v>
      </c>
      <c r="N8" s="516">
        <f>BDPPTO!N8*BDPPTOUSD!$AP8</f>
        <v>621</v>
      </c>
      <c r="O8" s="516">
        <f>BDPPTO!O8*BDPPTOUSD!$AP8</f>
        <v>621</v>
      </c>
      <c r="P8" s="516">
        <f>BDPPTO!P8*BDPPTOUSD!$AP8</f>
        <v>413.99999999999994</v>
      </c>
      <c r="Q8" s="343">
        <f t="shared" ref="Q8:Q50" si="0">SUM(E8:P8)</f>
        <v>-3133.01</v>
      </c>
      <c r="R8" s="346">
        <v>93866.953794794172</v>
      </c>
      <c r="S8" s="346">
        <v>17751.369593319967</v>
      </c>
      <c r="T8" s="346"/>
      <c r="U8" s="346"/>
      <c r="V8" s="339">
        <v>13016</v>
      </c>
      <c r="W8" s="349"/>
      <c r="X8" s="341" t="s">
        <v>7</v>
      </c>
      <c r="Y8" s="342">
        <v>891.5028113215958</v>
      </c>
      <c r="Z8" s="342">
        <v>929.17194419433929</v>
      </c>
      <c r="AA8" s="342">
        <v>1004.5102099398264</v>
      </c>
      <c r="AB8" s="342">
        <v>1079.8484756853131</v>
      </c>
      <c r="AC8" s="342">
        <v>1130.0739861823045</v>
      </c>
      <c r="AD8" s="342">
        <v>1104.9612309338088</v>
      </c>
      <c r="AE8" s="342">
        <v>101.4879347590818</v>
      </c>
      <c r="AF8" s="342">
        <v>93.3222388589258</v>
      </c>
      <c r="AG8" s="342">
        <v>104.98751871629152</v>
      </c>
      <c r="AH8" s="342">
        <v>107.32057468776466</v>
      </c>
      <c r="AI8" s="342">
        <v>97.988350801872087</v>
      </c>
      <c r="AJ8" s="342">
        <v>90.989182887452642</v>
      </c>
      <c r="AK8" s="343">
        <v>6736.1644589685766</v>
      </c>
      <c r="AM8" s="457"/>
      <c r="AN8" s="513">
        <f t="shared" ref="AN8:AN50" si="1">SUM(E8:K8)</f>
        <v>-5824.01</v>
      </c>
      <c r="AO8" s="513">
        <f t="shared" ref="AO8:AO50" si="2">SUM(L8:P8)</f>
        <v>2691</v>
      </c>
      <c r="AP8" s="517">
        <v>2.0699999999999998</v>
      </c>
    </row>
    <row r="9" spans="2:44" x14ac:dyDescent="0.25">
      <c r="B9" s="350">
        <v>13078</v>
      </c>
      <c r="C9" s="351" t="s">
        <v>8</v>
      </c>
      <c r="D9" s="341" t="s">
        <v>9</v>
      </c>
      <c r="E9" s="342">
        <f>IFERROR(VLOOKUP(B9,BDFDUSD!$B:$BJ,41,FALSE),0)</f>
        <v>16630.41</v>
      </c>
      <c r="F9" s="342">
        <f>IFERROR(VLOOKUP(B9,BDFDUSD!$B:$BJ,44,FALSE),0)</f>
        <v>29266.46</v>
      </c>
      <c r="G9" s="342">
        <f>IFERROR(VLOOKUP(B9,BDFDUSD!$B:$BJ,47,FALSE),0)</f>
        <v>15735.4</v>
      </c>
      <c r="H9" s="342">
        <f>IFERROR(VLOOKUP(B9,BDFDUSD!$B:$BJ,50,FALSE),0)</f>
        <v>-1413.91</v>
      </c>
      <c r="I9" s="342">
        <f>IFERROR(VLOOKUP(B9,BDFDUSD!$B:$BJ,53,FALSE),0)</f>
        <v>-2972.5</v>
      </c>
      <c r="J9" s="342">
        <f>IFERROR(VLOOKUP(B9,BDFDUSD!$B:$BJ,56,FALSE),0)</f>
        <v>-1216.6099999999999</v>
      </c>
      <c r="K9" s="342">
        <f>IFERROR(VLOOKUP(B9,BDFDUSD!$B:$BJ,59,FALSE),0)</f>
        <v>56223.97</v>
      </c>
      <c r="L9" s="516">
        <f>BDPPTO!L9*BDPPTOUSD!$AP9</f>
        <v>15498.472189349111</v>
      </c>
      <c r="M9" s="516">
        <f>BDPPTO!M9*BDPPTOUSD!$AP9</f>
        <v>15498.472189349111</v>
      </c>
      <c r="N9" s="516">
        <f>BDPPTO!N9*BDPPTOUSD!$AP9</f>
        <v>19926.607100591715</v>
      </c>
      <c r="O9" s="516">
        <f>BDPPTO!O9*BDPPTOUSD!$AP9</f>
        <v>17712.539644970413</v>
      </c>
      <c r="P9" s="516">
        <f>BDPPTO!P9*BDPPTOUSD!$AP9</f>
        <v>11070.337278106508</v>
      </c>
      <c r="Q9" s="343">
        <f t="shared" si="0"/>
        <v>191959.64840236685</v>
      </c>
      <c r="R9" s="346">
        <v>254530.09406137065</v>
      </c>
      <c r="S9" s="346">
        <v>263779.34895987256</v>
      </c>
      <c r="T9" s="346"/>
      <c r="U9" s="346"/>
      <c r="V9" s="350">
        <v>13078</v>
      </c>
      <c r="W9" s="351" t="s">
        <v>8</v>
      </c>
      <c r="X9" s="341" t="s">
        <v>9</v>
      </c>
      <c r="Y9" s="342">
        <v>1113.4444520651282</v>
      </c>
      <c r="Z9" s="342">
        <v>1160.4914007439365</v>
      </c>
      <c r="AA9" s="342">
        <v>1254.585298101553</v>
      </c>
      <c r="AB9" s="342">
        <v>1348.6791954591693</v>
      </c>
      <c r="AC9" s="342">
        <v>1411.4084603642468</v>
      </c>
      <c r="AD9" s="342">
        <v>1380.0438279117081</v>
      </c>
      <c r="AE9" s="342">
        <v>1364.3615116854387</v>
      </c>
      <c r="AF9" s="342">
        <v>1254.585298101553</v>
      </c>
      <c r="AG9" s="342">
        <v>1411.4084603642468</v>
      </c>
      <c r="AH9" s="342">
        <v>1442.7730928167857</v>
      </c>
      <c r="AI9" s="342">
        <v>1317.3145630066306</v>
      </c>
      <c r="AJ9" s="342">
        <v>1223.2206656490141</v>
      </c>
      <c r="AK9" s="343">
        <v>15682.316226269408</v>
      </c>
      <c r="AM9" s="457"/>
      <c r="AN9" s="513">
        <f t="shared" si="1"/>
        <v>112253.22</v>
      </c>
      <c r="AO9" s="513">
        <f t="shared" si="2"/>
        <v>79706.428402366859</v>
      </c>
      <c r="AP9" s="515">
        <f>AN9/BDPPTO!BH9</f>
        <v>22.140674556213018</v>
      </c>
      <c r="AQ9" s="346">
        <f>SUM(Q9:Q11)</f>
        <v>811764.11230063881</v>
      </c>
    </row>
    <row r="10" spans="2:44" x14ac:dyDescent="0.25">
      <c r="B10" s="339">
        <v>13120</v>
      </c>
      <c r="C10" s="352"/>
      <c r="D10" s="341" t="s">
        <v>10</v>
      </c>
      <c r="E10" s="342">
        <f>IFERROR(VLOOKUP(B10,BDFDUSD!$B:$BJ,41,FALSE),0)</f>
        <v>-993.09</v>
      </c>
      <c r="F10" s="342">
        <f>IFERROR(VLOOKUP(B10,BDFDUSD!$B:$BJ,44,FALSE),0)</f>
        <v>7805.83</v>
      </c>
      <c r="G10" s="342">
        <f>IFERROR(VLOOKUP(B10,BDFDUSD!$B:$BJ,47,FALSE),0)</f>
        <v>9033.2000000000007</v>
      </c>
      <c r="H10" s="342">
        <f>IFERROR(VLOOKUP(B10,BDFDUSD!$B:$BJ,50,FALSE),0)</f>
        <v>18228.349999999999</v>
      </c>
      <c r="I10" s="342">
        <f>IFERROR(VLOOKUP(B10,BDFDUSD!$B:$BJ,53,FALSE),0)</f>
        <v>-11840.53</v>
      </c>
      <c r="J10" s="342">
        <f>IFERROR(VLOOKUP(B10,BDFDUSD!$B:$BJ,56,FALSE),0)</f>
        <v>-300.26</v>
      </c>
      <c r="K10" s="342">
        <f>IFERROR(VLOOKUP(B10,BDFDUSD!$B:$BJ,59,FALSE),0)</f>
        <v>13846.66</v>
      </c>
      <c r="L10" s="516">
        <f>BDPPTO!L10*BDPPTOUSD!$AP10</f>
        <v>5117.8089552238807</v>
      </c>
      <c r="M10" s="516">
        <f>BDPPTO!M10*BDPPTOUSD!$AP10</f>
        <v>5117.8089552238807</v>
      </c>
      <c r="N10" s="516">
        <f>BDPPTO!N10*BDPPTOUSD!$AP10</f>
        <v>5562.8358208955233</v>
      </c>
      <c r="O10" s="516">
        <f>BDPPTO!O10*BDPPTOUSD!$AP10</f>
        <v>5562.8358208955233</v>
      </c>
      <c r="P10" s="516">
        <f>BDPPTO!P10*BDPPTOUSD!$AP10</f>
        <v>4450.2686567164183</v>
      </c>
      <c r="Q10" s="343">
        <f t="shared" si="0"/>
        <v>61591.718208955237</v>
      </c>
      <c r="R10" s="346">
        <v>88227.570048065143</v>
      </c>
      <c r="S10" s="346">
        <v>81195.41504433153</v>
      </c>
      <c r="T10" s="346"/>
      <c r="U10" s="346"/>
      <c r="V10" s="339">
        <v>13120</v>
      </c>
      <c r="W10" s="352"/>
      <c r="X10" s="341" t="s">
        <v>10</v>
      </c>
      <c r="Y10" s="342">
        <v>481.06823470952685</v>
      </c>
      <c r="Z10" s="342">
        <v>501.39506152823924</v>
      </c>
      <c r="AA10" s="342">
        <v>542.04871516566402</v>
      </c>
      <c r="AB10" s="342">
        <v>582.7023688030888</v>
      </c>
      <c r="AC10" s="342">
        <v>609.80480456137195</v>
      </c>
      <c r="AD10" s="342">
        <v>596.25358668223032</v>
      </c>
      <c r="AE10" s="342">
        <v>589.47797774265962</v>
      </c>
      <c r="AF10" s="342">
        <v>542.04871516566402</v>
      </c>
      <c r="AG10" s="342">
        <v>609.80480456137195</v>
      </c>
      <c r="AH10" s="342">
        <v>623.3560224405137</v>
      </c>
      <c r="AI10" s="342">
        <v>569.15115092394728</v>
      </c>
      <c r="AJ10" s="342">
        <v>528.4974972865225</v>
      </c>
      <c r="AK10" s="343">
        <v>6775.6089395708004</v>
      </c>
      <c r="AM10" s="457"/>
      <c r="AN10" s="513">
        <f t="shared" si="1"/>
        <v>35780.160000000003</v>
      </c>
      <c r="AO10" s="513">
        <f t="shared" si="2"/>
        <v>25811.558208955226</v>
      </c>
      <c r="AP10" s="515">
        <f>AN10/BDPPTO!BH10</f>
        <v>22.251343283582091</v>
      </c>
    </row>
    <row r="11" spans="2:44" x14ac:dyDescent="0.25">
      <c r="B11" s="339">
        <v>13053</v>
      </c>
      <c r="C11" s="353"/>
      <c r="D11" s="341" t="s">
        <v>11</v>
      </c>
      <c r="E11" s="342">
        <f>IFERROR(VLOOKUP(B11,BDFDUSD!$B:$BJ,41,FALSE),0)</f>
        <v>27256.74</v>
      </c>
      <c r="F11" s="342">
        <f>IFERROR(VLOOKUP(B11,BDFDUSD!$B:$BJ,44,FALSE),0)</f>
        <v>62994.82</v>
      </c>
      <c r="G11" s="342">
        <f>IFERROR(VLOOKUP(B11,BDFDUSD!$B:$BJ,47,FALSE),0)</f>
        <v>38385.14</v>
      </c>
      <c r="H11" s="342">
        <f>IFERROR(VLOOKUP(B11,BDFDUSD!$B:$BJ,50,FALSE),0)</f>
        <v>16801.97</v>
      </c>
      <c r="I11" s="342">
        <f>IFERROR(VLOOKUP(B11,BDFDUSD!$B:$BJ,53,FALSE),0)</f>
        <v>-1750.34</v>
      </c>
      <c r="J11" s="342">
        <f>IFERROR(VLOOKUP(B11,BDFDUSD!$B:$BJ,56,FALSE),0)</f>
        <v>134922.89000000001</v>
      </c>
      <c r="K11" s="342">
        <f>IFERROR(VLOOKUP(B11,BDFDUSD!$B:$BJ,59,FALSE),0)</f>
        <v>57647.79</v>
      </c>
      <c r="L11" s="516">
        <f>BDPPTO!L11*BDPPTOUSD!$AP11</f>
        <v>42099.843948635629</v>
      </c>
      <c r="M11" s="516">
        <f>BDPPTO!M11*BDPPTOUSD!$AP11</f>
        <v>47347.331620296049</v>
      </c>
      <c r="N11" s="516">
        <f>BDPPTO!N11*BDPPTOUSD!$AP11</f>
        <v>47977.030140895302</v>
      </c>
      <c r="O11" s="516">
        <f>BDPPTO!O11*BDPPTOUSD!$AP11</f>
        <v>43479.183565186366</v>
      </c>
      <c r="P11" s="516">
        <f>BDPPTO!P11*BDPPTOUSD!$AP11</f>
        <v>41050.346414303538</v>
      </c>
      <c r="Q11" s="343">
        <f t="shared" si="0"/>
        <v>558212.74568931677</v>
      </c>
      <c r="R11" s="346">
        <v>540516.70704765839</v>
      </c>
      <c r="S11" s="346">
        <v>540713.1317431666</v>
      </c>
      <c r="T11" s="346"/>
      <c r="U11" s="346"/>
      <c r="V11" s="339">
        <v>13053</v>
      </c>
      <c r="W11" s="353"/>
      <c r="X11" s="341" t="s">
        <v>11</v>
      </c>
      <c r="Y11" s="342">
        <v>3602.2929615748103</v>
      </c>
      <c r="Z11" s="342">
        <v>3754.5025233314932</v>
      </c>
      <c r="AA11" s="342">
        <v>4058.9216468448576</v>
      </c>
      <c r="AB11" s="342">
        <v>4363.3407703582207</v>
      </c>
      <c r="AC11" s="342">
        <v>4566.2868527004648</v>
      </c>
      <c r="AD11" s="342">
        <v>4464.8138115293432</v>
      </c>
      <c r="AE11" s="342">
        <v>4414.0772909437828</v>
      </c>
      <c r="AF11" s="342">
        <v>4058.9216468448576</v>
      </c>
      <c r="AG11" s="342">
        <v>4566.2868527004648</v>
      </c>
      <c r="AH11" s="342">
        <v>4667.7598938715855</v>
      </c>
      <c r="AI11" s="342">
        <v>4261.8677291871008</v>
      </c>
      <c r="AJ11" s="342">
        <v>3957.448605673736</v>
      </c>
      <c r="AK11" s="343">
        <v>50736.520585560706</v>
      </c>
      <c r="AM11" s="457"/>
      <c r="AN11" s="513">
        <f t="shared" si="1"/>
        <v>336259.00999999995</v>
      </c>
      <c r="AO11" s="513">
        <f t="shared" si="2"/>
        <v>221953.73568931688</v>
      </c>
      <c r="AP11" s="515">
        <f>AN11/BDPPTO!BH11</f>
        <v>29.985643838059563</v>
      </c>
    </row>
    <row r="12" spans="2:44" x14ac:dyDescent="0.25">
      <c r="B12" s="339">
        <v>13022</v>
      </c>
      <c r="C12" s="340" t="s">
        <v>12</v>
      </c>
      <c r="D12" s="341" t="s">
        <v>13</v>
      </c>
      <c r="E12" s="342">
        <f>IFERROR(VLOOKUP(B12,BDFDUSD!$B:$BJ,41,FALSE),0)</f>
        <v>300302.78000000003</v>
      </c>
      <c r="F12" s="342">
        <f>IFERROR(VLOOKUP(B12,BDFDUSD!$B:$BJ,44,FALSE),0)</f>
        <v>193919.09</v>
      </c>
      <c r="G12" s="342">
        <f>IFERROR(VLOOKUP(B12,BDFDUSD!$B:$BJ,47,FALSE),0)</f>
        <v>165786.28</v>
      </c>
      <c r="H12" s="342">
        <f>IFERROR(VLOOKUP(B12,BDFDUSD!$B:$BJ,50,FALSE),0)</f>
        <v>251024.84</v>
      </c>
      <c r="I12" s="342">
        <f>IFERROR(VLOOKUP(B12,BDFDUSD!$B:$BJ,53,FALSE),0)</f>
        <v>236409.74</v>
      </c>
      <c r="J12" s="342">
        <f>IFERROR(VLOOKUP(B12,BDFDUSD!$B:$BJ,56,FALSE),0)</f>
        <v>258835.58</v>
      </c>
      <c r="K12" s="342">
        <f>IFERROR(VLOOKUP(B12,BDFDUSD!$B:$BJ,59,FALSE),0)</f>
        <v>239302.06</v>
      </c>
      <c r="L12" s="516">
        <f>BDPPTO!L12*BDPPTOUSD!$AP12</f>
        <v>223782.93729941433</v>
      </c>
      <c r="M12" s="516">
        <f>BDPPTO!M12*BDPPTOUSD!$AP12</f>
        <v>223782.93729941433</v>
      </c>
      <c r="N12" s="516">
        <f>BDPPTO!N12*BDPPTOUSD!$AP12</f>
        <v>223782.93729941433</v>
      </c>
      <c r="O12" s="516">
        <f>BDPPTO!O12*BDPPTOUSD!$AP12</f>
        <v>248647.70811046037</v>
      </c>
      <c r="P12" s="516">
        <f>BDPPTO!P12*BDPPTOUSD!$AP12</f>
        <v>223782.93729941433</v>
      </c>
      <c r="Q12" s="343">
        <f t="shared" si="0"/>
        <v>2789359.8273081183</v>
      </c>
      <c r="R12" s="346">
        <v>2143613.2765547074</v>
      </c>
      <c r="S12" s="346">
        <v>2049887.257526343</v>
      </c>
      <c r="T12" s="346"/>
      <c r="U12" s="346"/>
      <c r="V12" s="339">
        <v>13022</v>
      </c>
      <c r="W12" s="340" t="s">
        <v>12</v>
      </c>
      <c r="X12" s="341" t="s">
        <v>13</v>
      </c>
      <c r="Y12" s="342">
        <v>41542.290940167972</v>
      </c>
      <c r="Z12" s="342">
        <v>43297.599008062396</v>
      </c>
      <c r="AA12" s="342">
        <v>46808.215143851245</v>
      </c>
      <c r="AB12" s="342">
        <v>50318.831279640079</v>
      </c>
      <c r="AC12" s="342">
        <v>52659.242036832642</v>
      </c>
      <c r="AD12" s="342">
        <v>51489.036658236357</v>
      </c>
      <c r="AE12" s="342">
        <v>50903.933968938225</v>
      </c>
      <c r="AF12" s="342">
        <v>46808.215143851245</v>
      </c>
      <c r="AG12" s="342">
        <v>52659.242036832642</v>
      </c>
      <c r="AH12" s="342">
        <v>53829.44741542892</v>
      </c>
      <c r="AI12" s="342">
        <v>49148.625901043808</v>
      </c>
      <c r="AJ12" s="342">
        <v>45638.009765254959</v>
      </c>
      <c r="AK12" s="343">
        <v>585102.68929814047</v>
      </c>
      <c r="AM12" s="457"/>
      <c r="AN12" s="513">
        <f t="shared" si="1"/>
        <v>1645580.37</v>
      </c>
      <c r="AO12" s="513">
        <f t="shared" si="2"/>
        <v>1143779.4573081178</v>
      </c>
      <c r="AP12" s="515">
        <f>AN12/BDPPTO!BH12</f>
        <v>4.9729541622092075</v>
      </c>
      <c r="AQ12" s="346">
        <f>+Q12</f>
        <v>2789359.8273081183</v>
      </c>
    </row>
    <row r="13" spans="2:44" x14ac:dyDescent="0.25">
      <c r="B13" s="339">
        <v>13141</v>
      </c>
      <c r="C13" s="354" t="s">
        <v>18</v>
      </c>
      <c r="D13" s="355" t="s">
        <v>20</v>
      </c>
      <c r="E13" s="342">
        <f>IFERROR(VLOOKUP(B13,BDFDUSD!$B:$BJ,41,FALSE),0)</f>
        <v>1417.54</v>
      </c>
      <c r="F13" s="342">
        <f>IFERROR(VLOOKUP(B13,BDFDUSD!$B:$BJ,44,FALSE),0)</f>
        <v>17824.3</v>
      </c>
      <c r="G13" s="342">
        <f>IFERROR(VLOOKUP(B13,BDFDUSD!$B:$BJ,47,FALSE),0)</f>
        <v>12490.08</v>
      </c>
      <c r="H13" s="342">
        <f>IFERROR(VLOOKUP(B13,BDFDUSD!$B:$BJ,50,FALSE),0)</f>
        <v>19250.05</v>
      </c>
      <c r="I13" s="342">
        <f>IFERROR(VLOOKUP(B13,BDFDUSD!$B:$BJ,53,FALSE),0)</f>
        <v>13939.6</v>
      </c>
      <c r="J13" s="342">
        <f>IFERROR(VLOOKUP(B13,BDFDUSD!$B:$BJ,56,FALSE),0)</f>
        <v>25773.040000000001</v>
      </c>
      <c r="K13" s="342">
        <f>IFERROR(VLOOKUP(B13,BDFDUSD!$B:$BJ,59,FALSE),0)</f>
        <v>18423.34</v>
      </c>
      <c r="L13" s="516">
        <f>BDPPTO!L13*BDPPTOUSD!$AP13</f>
        <v>16005.95785253276</v>
      </c>
      <c r="M13" s="516">
        <f>BDPPTO!M13*BDPPTOUSD!$AP13</f>
        <v>19207.149423039311</v>
      </c>
      <c r="N13" s="516">
        <f>BDPPTO!N13*BDPPTOUSD!$AP13</f>
        <v>19207.149423039311</v>
      </c>
      <c r="O13" s="516">
        <f>BDPPTO!O13*BDPPTOUSD!$AP13</f>
        <v>19207.149423039311</v>
      </c>
      <c r="P13" s="516">
        <f>BDPPTO!P13*BDPPTOUSD!$AP13</f>
        <v>19207.149423039311</v>
      </c>
      <c r="Q13" s="343">
        <f t="shared" si="0"/>
        <v>201952.50554469001</v>
      </c>
      <c r="R13" s="346">
        <v>225020.45066112958</v>
      </c>
      <c r="S13" s="346">
        <v>229359.20833403323</v>
      </c>
      <c r="T13" s="346"/>
      <c r="U13" s="346"/>
      <c r="V13" s="339">
        <v>13141</v>
      </c>
      <c r="W13" s="354" t="s">
        <v>18</v>
      </c>
      <c r="X13" s="355" t="s">
        <v>20</v>
      </c>
      <c r="Y13" s="342">
        <v>646.88230237823905</v>
      </c>
      <c r="Z13" s="342">
        <v>674.21535740830564</v>
      </c>
      <c r="AA13" s="342">
        <v>728.88146746843847</v>
      </c>
      <c r="AB13" s="342">
        <v>783.54757752857131</v>
      </c>
      <c r="AC13" s="342">
        <v>819.99165090199335</v>
      </c>
      <c r="AD13" s="342">
        <v>801.76961421528233</v>
      </c>
      <c r="AE13" s="342">
        <v>792.65859587192676</v>
      </c>
      <c r="AF13" s="342">
        <v>728.88146746843847</v>
      </c>
      <c r="AG13" s="342">
        <v>819.99165090199335</v>
      </c>
      <c r="AH13" s="342">
        <v>838.21368758870437</v>
      </c>
      <c r="AI13" s="342">
        <v>765.3255408418604</v>
      </c>
      <c r="AJ13" s="342">
        <v>710.65943078172756</v>
      </c>
      <c r="AK13" s="343">
        <v>9111.0183433554812</v>
      </c>
      <c r="AM13" s="457"/>
      <c r="AN13" s="513">
        <f t="shared" si="1"/>
        <v>109117.95</v>
      </c>
      <c r="AO13" s="513">
        <f t="shared" si="2"/>
        <v>92834.555544690011</v>
      </c>
      <c r="AP13" s="515">
        <f>AN13/BDPPTO!BH13</f>
        <v>10.670638568355173</v>
      </c>
      <c r="AR13" s="346">
        <f>SUM(Q13:Q16)</f>
        <v>350850.93846044492</v>
      </c>
    </row>
    <row r="14" spans="2:44" x14ac:dyDescent="0.25">
      <c r="B14" s="339">
        <v>13142</v>
      </c>
      <c r="C14" s="356"/>
      <c r="D14" s="355" t="s">
        <v>19</v>
      </c>
      <c r="E14" s="342">
        <f>IFERROR(VLOOKUP(B14,BDFDUSD!$B:$BJ,41,FALSE),0)</f>
        <v>7357.63</v>
      </c>
      <c r="F14" s="342">
        <f>IFERROR(VLOOKUP(B14,BDFDUSD!$B:$BJ,44,FALSE),0)</f>
        <v>16363.07</v>
      </c>
      <c r="G14" s="342">
        <f>IFERROR(VLOOKUP(B14,BDFDUSD!$B:$BJ,47,FALSE),0)</f>
        <v>-1213.46</v>
      </c>
      <c r="H14" s="342">
        <f>IFERROR(VLOOKUP(B14,BDFDUSD!$B:$BJ,50,FALSE),0)</f>
        <v>11696.69</v>
      </c>
      <c r="I14" s="342">
        <f>IFERROR(VLOOKUP(B14,BDFDUSD!$B:$BJ,53,FALSE),0)</f>
        <v>18664.23</v>
      </c>
      <c r="J14" s="342">
        <f>IFERROR(VLOOKUP(B14,BDFDUSD!$B:$BJ,56,FALSE),0)</f>
        <v>11299.49</v>
      </c>
      <c r="K14" s="342">
        <f>IFERROR(VLOOKUP(B14,BDFDUSD!$B:$BJ,59,FALSE),0)</f>
        <v>16030.14</v>
      </c>
      <c r="L14" s="516">
        <f>BDPPTO!L14*BDPPTOUSD!$AP14</f>
        <v>12064.766001094093</v>
      </c>
      <c r="M14" s="516">
        <f>BDPPTO!M14*BDPPTOUSD!$AP14</f>
        <v>15355.156728665208</v>
      </c>
      <c r="N14" s="516">
        <f>BDPPTO!N14*BDPPTOUSD!$AP14</f>
        <v>15355.156728665208</v>
      </c>
      <c r="O14" s="516">
        <f>BDPPTO!O14*BDPPTOUSD!$AP14</f>
        <v>15355.156728665208</v>
      </c>
      <c r="P14" s="516">
        <f>BDPPTO!P14*BDPPTOUSD!$AP14</f>
        <v>15355.156728665208</v>
      </c>
      <c r="Q14" s="343">
        <f t="shared" si="0"/>
        <v>153683.18291575494</v>
      </c>
      <c r="R14" s="346">
        <v>121789.92058405653</v>
      </c>
      <c r="S14" s="346">
        <v>115546.28292978011</v>
      </c>
      <c r="T14" s="346"/>
      <c r="U14" s="346"/>
      <c r="V14" s="339">
        <v>13142</v>
      </c>
      <c r="W14" s="356"/>
      <c r="X14" s="355" t="s">
        <v>19</v>
      </c>
      <c r="Y14" s="342">
        <v>370.23859542323009</v>
      </c>
      <c r="Z14" s="342">
        <v>385.88247973688777</v>
      </c>
      <c r="AA14" s="342">
        <v>417.17024836420302</v>
      </c>
      <c r="AB14" s="342">
        <v>448.45801699151815</v>
      </c>
      <c r="AC14" s="342">
        <v>469.31652940972839</v>
      </c>
      <c r="AD14" s="342">
        <v>458.88727320062333</v>
      </c>
      <c r="AE14" s="342">
        <v>453.67264509607077</v>
      </c>
      <c r="AF14" s="342">
        <v>417.17024836420302</v>
      </c>
      <c r="AG14" s="342">
        <v>469.31652940972839</v>
      </c>
      <c r="AH14" s="342">
        <v>479.74578561883339</v>
      </c>
      <c r="AI14" s="342">
        <v>438.0287607824132</v>
      </c>
      <c r="AJ14" s="342">
        <v>406.74099215509796</v>
      </c>
      <c r="AK14" s="343">
        <v>5214.6281045525375</v>
      </c>
      <c r="AM14" s="457"/>
      <c r="AN14" s="513">
        <f t="shared" si="1"/>
        <v>80197.790000000008</v>
      </c>
      <c r="AO14" s="513">
        <f t="shared" si="2"/>
        <v>73485.392915754928</v>
      </c>
      <c r="AP14" s="515">
        <f>AN14/BDPPTO!BH14</f>
        <v>10.96796909190372</v>
      </c>
    </row>
    <row r="15" spans="2:44" x14ac:dyDescent="0.25">
      <c r="B15" s="339">
        <v>13117</v>
      </c>
      <c r="C15" s="356"/>
      <c r="D15" s="355" t="s">
        <v>703</v>
      </c>
      <c r="E15" s="342">
        <f>IFERROR(VLOOKUP(B15,BDFDUSD!$B:$BJ,41,FALSE),0)</f>
        <v>-607.94000000000005</v>
      </c>
      <c r="F15" s="342">
        <f>IFERROR(VLOOKUP(B15,BDFDUSD!$B:$BJ,44,FALSE),0)</f>
        <v>-355.08</v>
      </c>
      <c r="G15" s="342">
        <f>IFERROR(VLOOKUP(B15,BDFDUSD!$B:$BJ,47,FALSE),0)</f>
        <v>-199.03</v>
      </c>
      <c r="H15" s="342">
        <f>IFERROR(VLOOKUP(B15,BDFDUSD!$B:$BJ,50,FALSE),0)</f>
        <v>-43.04</v>
      </c>
      <c r="I15" s="342">
        <f>IFERROR(VLOOKUP(B15,BDFDUSD!$B:$BJ,53,FALSE),0)</f>
        <v>-171.84</v>
      </c>
      <c r="J15" s="342">
        <f>IFERROR(VLOOKUP(B15,BDFDUSD!$B:$BJ,56,FALSE),0)</f>
        <v>-1363.98</v>
      </c>
      <c r="K15" s="342">
        <f>IFERROR(VLOOKUP(B15,BDFDUSD!$B:$BJ,59,FALSE),0)</f>
        <v>-214.8</v>
      </c>
      <c r="L15" s="516"/>
      <c r="M15" s="516"/>
      <c r="N15" s="516"/>
      <c r="O15" s="516"/>
      <c r="P15" s="516"/>
      <c r="Q15" s="343">
        <f t="shared" si="0"/>
        <v>-2955.71</v>
      </c>
      <c r="R15" s="346"/>
      <c r="S15" s="346"/>
      <c r="T15" s="346"/>
      <c r="U15" s="346"/>
      <c r="V15" s="339"/>
      <c r="W15" s="356"/>
      <c r="X15" s="355"/>
      <c r="Y15" s="342"/>
      <c r="Z15" s="342"/>
      <c r="AA15" s="342"/>
      <c r="AB15" s="342"/>
      <c r="AC15" s="342"/>
      <c r="AD15" s="342"/>
      <c r="AE15" s="342"/>
      <c r="AF15" s="342"/>
      <c r="AG15" s="342"/>
      <c r="AH15" s="342"/>
      <c r="AI15" s="342"/>
      <c r="AJ15" s="342"/>
      <c r="AK15" s="343"/>
      <c r="AM15" s="457"/>
      <c r="AN15" s="513">
        <f t="shared" si="1"/>
        <v>-2955.71</v>
      </c>
      <c r="AO15" s="513">
        <f t="shared" si="2"/>
        <v>0</v>
      </c>
      <c r="AP15" s="515"/>
    </row>
    <row r="16" spans="2:44" x14ac:dyDescent="0.25">
      <c r="B16" s="339">
        <v>13115</v>
      </c>
      <c r="C16" s="356"/>
      <c r="D16" s="355" t="s">
        <v>704</v>
      </c>
      <c r="E16" s="342">
        <f>IFERROR(VLOOKUP(B16,BDFDUSD!$B:$BJ,41,FALSE),0)</f>
        <v>-310.94</v>
      </c>
      <c r="F16" s="342">
        <f>IFERROR(VLOOKUP(B16,BDFDUSD!$B:$BJ,44,FALSE),0)</f>
        <v>-1210.9100000000001</v>
      </c>
      <c r="G16" s="342">
        <f>IFERROR(VLOOKUP(B16,BDFDUSD!$B:$BJ,47,FALSE),0)</f>
        <v>-229.55</v>
      </c>
      <c r="H16" s="342">
        <f>IFERROR(VLOOKUP(B16,BDFDUSD!$B:$BJ,50,FALSE),0)</f>
        <v>-71.17</v>
      </c>
      <c r="I16" s="342">
        <f>IFERROR(VLOOKUP(B16,BDFDUSD!$B:$BJ,53,FALSE),0)</f>
        <v>0</v>
      </c>
      <c r="J16" s="342">
        <f>IFERROR(VLOOKUP(B16,BDFDUSD!$B:$BJ,56,FALSE),0)</f>
        <v>0</v>
      </c>
      <c r="K16" s="342">
        <f>IFERROR(VLOOKUP(B16,BDFDUSD!$B:$BJ,59,FALSE),0)</f>
        <v>-6.47</v>
      </c>
      <c r="L16" s="516"/>
      <c r="M16" s="516"/>
      <c r="N16" s="516"/>
      <c r="O16" s="516"/>
      <c r="P16" s="516"/>
      <c r="Q16" s="343">
        <f t="shared" si="0"/>
        <v>-1829.0400000000002</v>
      </c>
      <c r="R16" s="346"/>
      <c r="S16" s="346"/>
      <c r="T16" s="346"/>
      <c r="U16" s="346"/>
      <c r="V16" s="339"/>
      <c r="W16" s="356"/>
      <c r="X16" s="355"/>
      <c r="Y16" s="342"/>
      <c r="Z16" s="342"/>
      <c r="AA16" s="342"/>
      <c r="AB16" s="342"/>
      <c r="AC16" s="342"/>
      <c r="AD16" s="342"/>
      <c r="AE16" s="342"/>
      <c r="AF16" s="342"/>
      <c r="AG16" s="342"/>
      <c r="AH16" s="342"/>
      <c r="AI16" s="342"/>
      <c r="AJ16" s="342"/>
      <c r="AK16" s="343"/>
      <c r="AM16" s="457"/>
      <c r="AN16" s="513">
        <f t="shared" si="1"/>
        <v>-1829.0400000000002</v>
      </c>
      <c r="AO16" s="513">
        <f t="shared" si="2"/>
        <v>0</v>
      </c>
      <c r="AP16" s="515"/>
    </row>
    <row r="17" spans="2:44" x14ac:dyDescent="0.25">
      <c r="B17" s="357">
        <v>13160</v>
      </c>
      <c r="C17" s="354" t="s">
        <v>437</v>
      </c>
      <c r="D17" s="355" t="s">
        <v>658</v>
      </c>
      <c r="E17" s="342">
        <f>IFERROR(VLOOKUP(B17,BDFDUSD!$B:$BJ,41,FALSE),0)</f>
        <v>0</v>
      </c>
      <c r="F17" s="342">
        <f>IFERROR(VLOOKUP(B17,BDFDUSD!$B:$BJ,44,FALSE),0)</f>
        <v>0</v>
      </c>
      <c r="G17" s="342">
        <f>IFERROR(VLOOKUP(B17,BDFDUSD!$B:$BJ,47,FALSE),0)</f>
        <v>0</v>
      </c>
      <c r="H17" s="342">
        <f>IFERROR(VLOOKUP(B17,BDFDUSD!$B:$BJ,50,FALSE),0)</f>
        <v>0</v>
      </c>
      <c r="I17" s="342">
        <f>IFERROR(VLOOKUP(B17,BDFDUSD!$B:$BJ,53,FALSE),0)</f>
        <v>0</v>
      </c>
      <c r="J17" s="342">
        <f>IFERROR(VLOOKUP(B17,BDFDUSD!$B:$BJ,56,FALSE),0)</f>
        <v>0</v>
      </c>
      <c r="K17" s="342">
        <f>IFERROR(VLOOKUP(B17,BDFDUSD!$B:$BJ,59,FALSE),0)</f>
        <v>0</v>
      </c>
      <c r="L17" s="516">
        <f>BDPPTO!L17*BDPPTOUSD!$AP17</f>
        <v>0</v>
      </c>
      <c r="M17" s="516">
        <f>BDPPTO!M17*BDPPTOUSD!$AP17</f>
        <v>0</v>
      </c>
      <c r="N17" s="516">
        <f>BDPPTO!N17*BDPPTOUSD!$AP17</f>
        <v>0</v>
      </c>
      <c r="O17" s="516">
        <f>BDPPTO!O17*BDPPTOUSD!$AP17</f>
        <v>0</v>
      </c>
      <c r="P17" s="516">
        <f>BDPPTO!P17*BDPPTOUSD!$AP17</f>
        <v>0</v>
      </c>
      <c r="Q17" s="343">
        <f t="shared" si="0"/>
        <v>0</v>
      </c>
      <c r="R17" s="346"/>
      <c r="S17" s="346"/>
      <c r="T17" s="346"/>
      <c r="U17" s="346"/>
      <c r="V17" s="357">
        <v>13160</v>
      </c>
      <c r="W17" s="354" t="s">
        <v>437</v>
      </c>
      <c r="X17" s="355" t="s">
        <v>658</v>
      </c>
      <c r="Y17" s="342">
        <v>0</v>
      </c>
      <c r="Z17" s="342">
        <v>0</v>
      </c>
      <c r="AA17" s="342">
        <v>0</v>
      </c>
      <c r="AB17" s="342">
        <v>0</v>
      </c>
      <c r="AC17" s="342">
        <v>0</v>
      </c>
      <c r="AD17" s="342">
        <v>0</v>
      </c>
      <c r="AE17" s="342">
        <v>0</v>
      </c>
      <c r="AF17" s="342">
        <v>0</v>
      </c>
      <c r="AG17" s="342">
        <v>1058.6395833333333</v>
      </c>
      <c r="AH17" s="342">
        <v>697.45666666666671</v>
      </c>
      <c r="AI17" s="342">
        <v>790.86604166666666</v>
      </c>
      <c r="AJ17" s="342">
        <v>871.82083333333333</v>
      </c>
      <c r="AK17" s="343">
        <v>3418.7831249999999</v>
      </c>
      <c r="AM17" s="457"/>
      <c r="AN17" s="513">
        <f t="shared" si="1"/>
        <v>0</v>
      </c>
      <c r="AO17" s="513">
        <f t="shared" si="2"/>
        <v>0</v>
      </c>
      <c r="AP17" s="515">
        <v>0</v>
      </c>
      <c r="AQ17" s="346">
        <f>SUM(Q17:Q19)</f>
        <v>0</v>
      </c>
    </row>
    <row r="18" spans="2:44" x14ac:dyDescent="0.25">
      <c r="B18" s="357">
        <v>13161</v>
      </c>
      <c r="C18" s="356"/>
      <c r="D18" s="355" t="s">
        <v>660</v>
      </c>
      <c r="E18" s="342">
        <f>IFERROR(VLOOKUP(B18,BDFDUSD!$B:$BJ,41,FALSE),0)</f>
        <v>0</v>
      </c>
      <c r="F18" s="342">
        <f>IFERROR(VLOOKUP(B18,BDFDUSD!$B:$BJ,44,FALSE),0)</f>
        <v>0</v>
      </c>
      <c r="G18" s="342">
        <f>IFERROR(VLOOKUP(B18,BDFDUSD!$B:$BJ,47,FALSE),0)</f>
        <v>0</v>
      </c>
      <c r="H18" s="342">
        <f>IFERROR(VLOOKUP(B18,BDFDUSD!$B:$BJ,50,FALSE),0)</f>
        <v>0</v>
      </c>
      <c r="I18" s="342">
        <f>IFERROR(VLOOKUP(B18,BDFDUSD!$B:$BJ,53,FALSE),0)</f>
        <v>0</v>
      </c>
      <c r="J18" s="342">
        <f>IFERROR(VLOOKUP(B18,BDFDUSD!$B:$BJ,56,FALSE),0)</f>
        <v>0</v>
      </c>
      <c r="K18" s="342">
        <f>IFERROR(VLOOKUP(B18,BDFDUSD!$B:$BJ,59,FALSE),0)</f>
        <v>0</v>
      </c>
      <c r="L18" s="516">
        <f>BDPPTO!L18*BDPPTOUSD!$AP18</f>
        <v>0</v>
      </c>
      <c r="M18" s="516">
        <f>BDPPTO!M18*BDPPTOUSD!$AP18</f>
        <v>0</v>
      </c>
      <c r="N18" s="516">
        <f>BDPPTO!N18*BDPPTOUSD!$AP18</f>
        <v>0</v>
      </c>
      <c r="O18" s="516">
        <f>BDPPTO!O18*BDPPTOUSD!$AP18</f>
        <v>0</v>
      </c>
      <c r="P18" s="516">
        <f>BDPPTO!P18*BDPPTOUSD!$AP18</f>
        <v>0</v>
      </c>
      <c r="Q18" s="343">
        <f t="shared" si="0"/>
        <v>0</v>
      </c>
      <c r="R18" s="346"/>
      <c r="S18" s="346"/>
      <c r="T18" s="346"/>
      <c r="U18" s="346"/>
      <c r="V18" s="357">
        <v>13161</v>
      </c>
      <c r="W18" s="356"/>
      <c r="X18" s="355" t="s">
        <v>660</v>
      </c>
      <c r="Y18" s="342">
        <v>0</v>
      </c>
      <c r="Z18" s="342">
        <v>0</v>
      </c>
      <c r="AA18" s="342">
        <v>0</v>
      </c>
      <c r="AB18" s="342">
        <v>0</v>
      </c>
      <c r="AC18" s="342">
        <v>0</v>
      </c>
      <c r="AD18" s="342">
        <v>0</v>
      </c>
      <c r="AE18" s="342">
        <v>0</v>
      </c>
      <c r="AF18" s="342">
        <v>0</v>
      </c>
      <c r="AG18" s="342">
        <v>611.32708333333346</v>
      </c>
      <c r="AH18" s="342">
        <v>402.75666666666672</v>
      </c>
      <c r="AI18" s="342">
        <v>456.69729166666673</v>
      </c>
      <c r="AJ18" s="342">
        <v>503.44583333333344</v>
      </c>
      <c r="AK18" s="343">
        <v>1974.2268750000005</v>
      </c>
      <c r="AM18" s="457"/>
      <c r="AN18" s="513">
        <f t="shared" si="1"/>
        <v>0</v>
      </c>
      <c r="AO18" s="513">
        <f t="shared" si="2"/>
        <v>0</v>
      </c>
      <c r="AP18" s="515">
        <v>0</v>
      </c>
    </row>
    <row r="19" spans="2:44" x14ac:dyDescent="0.25">
      <c r="B19" s="357">
        <v>13162</v>
      </c>
      <c r="C19" s="356"/>
      <c r="D19" s="355" t="s">
        <v>662</v>
      </c>
      <c r="E19" s="342">
        <f>IFERROR(VLOOKUP(B19,BDFDUSD!$B:$BJ,41,FALSE),0)</f>
        <v>0</v>
      </c>
      <c r="F19" s="342">
        <f>IFERROR(VLOOKUP(B19,BDFDUSD!$B:$BJ,44,FALSE),0)</f>
        <v>0</v>
      </c>
      <c r="G19" s="342">
        <f>IFERROR(VLOOKUP(B19,BDFDUSD!$B:$BJ,47,FALSE),0)</f>
        <v>0</v>
      </c>
      <c r="H19" s="342">
        <f>IFERROR(VLOOKUP(B19,BDFDUSD!$B:$BJ,50,FALSE),0)</f>
        <v>0</v>
      </c>
      <c r="I19" s="342">
        <f>IFERROR(VLOOKUP(B19,BDFDUSD!$B:$BJ,53,FALSE),0)</f>
        <v>0</v>
      </c>
      <c r="J19" s="342">
        <f>IFERROR(VLOOKUP(B19,BDFDUSD!$B:$BJ,56,FALSE),0)</f>
        <v>0</v>
      </c>
      <c r="K19" s="342">
        <f>IFERROR(VLOOKUP(B19,BDFDUSD!$B:$BJ,59,FALSE),0)</f>
        <v>0</v>
      </c>
      <c r="L19" s="516">
        <f>BDPPTO!L19*BDPPTOUSD!$AP19</f>
        <v>0</v>
      </c>
      <c r="M19" s="516">
        <f>BDPPTO!M19*BDPPTOUSD!$AP19</f>
        <v>0</v>
      </c>
      <c r="N19" s="516">
        <f>BDPPTO!N19*BDPPTOUSD!$AP19</f>
        <v>0</v>
      </c>
      <c r="O19" s="516">
        <f>BDPPTO!O19*BDPPTOUSD!$AP19</f>
        <v>0</v>
      </c>
      <c r="P19" s="516">
        <f>BDPPTO!P19*BDPPTOUSD!$AP19</f>
        <v>0</v>
      </c>
      <c r="Q19" s="343">
        <f t="shared" si="0"/>
        <v>0</v>
      </c>
      <c r="R19" s="346"/>
      <c r="S19" s="346"/>
      <c r="T19" s="346"/>
      <c r="U19" s="346"/>
      <c r="V19" s="357">
        <v>13162</v>
      </c>
      <c r="W19" s="356"/>
      <c r="X19" s="355" t="s">
        <v>662</v>
      </c>
      <c r="Y19" s="342">
        <v>0</v>
      </c>
      <c r="Z19" s="342">
        <v>0</v>
      </c>
      <c r="AA19" s="342">
        <v>0</v>
      </c>
      <c r="AB19" s="342">
        <v>0</v>
      </c>
      <c r="AC19" s="342">
        <v>0</v>
      </c>
      <c r="AD19" s="342">
        <v>0</v>
      </c>
      <c r="AE19" s="342">
        <v>0</v>
      </c>
      <c r="AF19" s="342">
        <v>0</v>
      </c>
      <c r="AG19" s="342">
        <v>1060.130625</v>
      </c>
      <c r="AH19" s="342">
        <v>698.43899999999996</v>
      </c>
      <c r="AI19" s="342">
        <v>791.97993750000001</v>
      </c>
      <c r="AJ19" s="342">
        <v>873.04875000000004</v>
      </c>
      <c r="AK19" s="343">
        <v>3423.5983125000002</v>
      </c>
      <c r="AM19" s="457"/>
      <c r="AN19" s="513">
        <f t="shared" si="1"/>
        <v>0</v>
      </c>
      <c r="AO19" s="513">
        <f t="shared" si="2"/>
        <v>0</v>
      </c>
      <c r="AP19" s="515">
        <v>0</v>
      </c>
    </row>
    <row r="20" spans="2:44" x14ac:dyDescent="0.25">
      <c r="B20" s="339">
        <v>13081</v>
      </c>
      <c r="C20" s="358" t="s">
        <v>58</v>
      </c>
      <c r="D20" s="341" t="s">
        <v>59</v>
      </c>
      <c r="E20" s="342">
        <f>IFERROR(VLOOKUP(B20,BDFDUSD!$B:$BJ,41,FALSE),0)</f>
        <v>4116.8100000000004</v>
      </c>
      <c r="F20" s="342">
        <f>IFERROR(VLOOKUP(B20,BDFDUSD!$B:$BJ,44,FALSE),0)</f>
        <v>6008.94</v>
      </c>
      <c r="G20" s="342">
        <f>IFERROR(VLOOKUP(B20,BDFDUSD!$B:$BJ,47,FALSE),0)</f>
        <v>6122.45</v>
      </c>
      <c r="H20" s="342">
        <f>IFERROR(VLOOKUP(B20,BDFDUSD!$B:$BJ,50,FALSE),0)</f>
        <v>2337.17</v>
      </c>
      <c r="I20" s="342">
        <f>IFERROR(VLOOKUP(B20,BDFDUSD!$B:$BJ,53,FALSE),0)</f>
        <v>3527.7</v>
      </c>
      <c r="J20" s="342">
        <f>IFERROR(VLOOKUP(B20,BDFDUSD!$B:$BJ,56,FALSE),0)</f>
        <v>11584.61</v>
      </c>
      <c r="K20" s="342">
        <f>IFERROR(VLOOKUP(B20,BDFDUSD!$B:$BJ,59,FALSE),0)</f>
        <v>6143.19</v>
      </c>
      <c r="L20" s="516">
        <f>BDPPTO!L20*BDPPTOUSD!$AP20</f>
        <v>0</v>
      </c>
      <c r="M20" s="516">
        <f>BDPPTO!M20*BDPPTOUSD!$AP20</f>
        <v>0</v>
      </c>
      <c r="N20" s="516">
        <f>BDPPTO!N20*BDPPTOUSD!$AP20</f>
        <v>7665.3910533910548</v>
      </c>
      <c r="O20" s="516">
        <f>BDPPTO!O20*BDPPTOUSD!$AP20</f>
        <v>8623.5649350649364</v>
      </c>
      <c r="P20" s="516">
        <f>BDPPTO!P20*BDPPTOUSD!$AP20</f>
        <v>5864.0241558441567</v>
      </c>
      <c r="Q20" s="343">
        <f t="shared" si="0"/>
        <v>61993.850144300151</v>
      </c>
      <c r="R20" s="346">
        <v>66572.886150162332</v>
      </c>
      <c r="S20" s="346">
        <v>77228.165502819043</v>
      </c>
      <c r="T20" s="346"/>
      <c r="U20" s="346"/>
      <c r="V20" s="339">
        <v>13081</v>
      </c>
      <c r="W20" s="358" t="s">
        <v>58</v>
      </c>
      <c r="X20" s="341" t="s">
        <v>59</v>
      </c>
      <c r="Y20" s="342">
        <v>322.28129821428564</v>
      </c>
      <c r="Z20" s="342">
        <v>335.89881785714277</v>
      </c>
      <c r="AA20" s="342">
        <v>363.13385714285715</v>
      </c>
      <c r="AB20" s="342">
        <v>390.36889642857136</v>
      </c>
      <c r="AC20" s="342">
        <v>408.52558928571426</v>
      </c>
      <c r="AD20" s="342">
        <v>399.44724285714278</v>
      </c>
      <c r="AE20" s="342">
        <v>394.90806964285713</v>
      </c>
      <c r="AF20" s="342">
        <v>363.13385714285715</v>
      </c>
      <c r="AG20" s="342">
        <v>408.52558928571426</v>
      </c>
      <c r="AH20" s="342">
        <v>417.60393571428568</v>
      </c>
      <c r="AI20" s="342">
        <v>381.29055</v>
      </c>
      <c r="AJ20" s="342">
        <v>354.05551071428567</v>
      </c>
      <c r="AK20" s="343">
        <v>4539.1732142857145</v>
      </c>
      <c r="AM20" s="457"/>
      <c r="AN20" s="513">
        <f t="shared" si="1"/>
        <v>39840.87000000001</v>
      </c>
      <c r="AO20" s="513">
        <f t="shared" si="2"/>
        <v>22152.980144300149</v>
      </c>
      <c r="AP20" s="515">
        <f>AN20/BDPPTO!BH20</f>
        <v>19.163477633477637</v>
      </c>
      <c r="AQ20" s="346">
        <f>+Q20</f>
        <v>61993.850144300151</v>
      </c>
    </row>
    <row r="21" spans="2:44" x14ac:dyDescent="0.25">
      <c r="B21" s="339">
        <v>13068</v>
      </c>
      <c r="C21" s="359" t="s">
        <v>21</v>
      </c>
      <c r="D21" s="341" t="s">
        <v>22</v>
      </c>
      <c r="E21" s="342">
        <f>IFERROR(VLOOKUP(B21,BDFDUSD!$B:$BJ,41,FALSE),0)</f>
        <v>6672.57</v>
      </c>
      <c r="F21" s="342">
        <f>IFERROR(VLOOKUP(B21,BDFDUSD!$B:$BJ,44,FALSE),0)</f>
        <v>8811.09</v>
      </c>
      <c r="G21" s="342">
        <f>IFERROR(VLOOKUP(B21,BDFDUSD!$B:$BJ,47,FALSE),0)</f>
        <v>8610.4599999999991</v>
      </c>
      <c r="H21" s="342">
        <f>IFERROR(VLOOKUP(B21,BDFDUSD!$B:$BJ,50,FALSE),0)</f>
        <v>13288.24</v>
      </c>
      <c r="I21" s="342">
        <f>IFERROR(VLOOKUP(B21,BDFDUSD!$B:$BJ,53,FALSE),0)</f>
        <v>17279.419999999998</v>
      </c>
      <c r="J21" s="342">
        <f>IFERROR(VLOOKUP(B21,BDFDUSD!$B:$BJ,56,FALSE),0)</f>
        <v>5741.15</v>
      </c>
      <c r="K21" s="342">
        <f>IFERROR(VLOOKUP(B21,BDFDUSD!$B:$BJ,59,FALSE),0)</f>
        <v>12396.59</v>
      </c>
      <c r="L21" s="516">
        <f>BDPPTO!L21*BDPPTOUSD!$AP21</f>
        <v>9915.4889675837658</v>
      </c>
      <c r="M21" s="516">
        <f>BDPPTO!M21*BDPPTOUSD!$AP21</f>
        <v>9320.5596295287396</v>
      </c>
      <c r="N21" s="516">
        <f>BDPPTO!N21*BDPPTOUSD!$AP21</f>
        <v>9419.7145192045773</v>
      </c>
      <c r="O21" s="516">
        <f>BDPPTO!O21*BDPPTOUSD!$AP21</f>
        <v>9915.4889675837658</v>
      </c>
      <c r="P21" s="516">
        <f>BDPPTO!P21*BDPPTOUSD!$AP21</f>
        <v>7932.3911740670128</v>
      </c>
      <c r="Q21" s="343">
        <f t="shared" si="0"/>
        <v>119303.16325796786</v>
      </c>
      <c r="R21" s="346">
        <v>103214.20689610948</v>
      </c>
      <c r="S21" s="346">
        <v>102651.32036873217</v>
      </c>
      <c r="T21" s="346"/>
      <c r="U21" s="346"/>
      <c r="V21" s="339">
        <v>13068</v>
      </c>
      <c r="W21" s="359" t="s">
        <v>21</v>
      </c>
      <c r="X21" s="341" t="s">
        <v>22</v>
      </c>
      <c r="Y21" s="342">
        <v>872.99099343805563</v>
      </c>
      <c r="Z21" s="342">
        <v>909.87793682276242</v>
      </c>
      <c r="AA21" s="342">
        <v>983.65182359217556</v>
      </c>
      <c r="AB21" s="342">
        <v>1057.4257103615885</v>
      </c>
      <c r="AC21" s="342">
        <v>1106.6083015411975</v>
      </c>
      <c r="AD21" s="342">
        <v>1082.017005951393</v>
      </c>
      <c r="AE21" s="342">
        <v>1069.7213581564909</v>
      </c>
      <c r="AF21" s="342">
        <v>983.65182359217556</v>
      </c>
      <c r="AG21" s="342">
        <v>1106.6083015411975</v>
      </c>
      <c r="AH21" s="342">
        <v>1131.1995971310018</v>
      </c>
      <c r="AI21" s="342">
        <v>1032.8344147717844</v>
      </c>
      <c r="AJ21" s="342">
        <v>959.06052800237114</v>
      </c>
      <c r="AK21" s="343">
        <v>12295.647794902196</v>
      </c>
      <c r="AM21" s="457"/>
      <c r="AN21" s="513">
        <f t="shared" si="1"/>
        <v>72799.520000000004</v>
      </c>
      <c r="AO21" s="513">
        <f t="shared" si="2"/>
        <v>46503.643257967866</v>
      </c>
      <c r="AP21" s="515">
        <f>AN21/BDPPTO!BH21</f>
        <v>9.9154889675837659</v>
      </c>
      <c r="AQ21" s="346">
        <f>SUM(Q21:Q24)</f>
        <v>639838.6517871262</v>
      </c>
    </row>
    <row r="22" spans="2:44" x14ac:dyDescent="0.25">
      <c r="B22" s="339">
        <v>13067</v>
      </c>
      <c r="C22" s="349"/>
      <c r="D22" s="341" t="s">
        <v>23</v>
      </c>
      <c r="E22" s="342">
        <f>IFERROR(VLOOKUP(B22,BDFDUSD!$B:$BJ,41,FALSE),0)</f>
        <v>11235.06</v>
      </c>
      <c r="F22" s="342">
        <f>IFERROR(VLOOKUP(B22,BDFDUSD!$B:$BJ,44,FALSE),0)</f>
        <v>22636.12</v>
      </c>
      <c r="G22" s="342">
        <f>IFERROR(VLOOKUP(B22,BDFDUSD!$B:$BJ,47,FALSE),0)</f>
        <v>22487.47</v>
      </c>
      <c r="H22" s="342">
        <f>IFERROR(VLOOKUP(B22,BDFDUSD!$B:$BJ,50,FALSE),0)</f>
        <v>24614.9</v>
      </c>
      <c r="I22" s="342">
        <f>IFERROR(VLOOKUP(B22,BDFDUSD!$B:$BJ,53,FALSE),0)</f>
        <v>31299.26</v>
      </c>
      <c r="J22" s="342">
        <f>IFERROR(VLOOKUP(B22,BDFDUSD!$B:$BJ,56,FALSE),0)</f>
        <v>16794.599999999999</v>
      </c>
      <c r="K22" s="342">
        <f>IFERROR(VLOOKUP(B22,BDFDUSD!$B:$BJ,59,FALSE),0)</f>
        <v>21166.560000000001</v>
      </c>
      <c r="L22" s="516">
        <f>BDPPTO!L22*BDPPTOUSD!$AP22</f>
        <v>19026.601969836669</v>
      </c>
      <c r="M22" s="516">
        <f>BDPPTO!M22*BDPPTOUSD!$AP22</f>
        <v>21401.216880268705</v>
      </c>
      <c r="N22" s="516">
        <f>BDPPTO!N22*BDPPTOUSD!$AP22</f>
        <v>21876.13986235511</v>
      </c>
      <c r="O22" s="516">
        <f>BDPPTO!O22*BDPPTOUSD!$AP22</f>
        <v>19976.447934009484</v>
      </c>
      <c r="P22" s="516">
        <f>BDPPTO!P22*BDPPTOUSD!$AP22</f>
        <v>18551.678987750263</v>
      </c>
      <c r="Q22" s="343">
        <f t="shared" si="0"/>
        <v>251066.05563422022</v>
      </c>
      <c r="R22" s="346">
        <v>246211.60146854527</v>
      </c>
      <c r="S22" s="346">
        <v>243806.8561357799</v>
      </c>
      <c r="T22" s="346"/>
      <c r="U22" s="346"/>
      <c r="V22" s="339">
        <v>13067</v>
      </c>
      <c r="W22" s="349"/>
      <c r="X22" s="341" t="s">
        <v>23</v>
      </c>
      <c r="Y22" s="342">
        <v>1569.1577033187623</v>
      </c>
      <c r="Z22" s="342">
        <v>1635.4601414871604</v>
      </c>
      <c r="AA22" s="342">
        <v>1768.0650178239575</v>
      </c>
      <c r="AB22" s="342">
        <v>1900.669894160754</v>
      </c>
      <c r="AC22" s="342">
        <v>1989.0731450519525</v>
      </c>
      <c r="AD22" s="342">
        <v>1944.8715196063531</v>
      </c>
      <c r="AE22" s="342">
        <v>1922.7707068835539</v>
      </c>
      <c r="AF22" s="342">
        <v>1768.0650178239575</v>
      </c>
      <c r="AG22" s="342">
        <v>1989.0731450519525</v>
      </c>
      <c r="AH22" s="342">
        <v>2033.2747704975511</v>
      </c>
      <c r="AI22" s="342">
        <v>1856.4682687151553</v>
      </c>
      <c r="AJ22" s="342">
        <v>1723.8633923783586</v>
      </c>
      <c r="AK22" s="343">
        <v>22100.81272279947</v>
      </c>
      <c r="AM22" s="457"/>
      <c r="AN22" s="513">
        <f t="shared" si="1"/>
        <v>150233.97</v>
      </c>
      <c r="AO22" s="513">
        <f t="shared" si="2"/>
        <v>100832.08563422023</v>
      </c>
      <c r="AP22" s="515">
        <f>AN22/BDPPTO!BH22</f>
        <v>9.8942287934668069</v>
      </c>
    </row>
    <row r="23" spans="2:44" x14ac:dyDescent="0.25">
      <c r="B23" s="339">
        <v>13146</v>
      </c>
      <c r="C23" s="349"/>
      <c r="D23" s="341" t="s">
        <v>24</v>
      </c>
      <c r="E23" s="342">
        <f>IFERROR(VLOOKUP(B23,BDFDUSD!$B:$BJ,41,FALSE),0)</f>
        <v>18644.009999999998</v>
      </c>
      <c r="F23" s="342">
        <f>IFERROR(VLOOKUP(B23,BDFDUSD!$B:$BJ,44,FALSE),0)</f>
        <v>-2882.18</v>
      </c>
      <c r="G23" s="342">
        <f>IFERROR(VLOOKUP(B23,BDFDUSD!$B:$BJ,47,FALSE),0)</f>
        <v>40111.67</v>
      </c>
      <c r="H23" s="342">
        <f>IFERROR(VLOOKUP(B23,BDFDUSD!$B:$BJ,50,FALSE),0)</f>
        <v>-3036.34</v>
      </c>
      <c r="I23" s="342">
        <f>IFERROR(VLOOKUP(B23,BDFDUSD!$B:$BJ,53,FALSE),0)</f>
        <v>-5.07</v>
      </c>
      <c r="J23" s="342">
        <f>IFERROR(VLOOKUP(B23,BDFDUSD!$B:$BJ,56,FALSE),0)</f>
        <v>46802.99</v>
      </c>
      <c r="K23" s="342">
        <f>IFERROR(VLOOKUP(B23,BDFDUSD!$B:$BJ,59,FALSE),0)</f>
        <v>-1510.46</v>
      </c>
      <c r="L23" s="516">
        <f>BDPPTO!L23*BDPPTOUSD!$AP23</f>
        <v>52543.390047009947</v>
      </c>
      <c r="M23" s="516">
        <f>BDPPTO!M23*BDPPTOUSD!$AP23</f>
        <v>10727.519405269486</v>
      </c>
      <c r="N23" s="516">
        <f>BDPPTO!N23*BDPPTOUSD!$AP23</f>
        <v>13945.775226850332</v>
      </c>
      <c r="O23" s="516">
        <f>BDPPTO!O23*BDPPTOUSD!$AP23</f>
        <v>20382.286870012023</v>
      </c>
      <c r="P23" s="516">
        <f>BDPPTO!P23*BDPPTOUSD!$AP23</f>
        <v>11800.271345796435</v>
      </c>
      <c r="Q23" s="343">
        <f t="shared" si="0"/>
        <v>207523.86289493824</v>
      </c>
      <c r="R23" s="346">
        <v>167308.19999999998</v>
      </c>
      <c r="S23" s="346">
        <v>174949.50000000003</v>
      </c>
      <c r="T23" s="346"/>
      <c r="U23" s="346"/>
      <c r="V23" s="339">
        <v>13146</v>
      </c>
      <c r="W23" s="349"/>
      <c r="X23" s="341" t="s">
        <v>24</v>
      </c>
      <c r="Y23" s="342">
        <v>1810.5</v>
      </c>
      <c r="Z23" s="342">
        <v>1887</v>
      </c>
      <c r="AA23" s="342">
        <v>2040</v>
      </c>
      <c r="AB23" s="342">
        <v>2193</v>
      </c>
      <c r="AC23" s="342">
        <v>2295</v>
      </c>
      <c r="AD23" s="342">
        <v>2244</v>
      </c>
      <c r="AE23" s="342">
        <v>2218.5</v>
      </c>
      <c r="AF23" s="342">
        <v>2040</v>
      </c>
      <c r="AG23" s="342">
        <v>2295</v>
      </c>
      <c r="AH23" s="342">
        <v>2346</v>
      </c>
      <c r="AI23" s="342">
        <v>2142</v>
      </c>
      <c r="AJ23" s="342">
        <v>1989</v>
      </c>
      <c r="AK23" s="343">
        <v>25500</v>
      </c>
      <c r="AM23" s="457"/>
      <c r="AN23" s="513">
        <f t="shared" si="1"/>
        <v>98124.62</v>
      </c>
      <c r="AO23" s="513">
        <f t="shared" si="2"/>
        <v>109399.24289493824</v>
      </c>
      <c r="AP23" s="515">
        <f>AN23/BDPPTO!BH23</f>
        <v>10.727519405269486</v>
      </c>
    </row>
    <row r="24" spans="2:44" x14ac:dyDescent="0.25">
      <c r="B24" s="339">
        <v>13054</v>
      </c>
      <c r="C24" s="360"/>
      <c r="D24" s="341" t="s">
        <v>25</v>
      </c>
      <c r="E24" s="342">
        <f>IFERROR(VLOOKUP(B24,BDFDUSD!$B:$BJ,41,FALSE),0)</f>
        <v>16845.07</v>
      </c>
      <c r="F24" s="342">
        <f>IFERROR(VLOOKUP(B24,BDFDUSD!$B:$BJ,44,FALSE),0)</f>
        <v>11681.14</v>
      </c>
      <c r="G24" s="342">
        <f>IFERROR(VLOOKUP(B24,BDFDUSD!$B:$BJ,47,FALSE),0)</f>
        <v>21647.03</v>
      </c>
      <c r="H24" s="342">
        <f>IFERROR(VLOOKUP(B24,BDFDUSD!$B:$BJ,50,FALSE),0)</f>
        <v>11059.04</v>
      </c>
      <c r="I24" s="342">
        <f>IFERROR(VLOOKUP(B24,BDFDUSD!$B:$BJ,53,FALSE),0)</f>
        <v>1280.8699999999999</v>
      </c>
      <c r="J24" s="342">
        <f>IFERROR(VLOOKUP(B24,BDFDUSD!$B:$BJ,56,FALSE),0)</f>
        <v>-531.38</v>
      </c>
      <c r="K24" s="342">
        <f>IFERROR(VLOOKUP(B24,BDFDUSD!$B:$BJ,59,FALSE),0)</f>
        <v>-36.200000000000003</v>
      </c>
      <c r="L24" s="516">
        <f>BDPPTO!L24*BDPPTOUSD!$AP24</f>
        <v>0</v>
      </c>
      <c r="M24" s="516">
        <f>BDPPTO!M24*BDPPTOUSD!$AP24</f>
        <v>0</v>
      </c>
      <c r="N24" s="516">
        <f>BDPPTO!N24*BDPPTOUSD!$AP24</f>
        <v>0</v>
      </c>
      <c r="O24" s="516">
        <f>BDPPTO!O24*BDPPTOUSD!$AP24</f>
        <v>0</v>
      </c>
      <c r="P24" s="516">
        <f>BDPPTO!P24*BDPPTOUSD!$AP24</f>
        <v>0</v>
      </c>
      <c r="Q24" s="343">
        <f t="shared" si="0"/>
        <v>61945.570000000007</v>
      </c>
      <c r="R24" s="346">
        <v>81437.480051269697</v>
      </c>
      <c r="S24" s="346">
        <v>78970.201806833225</v>
      </c>
      <c r="T24" s="346"/>
      <c r="U24" s="346"/>
      <c r="V24" s="339">
        <v>13054</v>
      </c>
      <c r="W24" s="360"/>
      <c r="X24" s="341" t="s">
        <v>25</v>
      </c>
      <c r="Y24" s="342">
        <v>352.67730274333582</v>
      </c>
      <c r="Z24" s="342">
        <v>367.57916060573035</v>
      </c>
      <c r="AA24" s="342">
        <v>397.38287633051925</v>
      </c>
      <c r="AB24" s="342">
        <v>427.18659205530815</v>
      </c>
      <c r="AC24" s="342">
        <v>447.05573587183426</v>
      </c>
      <c r="AD24" s="342">
        <v>437.12116396357118</v>
      </c>
      <c r="AE24" s="342">
        <v>432.15387800943961</v>
      </c>
      <c r="AF24" s="342">
        <v>397.38287633051925</v>
      </c>
      <c r="AG24" s="342">
        <v>447.05573587183426</v>
      </c>
      <c r="AH24" s="342">
        <v>456.99030778009717</v>
      </c>
      <c r="AI24" s="342">
        <v>417.25202014704524</v>
      </c>
      <c r="AJ24" s="342">
        <v>387.44830442225629</v>
      </c>
      <c r="AK24" s="343">
        <v>4967.2859541314901</v>
      </c>
      <c r="AM24" s="457"/>
      <c r="AN24" s="513">
        <f t="shared" si="1"/>
        <v>61945.570000000007</v>
      </c>
      <c r="AO24" s="513">
        <f t="shared" si="2"/>
        <v>0</v>
      </c>
      <c r="AP24" s="515">
        <f>AN24/BDPPTO!BH24</f>
        <v>13.284488526699551</v>
      </c>
    </row>
    <row r="25" spans="2:44" x14ac:dyDescent="0.25">
      <c r="B25" s="339">
        <v>13009</v>
      </c>
      <c r="C25" s="361" t="s">
        <v>26</v>
      </c>
      <c r="D25" s="341" t="s">
        <v>28</v>
      </c>
      <c r="E25" s="342">
        <f>IFERROR(VLOOKUP(B25,BDFDUSD!$B:$BJ,41,FALSE),0)</f>
        <v>0</v>
      </c>
      <c r="F25" s="342">
        <f>IFERROR(VLOOKUP(B25,BDFDUSD!$B:$BJ,44,FALSE),0)</f>
        <v>-300.58</v>
      </c>
      <c r="G25" s="342">
        <f>IFERROR(VLOOKUP(B25,BDFDUSD!$B:$BJ,47,FALSE),0)</f>
        <v>-513.98</v>
      </c>
      <c r="H25" s="342">
        <f>IFERROR(VLOOKUP(B25,BDFDUSD!$B:$BJ,50,FALSE),0)</f>
        <v>-317.14999999999998</v>
      </c>
      <c r="I25" s="342">
        <f>IFERROR(VLOOKUP(B25,BDFDUSD!$B:$BJ,53,FALSE),0)</f>
        <v>-648.62</v>
      </c>
      <c r="J25" s="342">
        <f>IFERROR(VLOOKUP(B25,BDFDUSD!$B:$BJ,56,FALSE),0)</f>
        <v>0</v>
      </c>
      <c r="K25" s="342">
        <f>IFERROR(VLOOKUP(B25,BDFDUSD!$B:$BJ,59,FALSE),0)</f>
        <v>-15.82</v>
      </c>
      <c r="L25" s="516">
        <f>BDPPTO!L25*BDPPTOUSD!$AP25</f>
        <v>0</v>
      </c>
      <c r="M25" s="516">
        <f>BDPPTO!M25*BDPPTOUSD!$AP25</f>
        <v>0</v>
      </c>
      <c r="N25" s="516">
        <f>BDPPTO!N25*BDPPTOUSD!$AP25</f>
        <v>0</v>
      </c>
      <c r="O25" s="516">
        <f>BDPPTO!O25*BDPPTOUSD!$AP25</f>
        <v>0</v>
      </c>
      <c r="P25" s="516">
        <f>BDPPTO!P25*BDPPTOUSD!$AP25</f>
        <v>0</v>
      </c>
      <c r="Q25" s="343">
        <f t="shared" si="0"/>
        <v>-1796.1499999999999</v>
      </c>
      <c r="R25" s="346">
        <v>0</v>
      </c>
      <c r="S25" s="346">
        <v>0</v>
      </c>
      <c r="T25" s="346"/>
      <c r="U25" s="346"/>
      <c r="V25" s="339">
        <v>13009</v>
      </c>
      <c r="W25" s="361" t="s">
        <v>26</v>
      </c>
      <c r="X25" s="341" t="s">
        <v>28</v>
      </c>
      <c r="Y25" s="342">
        <v>0</v>
      </c>
      <c r="Z25" s="342">
        <v>0</v>
      </c>
      <c r="AA25" s="342">
        <v>0</v>
      </c>
      <c r="AB25" s="342">
        <v>0</v>
      </c>
      <c r="AC25" s="342">
        <v>0</v>
      </c>
      <c r="AD25" s="342">
        <v>0</v>
      </c>
      <c r="AE25" s="342">
        <v>0</v>
      </c>
      <c r="AF25" s="342">
        <v>0</v>
      </c>
      <c r="AG25" s="342">
        <v>0</v>
      </c>
      <c r="AH25" s="342">
        <v>0</v>
      </c>
      <c r="AI25" s="342">
        <v>0</v>
      </c>
      <c r="AJ25" s="342">
        <v>0</v>
      </c>
      <c r="AK25" s="343">
        <v>0</v>
      </c>
      <c r="AM25" s="457"/>
      <c r="AN25" s="513">
        <f t="shared" si="1"/>
        <v>-1796.1499999999999</v>
      </c>
      <c r="AO25" s="513">
        <f t="shared" si="2"/>
        <v>0</v>
      </c>
      <c r="AP25" s="515">
        <f>AN25/BDPPTO!BH25</f>
        <v>9.4039267015706791</v>
      </c>
      <c r="AQ25" s="346">
        <f>+Q25</f>
        <v>-1796.1499999999999</v>
      </c>
    </row>
    <row r="26" spans="2:44" x14ac:dyDescent="0.25">
      <c r="B26" s="339">
        <v>13112</v>
      </c>
      <c r="C26" s="362" t="s">
        <v>56</v>
      </c>
      <c r="D26" s="341" t="s">
        <v>57</v>
      </c>
      <c r="E26" s="342">
        <f>IFERROR(VLOOKUP(B26,BDFDUSD!$B:$BJ,41,FALSE),0)</f>
        <v>30643.79</v>
      </c>
      <c r="F26" s="342">
        <f>IFERROR(VLOOKUP(B26,BDFDUSD!$B:$BJ,44,FALSE),0)</f>
        <v>34802.89</v>
      </c>
      <c r="G26" s="342">
        <f>IFERROR(VLOOKUP(B26,BDFDUSD!$B:$BJ,47,FALSE),0)</f>
        <v>35762.69</v>
      </c>
      <c r="H26" s="342">
        <f>IFERROR(VLOOKUP(B26,BDFDUSD!$B:$BJ,50,FALSE),0)</f>
        <v>41027.410000000003</v>
      </c>
      <c r="I26" s="342">
        <f>IFERROR(VLOOKUP(B26,BDFDUSD!$B:$BJ,53,FALSE),0)</f>
        <v>42371.040000000001</v>
      </c>
      <c r="J26" s="342">
        <f>IFERROR(VLOOKUP(B26,BDFDUSD!$B:$BJ,56,FALSE),0)</f>
        <v>49030.64</v>
      </c>
      <c r="K26" s="342">
        <f>IFERROR(VLOOKUP(B26,BDFDUSD!$B:$BJ,59,FALSE),0)</f>
        <v>31358.73</v>
      </c>
      <c r="L26" s="516">
        <f>BDPPTO!L26*BDPPTOUSD!$AP26</f>
        <v>34014.09786072588</v>
      </c>
      <c r="M26" s="516">
        <f>BDPPTO!M26*BDPPTOUSD!$AP26</f>
        <v>34014.09786072588</v>
      </c>
      <c r="N26" s="516">
        <f>BDPPTO!N26*BDPPTOUSD!$AP26</f>
        <v>34014.09786072588</v>
      </c>
      <c r="O26" s="516">
        <f>BDPPTO!O26*BDPPTOUSD!$AP26</f>
        <v>34014.09786072588</v>
      </c>
      <c r="P26" s="516">
        <f>BDPPTO!P26*BDPPTOUSD!$AP26</f>
        <v>34014.09786072588</v>
      </c>
      <c r="Q26" s="343">
        <f t="shared" si="0"/>
        <v>435067.67930362944</v>
      </c>
      <c r="R26" s="346">
        <v>436023.12149512401</v>
      </c>
      <c r="S26" s="346">
        <v>432636.96202722646</v>
      </c>
      <c r="T26" s="346"/>
      <c r="U26" s="346"/>
      <c r="V26" s="339">
        <v>13112</v>
      </c>
      <c r="W26" s="362" t="s">
        <v>56</v>
      </c>
      <c r="X26" s="341" t="s">
        <v>57</v>
      </c>
      <c r="Y26" s="342">
        <v>926.65856842415292</v>
      </c>
      <c r="Z26" s="342">
        <v>965.81315582235675</v>
      </c>
      <c r="AA26" s="342">
        <v>1044.122330618764</v>
      </c>
      <c r="AB26" s="342">
        <v>1122.4315054151712</v>
      </c>
      <c r="AC26" s="342">
        <v>1174.6376219461094</v>
      </c>
      <c r="AD26" s="342">
        <v>1148.5345636806403</v>
      </c>
      <c r="AE26" s="342">
        <v>1135.4830345479056</v>
      </c>
      <c r="AF26" s="342">
        <v>1044.122330618764</v>
      </c>
      <c r="AG26" s="342">
        <v>1174.6376219461094</v>
      </c>
      <c r="AH26" s="342">
        <v>1200.7406802115786</v>
      </c>
      <c r="AI26" s="342">
        <v>1096.3284471497022</v>
      </c>
      <c r="AJ26" s="342">
        <v>1018.0192723532948</v>
      </c>
      <c r="AK26" s="343">
        <v>13051.529132734548</v>
      </c>
      <c r="AM26" s="457"/>
      <c r="AN26" s="513">
        <f t="shared" si="1"/>
        <v>264997.19</v>
      </c>
      <c r="AO26" s="513">
        <f t="shared" si="2"/>
        <v>170070.48930362941</v>
      </c>
      <c r="AP26" s="515">
        <f>AN26/BDPPTO!BH26*0.9</f>
        <v>11.728999262319268</v>
      </c>
      <c r="AR26" s="346">
        <f>+Q26</f>
        <v>435067.67930362944</v>
      </c>
    </row>
    <row r="27" spans="2:44" x14ac:dyDescent="0.25">
      <c r="B27" s="339">
        <v>13137</v>
      </c>
      <c r="C27" s="361" t="s">
        <v>29</v>
      </c>
      <c r="D27" s="341" t="s">
        <v>30</v>
      </c>
      <c r="E27" s="342">
        <f>IFERROR(VLOOKUP(B27,BDFDUSD!$B:$BJ,41,FALSE),0)</f>
        <v>6394.81</v>
      </c>
      <c r="F27" s="342">
        <f>IFERROR(VLOOKUP(B27,BDFDUSD!$B:$BJ,44,FALSE),0)</f>
        <v>1365.94</v>
      </c>
      <c r="G27" s="342">
        <f>IFERROR(VLOOKUP(B27,BDFDUSD!$B:$BJ,47,FALSE),0)</f>
        <v>1446.62</v>
      </c>
      <c r="H27" s="342">
        <f>IFERROR(VLOOKUP(B27,BDFDUSD!$B:$BJ,50,FALSE),0)</f>
        <v>-24.7</v>
      </c>
      <c r="I27" s="342">
        <f>IFERROR(VLOOKUP(B27,BDFDUSD!$B:$BJ,53,FALSE),0)</f>
        <v>-121.7</v>
      </c>
      <c r="J27" s="342">
        <f>IFERROR(VLOOKUP(B27,BDFDUSD!$B:$BJ,56,FALSE),0)</f>
        <v>-144.26</v>
      </c>
      <c r="K27" s="342">
        <f>IFERROR(VLOOKUP(B27,BDFDUSD!$B:$BJ,59,FALSE),0)</f>
        <v>-87.48</v>
      </c>
      <c r="L27" s="516">
        <f>BDPPTO!L27*BDPPTOUSD!$AP27</f>
        <v>0</v>
      </c>
      <c r="M27" s="516">
        <f>BDPPTO!M27*BDPPTOUSD!$AP27</f>
        <v>0</v>
      </c>
      <c r="N27" s="516">
        <f>BDPPTO!N27*BDPPTOUSD!$AP27</f>
        <v>0</v>
      </c>
      <c r="O27" s="516">
        <f>BDPPTO!O27*BDPPTOUSD!$AP27</f>
        <v>0</v>
      </c>
      <c r="P27" s="516">
        <f>BDPPTO!P27*BDPPTOUSD!$AP27</f>
        <v>0</v>
      </c>
      <c r="Q27" s="343">
        <f t="shared" si="0"/>
        <v>8829.2299999999977</v>
      </c>
      <c r="R27" s="346">
        <v>0</v>
      </c>
      <c r="S27" s="346">
        <v>0</v>
      </c>
      <c r="T27" s="346"/>
      <c r="U27" s="346"/>
      <c r="V27" s="339">
        <v>13137</v>
      </c>
      <c r="W27" s="361" t="s">
        <v>29</v>
      </c>
      <c r="X27" s="341" t="s">
        <v>30</v>
      </c>
      <c r="Y27" s="342">
        <v>0</v>
      </c>
      <c r="Z27" s="342">
        <v>0</v>
      </c>
      <c r="AA27" s="342">
        <v>0</v>
      </c>
      <c r="AB27" s="342">
        <v>0</v>
      </c>
      <c r="AC27" s="342">
        <v>0</v>
      </c>
      <c r="AD27" s="342">
        <v>0</v>
      </c>
      <c r="AE27" s="342">
        <v>0</v>
      </c>
      <c r="AF27" s="342">
        <v>0</v>
      </c>
      <c r="AG27" s="342">
        <v>0</v>
      </c>
      <c r="AH27" s="342">
        <v>0</v>
      </c>
      <c r="AI27" s="342">
        <v>0</v>
      </c>
      <c r="AJ27" s="342">
        <v>0</v>
      </c>
      <c r="AK27" s="343">
        <v>0</v>
      </c>
      <c r="AM27" s="457"/>
      <c r="AN27" s="513">
        <f t="shared" si="1"/>
        <v>8829.2299999999977</v>
      </c>
      <c r="AO27" s="513">
        <f t="shared" si="2"/>
        <v>0</v>
      </c>
      <c r="AP27" s="515">
        <f>AN27/BDPPTO!BH27</f>
        <v>11.511382007822682</v>
      </c>
      <c r="AQ27" s="346">
        <f>SUM(Q27:Q28)</f>
        <v>180594.84464074389</v>
      </c>
    </row>
    <row r="28" spans="2:44" x14ac:dyDescent="0.25">
      <c r="B28" s="339">
        <v>13138</v>
      </c>
      <c r="C28" s="363"/>
      <c r="D28" s="341" t="s">
        <v>31</v>
      </c>
      <c r="E28" s="342">
        <f>IFERROR(VLOOKUP(B28,BDFDUSD!$B:$BJ,41,FALSE),0)</f>
        <v>7820.25</v>
      </c>
      <c r="F28" s="342">
        <f>IFERROR(VLOOKUP(B28,BDFDUSD!$B:$BJ,44,FALSE),0)</f>
        <v>-1357.85</v>
      </c>
      <c r="G28" s="342">
        <f>IFERROR(VLOOKUP(B28,BDFDUSD!$B:$BJ,47,FALSE),0)</f>
        <v>33806.559999999998</v>
      </c>
      <c r="H28" s="342">
        <f>IFERROR(VLOOKUP(B28,BDFDUSD!$B:$BJ,50,FALSE),0)</f>
        <v>14916.11</v>
      </c>
      <c r="I28" s="342">
        <f>IFERROR(VLOOKUP(B28,BDFDUSD!$B:$BJ,53,FALSE),0)</f>
        <v>-2333.23</v>
      </c>
      <c r="J28" s="342">
        <f>IFERROR(VLOOKUP(B28,BDFDUSD!$B:$BJ,56,FALSE),0)</f>
        <v>-636.13</v>
      </c>
      <c r="K28" s="342">
        <f>IFERROR(VLOOKUP(B28,BDFDUSD!$B:$BJ,59,FALSE),0)</f>
        <v>23519.93</v>
      </c>
      <c r="L28" s="516">
        <f>BDPPTO!L28*BDPPTOUSD!$AP28</f>
        <v>14404.496196111582</v>
      </c>
      <c r="M28" s="516">
        <f>BDPPTO!M28*BDPPTOUSD!$AP28</f>
        <v>22406.99408284024</v>
      </c>
      <c r="N28" s="516">
        <f>BDPPTO!N28*BDPPTOUSD!$AP28</f>
        <v>22406.99408284024</v>
      </c>
      <c r="O28" s="516">
        <f>BDPPTO!O28*BDPPTOUSD!$AP28</f>
        <v>21606.744294167373</v>
      </c>
      <c r="P28" s="516">
        <f>BDPPTO!P28*BDPPTOUSD!$AP28</f>
        <v>15204.745984784448</v>
      </c>
      <c r="Q28" s="343">
        <f t="shared" si="0"/>
        <v>171765.61464074388</v>
      </c>
      <c r="R28" s="346">
        <v>152069.36500282053</v>
      </c>
      <c r="S28" s="346">
        <v>152059.84576512047</v>
      </c>
      <c r="T28" s="346"/>
      <c r="U28" s="346"/>
      <c r="V28" s="339">
        <v>13138</v>
      </c>
      <c r="W28" s="363"/>
      <c r="X28" s="341" t="s">
        <v>31</v>
      </c>
      <c r="Y28" s="342">
        <v>946.95007223152902</v>
      </c>
      <c r="Z28" s="342">
        <v>986.96204711455141</v>
      </c>
      <c r="AA28" s="342">
        <v>1066.9859968805963</v>
      </c>
      <c r="AB28" s="342">
        <v>1147.0099466466406</v>
      </c>
      <c r="AC28" s="342">
        <v>1200.3592464906706</v>
      </c>
      <c r="AD28" s="342">
        <v>1173.6845965686557</v>
      </c>
      <c r="AE28" s="342">
        <v>1160.3472716076483</v>
      </c>
      <c r="AF28" s="342">
        <v>1066.9859968805963</v>
      </c>
      <c r="AG28" s="342">
        <v>1200.3592464906706</v>
      </c>
      <c r="AH28" s="342">
        <v>1227.0338964126856</v>
      </c>
      <c r="AI28" s="342">
        <v>1120.335296724626</v>
      </c>
      <c r="AJ28" s="342">
        <v>1040.3113469585812</v>
      </c>
      <c r="AK28" s="343">
        <v>13337.324961007451</v>
      </c>
      <c r="AM28" s="457"/>
      <c r="AN28" s="513">
        <f t="shared" si="1"/>
        <v>75735.64</v>
      </c>
      <c r="AO28" s="513">
        <f t="shared" si="2"/>
        <v>96029.97464074388</v>
      </c>
      <c r="AP28" s="515">
        <f>AN28/BDPPTO!BH28</f>
        <v>16.004995773457313</v>
      </c>
    </row>
    <row r="29" spans="2:44" x14ac:dyDescent="0.25">
      <c r="B29" s="339">
        <v>13122</v>
      </c>
      <c r="C29" s="504" t="s">
        <v>36</v>
      </c>
      <c r="D29" s="355" t="s">
        <v>37</v>
      </c>
      <c r="E29" s="342">
        <f>IFERROR(VLOOKUP(B29,BDFDUSD!$B:$BJ,41,FALSE),0)</f>
        <v>-1805.33</v>
      </c>
      <c r="F29" s="342">
        <f>IFERROR(VLOOKUP(B29,BDFDUSD!$B:$BJ,44,FALSE),0)</f>
        <v>22800.7</v>
      </c>
      <c r="G29" s="342">
        <f>IFERROR(VLOOKUP(B29,BDFDUSD!$B:$BJ,47,FALSE),0)</f>
        <v>1433.12</v>
      </c>
      <c r="H29" s="342">
        <f>IFERROR(VLOOKUP(B29,BDFDUSD!$B:$BJ,50,FALSE),0)</f>
        <v>-2437.63</v>
      </c>
      <c r="I29" s="342">
        <f>IFERROR(VLOOKUP(B29,BDFDUSD!$B:$BJ,53,FALSE),0)</f>
        <v>-5.5</v>
      </c>
      <c r="J29" s="342">
        <f>IFERROR(VLOOKUP(B29,BDFDUSD!$B:$BJ,56,FALSE),0)</f>
        <v>24048.89</v>
      </c>
      <c r="K29" s="342">
        <f>IFERROR(VLOOKUP(B29,BDFDUSD!$B:$BJ,59,FALSE),0)</f>
        <v>49457.24</v>
      </c>
      <c r="L29" s="516">
        <f>BDPPTO!L29*BDPPTOUSD!$AP29</f>
        <v>13205.012711864407</v>
      </c>
      <c r="M29" s="516">
        <f>BDPPTO!M29*BDPPTOUSD!$AP29</f>
        <v>13205.012711864407</v>
      </c>
      <c r="N29" s="516">
        <f>BDPPTO!N29*BDPPTOUSD!$AP29</f>
        <v>13205.012711864407</v>
      </c>
      <c r="O29" s="516">
        <f>BDPPTO!O29*BDPPTOUSD!$AP29</f>
        <v>13205.012711864407</v>
      </c>
      <c r="P29" s="516">
        <f>BDPPTO!P29*BDPPTOUSD!$AP29</f>
        <v>13205.012711864407</v>
      </c>
      <c r="Q29" s="343">
        <f t="shared" si="0"/>
        <v>159516.553559322</v>
      </c>
      <c r="R29" s="346">
        <v>117638.44321631787</v>
      </c>
      <c r="S29" s="346">
        <v>114391.90956699311</v>
      </c>
      <c r="T29" s="346"/>
      <c r="U29" s="346"/>
      <c r="V29" s="339">
        <v>13122</v>
      </c>
      <c r="W29" s="504" t="s">
        <v>36</v>
      </c>
      <c r="X29" s="355" t="s">
        <v>37</v>
      </c>
      <c r="Y29" s="342">
        <v>588.48183253201421</v>
      </c>
      <c r="Z29" s="342">
        <v>613.34726207562051</v>
      </c>
      <c r="AA29" s="342">
        <v>663.07812116283299</v>
      </c>
      <c r="AB29" s="342">
        <v>712.80898025004547</v>
      </c>
      <c r="AC29" s="342">
        <v>745.96288630818719</v>
      </c>
      <c r="AD29" s="342">
        <v>729.38593327911633</v>
      </c>
      <c r="AE29" s="342">
        <v>721.09745676458078</v>
      </c>
      <c r="AF29" s="342">
        <v>663.07812116283299</v>
      </c>
      <c r="AG29" s="342">
        <v>745.96288630818719</v>
      </c>
      <c r="AH29" s="342">
        <v>762.53983933725783</v>
      </c>
      <c r="AI29" s="342">
        <v>696.23202722097471</v>
      </c>
      <c r="AJ29" s="342">
        <v>646.50116813376223</v>
      </c>
      <c r="AK29" s="343">
        <v>8288.4765145354122</v>
      </c>
      <c r="AM29" s="457"/>
      <c r="AN29" s="513">
        <f t="shared" si="1"/>
        <v>93491.489999999991</v>
      </c>
      <c r="AO29" s="513">
        <f t="shared" si="2"/>
        <v>66025.063559322036</v>
      </c>
      <c r="AP29" s="515">
        <f>AN29/BDPPTO!BH29</f>
        <v>12.004557010785824</v>
      </c>
      <c r="AR29" s="346">
        <f>SUM(Q29:Q30)</f>
        <v>302621.98784129496</v>
      </c>
    </row>
    <row r="30" spans="2:44" x14ac:dyDescent="0.25">
      <c r="B30" s="339">
        <v>13158</v>
      </c>
      <c r="C30" s="505"/>
      <c r="D30" s="355" t="s">
        <v>663</v>
      </c>
      <c r="E30" s="342">
        <f>IFERROR(VLOOKUP(B30,BDFDUSD!$B:$BJ,41,FALSE),0)</f>
        <v>-1034.3900000000001</v>
      </c>
      <c r="F30" s="342">
        <f>IFERROR(VLOOKUP(B30,BDFDUSD!$B:$BJ,44,FALSE),0)</f>
        <v>1160.46</v>
      </c>
      <c r="G30" s="342">
        <f>IFERROR(VLOOKUP(B30,BDFDUSD!$B:$BJ,47,FALSE),0)</f>
        <v>3778</v>
      </c>
      <c r="H30" s="342">
        <f>IFERROR(VLOOKUP(B30,BDFDUSD!$B:$BJ,50,FALSE),0)</f>
        <v>6863.33</v>
      </c>
      <c r="I30" s="342">
        <f>IFERROR(VLOOKUP(B30,BDFDUSD!$B:$BJ,53,FALSE),0)</f>
        <v>10336.75</v>
      </c>
      <c r="J30" s="342">
        <f>IFERROR(VLOOKUP(B30,BDFDUSD!$B:$BJ,56,FALSE),0)</f>
        <v>25196.69</v>
      </c>
      <c r="K30" s="342">
        <f>IFERROR(VLOOKUP(B30,BDFDUSD!$B:$BJ,59,FALSE),0)</f>
        <v>22130.5</v>
      </c>
      <c r="L30" s="516">
        <f>BDPPTO!L30*BDPPTOUSD!$AP30</f>
        <v>14934.818856394588</v>
      </c>
      <c r="M30" s="516">
        <f>BDPPTO!M30*BDPPTOUSD!$AP30</f>
        <v>14934.818856394588</v>
      </c>
      <c r="N30" s="516">
        <f>BDPPTO!N30*BDPPTOUSD!$AP30</f>
        <v>14934.818856394588</v>
      </c>
      <c r="O30" s="516">
        <f>BDPPTO!O30*BDPPTOUSD!$AP30</f>
        <v>14934.818856394588</v>
      </c>
      <c r="P30" s="516">
        <f>BDPPTO!P30*BDPPTOUSD!$AP30</f>
        <v>14934.818856394588</v>
      </c>
      <c r="Q30" s="343">
        <f t="shared" si="0"/>
        <v>143105.43428197294</v>
      </c>
      <c r="R30" s="346">
        <v>174596.06666666668</v>
      </c>
      <c r="S30" s="346">
        <v>174596.06666666668</v>
      </c>
      <c r="T30" s="346"/>
      <c r="U30" s="346"/>
      <c r="V30" s="339">
        <v>13158</v>
      </c>
      <c r="W30" s="505"/>
      <c r="X30" s="355" t="s">
        <v>663</v>
      </c>
      <c r="Y30" s="342">
        <v>2637.4724999999994</v>
      </c>
      <c r="Z30" s="342">
        <v>2748.915</v>
      </c>
      <c r="AA30" s="342">
        <v>2971.7999999999997</v>
      </c>
      <c r="AB30" s="342">
        <v>3194.6849999999999</v>
      </c>
      <c r="AC30" s="342">
        <v>3343.2750000000001</v>
      </c>
      <c r="AD30" s="342">
        <v>3268.98</v>
      </c>
      <c r="AE30" s="342">
        <v>3231.8325</v>
      </c>
      <c r="AF30" s="342">
        <v>2971.7999999999997</v>
      </c>
      <c r="AG30" s="342">
        <v>3343.2750000000001</v>
      </c>
      <c r="AH30" s="342">
        <v>3417.5699999999997</v>
      </c>
      <c r="AI30" s="342">
        <v>3120.39</v>
      </c>
      <c r="AJ30" s="342">
        <v>2897.5050000000001</v>
      </c>
      <c r="AK30" s="343">
        <v>37147.5</v>
      </c>
      <c r="AM30" s="457"/>
      <c r="AN30" s="513">
        <f t="shared" si="1"/>
        <v>68431.34</v>
      </c>
      <c r="AO30" s="513">
        <f t="shared" si="2"/>
        <v>74674.094281972939</v>
      </c>
      <c r="AP30" s="515">
        <f>AN30/BDPPTO!BH30</f>
        <v>14.934818856394587</v>
      </c>
    </row>
    <row r="31" spans="2:44" x14ac:dyDescent="0.25">
      <c r="B31" s="339">
        <v>13110</v>
      </c>
      <c r="C31" s="362" t="s">
        <v>38</v>
      </c>
      <c r="D31" s="341" t="s">
        <v>39</v>
      </c>
      <c r="E31" s="342">
        <f>IFERROR(VLOOKUP(B31,BDFDUSD!$B:$BJ,41,FALSE),0)</f>
        <v>12068.7</v>
      </c>
      <c r="F31" s="342">
        <f>IFERROR(VLOOKUP(B31,BDFDUSD!$B:$BJ,44,FALSE),0)</f>
        <v>32666.21</v>
      </c>
      <c r="G31" s="342">
        <f>IFERROR(VLOOKUP(B31,BDFDUSD!$B:$BJ,47,FALSE),0)</f>
        <v>19480.96</v>
      </c>
      <c r="H31" s="342">
        <f>IFERROR(VLOOKUP(B31,BDFDUSD!$B:$BJ,50,FALSE),0)</f>
        <v>-3982.76</v>
      </c>
      <c r="I31" s="342">
        <f>IFERROR(VLOOKUP(B31,BDFDUSD!$B:$BJ,53,FALSE),0)</f>
        <v>66243.539999999994</v>
      </c>
      <c r="J31" s="342">
        <f>IFERROR(VLOOKUP(B31,BDFDUSD!$B:$BJ,56,FALSE),0)</f>
        <v>9498.98</v>
      </c>
      <c r="K31" s="342">
        <f>IFERROR(VLOOKUP(B31,BDFDUSD!$B:$BJ,59,FALSE),0)</f>
        <v>72194.399999999994</v>
      </c>
      <c r="L31" s="516">
        <f>BDPPTO!L31*BDPPTOUSD!$AP31</f>
        <v>35615.060735671512</v>
      </c>
      <c r="M31" s="516">
        <f>BDPPTO!M31*BDPPTOUSD!$AP31</f>
        <v>32053.554662104365</v>
      </c>
      <c r="N31" s="516">
        <f>BDPPTO!N31*BDPPTOUSD!$AP31</f>
        <v>32053.554662104365</v>
      </c>
      <c r="O31" s="516">
        <f>BDPPTO!O31*BDPPTOUSD!$AP31</f>
        <v>32053.554662104365</v>
      </c>
      <c r="P31" s="516">
        <f>BDPPTO!P31*BDPPTOUSD!$AP31</f>
        <v>32053.554662104365</v>
      </c>
      <c r="Q31" s="343">
        <f t="shared" si="0"/>
        <v>371999.30938408891</v>
      </c>
      <c r="R31" s="346">
        <v>411892.00570526731</v>
      </c>
      <c r="S31" s="346">
        <v>421858.27259206079</v>
      </c>
      <c r="T31" s="346"/>
      <c r="U31" s="346"/>
      <c r="V31" s="339">
        <v>13110</v>
      </c>
      <c r="W31" s="362" t="s">
        <v>38</v>
      </c>
      <c r="X31" s="341" t="s">
        <v>39</v>
      </c>
      <c r="Y31" s="342">
        <v>1664.0963882790918</v>
      </c>
      <c r="Z31" s="342">
        <v>1734.4103201782084</v>
      </c>
      <c r="AA31" s="342">
        <v>1875.0381839764414</v>
      </c>
      <c r="AB31" s="342">
        <v>2015.6660477746746</v>
      </c>
      <c r="AC31" s="342">
        <v>2109.4179569734965</v>
      </c>
      <c r="AD31" s="342">
        <v>2062.5420023740858</v>
      </c>
      <c r="AE31" s="342">
        <v>2039.1040250743799</v>
      </c>
      <c r="AF31" s="342">
        <v>1875.0381839764414</v>
      </c>
      <c r="AG31" s="342">
        <v>2109.4179569734965</v>
      </c>
      <c r="AH31" s="342">
        <v>2156.2939115729077</v>
      </c>
      <c r="AI31" s="342">
        <v>1968.7900931752638</v>
      </c>
      <c r="AJ31" s="342">
        <v>1828.1622293770306</v>
      </c>
      <c r="AK31" s="343">
        <v>23437.977299705519</v>
      </c>
      <c r="AM31" s="457"/>
      <c r="AN31" s="513">
        <f t="shared" si="1"/>
        <v>208170.03</v>
      </c>
      <c r="AO31" s="513">
        <f t="shared" si="2"/>
        <v>163829.27938408899</v>
      </c>
      <c r="AP31" s="515">
        <f>AN31/BDPPTO!BH31</f>
        <v>3.5615060735671515</v>
      </c>
      <c r="AR31" s="346">
        <f>+Q31</f>
        <v>371999.30938408891</v>
      </c>
    </row>
    <row r="32" spans="2:44" x14ac:dyDescent="0.25">
      <c r="B32" s="339">
        <v>13163</v>
      </c>
      <c r="C32" s="362" t="s">
        <v>14</v>
      </c>
      <c r="D32" s="341" t="s">
        <v>664</v>
      </c>
      <c r="E32" s="342">
        <f>IFERROR(VLOOKUP(B32,BDFDUSD!$B:$BJ,41,FALSE),0)</f>
        <v>0</v>
      </c>
      <c r="F32" s="342">
        <f>IFERROR(VLOOKUP(B32,BDFDUSD!$B:$BJ,44,FALSE),0)</f>
        <v>0</v>
      </c>
      <c r="G32" s="342">
        <f>IFERROR(VLOOKUP(B32,BDFDUSD!$B:$BJ,47,FALSE),0)</f>
        <v>0</v>
      </c>
      <c r="H32" s="342">
        <f>IFERROR(VLOOKUP(B32,BDFDUSD!$B:$BJ,50,FALSE),0)</f>
        <v>0</v>
      </c>
      <c r="I32" s="342">
        <f>IFERROR(VLOOKUP(B32,BDFDUSD!$B:$BJ,53,FALSE),0)</f>
        <v>0</v>
      </c>
      <c r="J32" s="342">
        <f>IFERROR(VLOOKUP(B32,BDFDUSD!$B:$BJ,56,FALSE),0)</f>
        <v>0</v>
      </c>
      <c r="K32" s="342">
        <f>IFERROR(VLOOKUP(B32,BDFDUSD!$B:$BJ,59,FALSE),0)</f>
        <v>0</v>
      </c>
      <c r="L32" s="516">
        <f>BDPPTO!L32*BDPPTOUSD!$AP32</f>
        <v>13977.6</v>
      </c>
      <c r="M32" s="516">
        <f>BDPPTO!M32*BDPPTOUSD!$AP32</f>
        <v>5241.6000000000004</v>
      </c>
      <c r="N32" s="516">
        <f>BDPPTO!N32*BDPPTOUSD!$AP32</f>
        <v>6115.2000000000007</v>
      </c>
      <c r="O32" s="516">
        <f>BDPPTO!O32*BDPPTOUSD!$AP32</f>
        <v>6289.92</v>
      </c>
      <c r="P32" s="516">
        <f>BDPPTO!P32*BDPPTOUSD!$AP32</f>
        <v>6464.64</v>
      </c>
      <c r="Q32" s="343">
        <f t="shared" si="0"/>
        <v>38088.959999999999</v>
      </c>
      <c r="R32" s="346">
        <v>15275.388666666669</v>
      </c>
      <c r="S32" s="346">
        <v>15275.388666666669</v>
      </c>
      <c r="T32" s="346"/>
      <c r="U32" s="346"/>
      <c r="V32" s="339">
        <v>88888</v>
      </c>
      <c r="W32" s="362" t="s">
        <v>14</v>
      </c>
      <c r="X32" s="341" t="s">
        <v>14</v>
      </c>
      <c r="Y32" s="342">
        <v>0</v>
      </c>
      <c r="Z32" s="342">
        <v>0</v>
      </c>
      <c r="AA32" s="342">
        <v>0</v>
      </c>
      <c r="AB32" s="342">
        <v>252.6593125</v>
      </c>
      <c r="AC32" s="342">
        <v>183.23292750000002</v>
      </c>
      <c r="AD32" s="342">
        <v>186.7481875</v>
      </c>
      <c r="AE32" s="342">
        <v>188.94522499999999</v>
      </c>
      <c r="AF32" s="342">
        <v>197.733375</v>
      </c>
      <c r="AG32" s="342">
        <v>206.521525</v>
      </c>
      <c r="AH32" s="342">
        <v>215.309675</v>
      </c>
      <c r="AI32" s="342">
        <v>224.097825</v>
      </c>
      <c r="AJ32" s="342">
        <v>243.8711625</v>
      </c>
      <c r="AK32" s="343">
        <v>1899.1192149999999</v>
      </c>
      <c r="AM32" s="457"/>
      <c r="AN32" s="513">
        <f t="shared" si="1"/>
        <v>0</v>
      </c>
      <c r="AO32" s="513">
        <f t="shared" si="2"/>
        <v>38088.959999999999</v>
      </c>
      <c r="AP32" s="515">
        <f>13-(13*0.078)-(13*0.25)</f>
        <v>8.7360000000000007</v>
      </c>
      <c r="AQ32" s="346">
        <f>+Q32</f>
        <v>38088.959999999999</v>
      </c>
    </row>
    <row r="33" spans="2:43" x14ac:dyDescent="0.25">
      <c r="B33" s="339">
        <v>13140</v>
      </c>
      <c r="C33" s="362" t="s">
        <v>54</v>
      </c>
      <c r="D33" s="341" t="s">
        <v>55</v>
      </c>
      <c r="E33" s="342">
        <f>IFERROR(VLOOKUP(B33,BDFDUSD!$B:$BJ,41,FALSE),0)</f>
        <v>-182.92</v>
      </c>
      <c r="F33" s="342">
        <f>IFERROR(VLOOKUP(B33,BDFDUSD!$B:$BJ,44,FALSE),0)</f>
        <v>-2380.17</v>
      </c>
      <c r="G33" s="342">
        <f>IFERROR(VLOOKUP(B33,BDFDUSD!$B:$BJ,47,FALSE),0)</f>
        <v>2143.9</v>
      </c>
      <c r="H33" s="342">
        <f>IFERROR(VLOOKUP(B33,BDFDUSD!$B:$BJ,50,FALSE),0)</f>
        <v>-2823.41</v>
      </c>
      <c r="I33" s="342">
        <f>IFERROR(VLOOKUP(B33,BDFDUSD!$B:$BJ,53,FALSE),0)</f>
        <v>357.72</v>
      </c>
      <c r="J33" s="342">
        <f>IFERROR(VLOOKUP(B33,BDFDUSD!$B:$BJ,56,FALSE),0)</f>
        <v>1021.55</v>
      </c>
      <c r="K33" s="342">
        <f>IFERROR(VLOOKUP(B33,BDFDUSD!$B:$BJ,59,FALSE),0)</f>
        <v>1047.82</v>
      </c>
      <c r="L33" s="516">
        <f>BDPPTO!L33*BDPPTOUSD!$AP33</f>
        <v>0</v>
      </c>
      <c r="M33" s="516">
        <f>BDPPTO!M33*BDPPTOUSD!$AP33</f>
        <v>0</v>
      </c>
      <c r="N33" s="516">
        <f>BDPPTO!N33*BDPPTOUSD!$AP33</f>
        <v>0</v>
      </c>
      <c r="O33" s="516">
        <f>BDPPTO!O33*BDPPTOUSD!$AP33</f>
        <v>0</v>
      </c>
      <c r="P33" s="516">
        <f>BDPPTO!P33*BDPPTOUSD!$AP33</f>
        <v>0</v>
      </c>
      <c r="Q33" s="343">
        <f t="shared" si="0"/>
        <v>-815.51000000000022</v>
      </c>
      <c r="R33" s="346">
        <v>0</v>
      </c>
      <c r="S33" s="346">
        <v>0</v>
      </c>
      <c r="T33" s="346"/>
      <c r="U33" s="346"/>
      <c r="V33" s="339">
        <v>13140</v>
      </c>
      <c r="W33" s="362" t="s">
        <v>54</v>
      </c>
      <c r="X33" s="341" t="s">
        <v>55</v>
      </c>
      <c r="Y33" s="342">
        <v>0</v>
      </c>
      <c r="Z33" s="342">
        <v>0</v>
      </c>
      <c r="AA33" s="342">
        <v>0</v>
      </c>
      <c r="AB33" s="342">
        <v>0</v>
      </c>
      <c r="AC33" s="342">
        <v>0</v>
      </c>
      <c r="AD33" s="342">
        <v>0</v>
      </c>
      <c r="AE33" s="342">
        <v>0</v>
      </c>
      <c r="AF33" s="342">
        <v>0</v>
      </c>
      <c r="AG33" s="342">
        <v>0</v>
      </c>
      <c r="AH33" s="342">
        <v>0</v>
      </c>
      <c r="AI33" s="342">
        <v>0</v>
      </c>
      <c r="AJ33" s="342">
        <v>0</v>
      </c>
      <c r="AK33" s="343">
        <v>0</v>
      </c>
      <c r="AM33" s="457"/>
      <c r="AN33" s="513">
        <f t="shared" si="1"/>
        <v>-815.51000000000022</v>
      </c>
      <c r="AO33" s="513">
        <f t="shared" si="2"/>
        <v>0</v>
      </c>
      <c r="AP33" s="515">
        <f>4.92-(4.92*0.078)-(4.92*0.2)</f>
        <v>3.5522400000000003</v>
      </c>
      <c r="AQ33" s="346">
        <f>+Q33</f>
        <v>-815.51000000000022</v>
      </c>
    </row>
    <row r="34" spans="2:43" x14ac:dyDescent="0.25">
      <c r="B34" s="339">
        <v>13074</v>
      </c>
      <c r="C34" s="506" t="s">
        <v>40</v>
      </c>
      <c r="D34" s="341" t="s">
        <v>41</v>
      </c>
      <c r="E34" s="342">
        <f>IFERROR(VLOOKUP(B34,BDFDUSD!$B:$BJ,41,FALSE),0)</f>
        <v>28771.71</v>
      </c>
      <c r="F34" s="342">
        <f>IFERROR(VLOOKUP(B34,BDFDUSD!$B:$BJ,44,FALSE),0)</f>
        <v>42887.55</v>
      </c>
      <c r="G34" s="342">
        <f>IFERROR(VLOOKUP(B34,BDFDUSD!$B:$BJ,47,FALSE),0)</f>
        <v>38263.040000000001</v>
      </c>
      <c r="H34" s="342">
        <f>IFERROR(VLOOKUP(B34,BDFDUSD!$B:$BJ,50,FALSE),0)</f>
        <v>41813.51</v>
      </c>
      <c r="I34" s="342">
        <f>IFERROR(VLOOKUP(B34,BDFDUSD!$B:$BJ,53,FALSE),0)</f>
        <v>56626.12</v>
      </c>
      <c r="J34" s="342">
        <f>IFERROR(VLOOKUP(B34,BDFDUSD!$B:$BJ,56,FALSE),0)</f>
        <v>47570.51</v>
      </c>
      <c r="K34" s="342">
        <f>IFERROR(VLOOKUP(B34,BDFDUSD!$B:$BJ,59,FALSE),0)</f>
        <v>33694.720000000001</v>
      </c>
      <c r="L34" s="516">
        <f>BDPPTO!L34*BDPPTOUSD!$AP34</f>
        <v>39761.552400781271</v>
      </c>
      <c r="M34" s="516">
        <f>BDPPTO!M34*BDPPTOUSD!$AP34</f>
        <v>37907.024142721952</v>
      </c>
      <c r="N34" s="516">
        <f>BDPPTO!N34*BDPPTOUSD!$AP34</f>
        <v>41989.319050399696</v>
      </c>
      <c r="O34" s="516">
        <f>BDPPTO!O34*BDPPTOUSD!$AP34</f>
        <v>43738.874010833017</v>
      </c>
      <c r="P34" s="516">
        <f>BDPPTO!P34*BDPPTOUSD!$AP34</f>
        <v>33824.7292350442</v>
      </c>
      <c r="Q34" s="343">
        <f t="shared" si="0"/>
        <v>486848.6588397802</v>
      </c>
      <c r="R34" s="346">
        <v>489544.01890480646</v>
      </c>
      <c r="S34" s="346">
        <v>510271.50221495726</v>
      </c>
      <c r="T34" s="346"/>
      <c r="U34" s="346"/>
      <c r="V34" s="339">
        <v>13074</v>
      </c>
      <c r="W34" s="506" t="s">
        <v>40</v>
      </c>
      <c r="X34" s="341" t="s">
        <v>41</v>
      </c>
      <c r="Y34" s="342">
        <v>2298.2311717532139</v>
      </c>
      <c r="Z34" s="342">
        <v>2395.3395311230679</v>
      </c>
      <c r="AA34" s="342">
        <v>2589.5562498627764</v>
      </c>
      <c r="AB34" s="342">
        <v>2783.7729686024845</v>
      </c>
      <c r="AC34" s="342">
        <v>2913.2507810956236</v>
      </c>
      <c r="AD34" s="342">
        <v>2848.511874849054</v>
      </c>
      <c r="AE34" s="342">
        <v>2816.1424217257695</v>
      </c>
      <c r="AF34" s="342">
        <v>2589.5562498627764</v>
      </c>
      <c r="AG34" s="342">
        <v>2913.2507810956236</v>
      </c>
      <c r="AH34" s="342">
        <v>2977.9896873421931</v>
      </c>
      <c r="AI34" s="342">
        <v>2719.0340623559155</v>
      </c>
      <c r="AJ34" s="342">
        <v>2524.8173436162069</v>
      </c>
      <c r="AK34" s="343">
        <v>32369.453123284708</v>
      </c>
      <c r="AM34" s="457"/>
      <c r="AN34" s="513">
        <f t="shared" si="1"/>
        <v>289627.16000000003</v>
      </c>
      <c r="AO34" s="513">
        <f t="shared" si="2"/>
        <v>197221.49883978011</v>
      </c>
      <c r="AP34" s="515">
        <f>AN34/BDPPTO!BH34</f>
        <v>5.8318498681110693</v>
      </c>
      <c r="AQ34" s="346">
        <f>SUM(Q34:Q38)</f>
        <v>741975.19233014097</v>
      </c>
    </row>
    <row r="35" spans="2:43" x14ac:dyDescent="0.25">
      <c r="B35" s="339">
        <v>13072</v>
      </c>
      <c r="C35" s="507"/>
      <c r="D35" s="341" t="s">
        <v>42</v>
      </c>
      <c r="E35" s="342">
        <f>IFERROR(VLOOKUP(B35,BDFDUSD!$B:$BJ,41,FALSE),0)</f>
        <v>8534.82</v>
      </c>
      <c r="F35" s="342">
        <f>IFERROR(VLOOKUP(B35,BDFDUSD!$B:$BJ,44,FALSE),0)</f>
        <v>19822.89</v>
      </c>
      <c r="G35" s="342">
        <f>IFERROR(VLOOKUP(B35,BDFDUSD!$B:$BJ,47,FALSE),0)</f>
        <v>9217.65</v>
      </c>
      <c r="H35" s="342">
        <f>IFERROR(VLOOKUP(B35,BDFDUSD!$B:$BJ,50,FALSE),0)</f>
        <v>-1869.58</v>
      </c>
      <c r="I35" s="342">
        <f>IFERROR(VLOOKUP(B35,BDFDUSD!$B:$BJ,53,FALSE),0)</f>
        <v>-1906.49</v>
      </c>
      <c r="J35" s="342">
        <f>IFERROR(VLOOKUP(B35,BDFDUSD!$B:$BJ,56,FALSE),0)</f>
        <v>45700.62</v>
      </c>
      <c r="K35" s="342">
        <f>IFERROR(VLOOKUP(B35,BDFDUSD!$B:$BJ,59,FALSE),0)</f>
        <v>5605.46</v>
      </c>
      <c r="L35" s="516">
        <f>BDPPTO!L35*BDPPTOUSD!$AP35</f>
        <v>16078.202280547874</v>
      </c>
      <c r="M35" s="516">
        <f>BDPPTO!M35*BDPPTOUSD!$AP35</f>
        <v>5742.215100195669</v>
      </c>
      <c r="N35" s="516">
        <f>BDPPTO!N35*BDPPTOUSD!$AP35</f>
        <v>8039.1011402739368</v>
      </c>
      <c r="O35" s="516">
        <f>BDPPTO!O35*BDPPTOUSD!$AP35</f>
        <v>8039.1011402739368</v>
      </c>
      <c r="P35" s="516">
        <f>BDPPTO!P35*BDPPTOUSD!$AP35</f>
        <v>5167.9935901761028</v>
      </c>
      <c r="Q35" s="343">
        <f t="shared" si="0"/>
        <v>128171.98325146754</v>
      </c>
      <c r="R35" s="346">
        <v>185801.98102480522</v>
      </c>
      <c r="S35" s="346">
        <v>196435.88427136387</v>
      </c>
      <c r="T35" s="346"/>
      <c r="U35" s="346"/>
      <c r="V35" s="339">
        <v>13072</v>
      </c>
      <c r="W35" s="507"/>
      <c r="X35" s="341" t="s">
        <v>42</v>
      </c>
      <c r="Y35" s="342">
        <v>1459.1838398588168</v>
      </c>
      <c r="Z35" s="342">
        <v>1520.8394950641191</v>
      </c>
      <c r="AA35" s="342">
        <v>1644.1508054747233</v>
      </c>
      <c r="AB35" s="342">
        <v>1767.4621158853276</v>
      </c>
      <c r="AC35" s="342">
        <v>1849.6696561590638</v>
      </c>
      <c r="AD35" s="342">
        <v>1808.5658860221956</v>
      </c>
      <c r="AE35" s="342">
        <v>1788.0140009537618</v>
      </c>
      <c r="AF35" s="342">
        <v>1644.1508054747233</v>
      </c>
      <c r="AG35" s="342">
        <v>1849.6696561590638</v>
      </c>
      <c r="AH35" s="342">
        <v>1890.7734262959318</v>
      </c>
      <c r="AI35" s="342">
        <v>1726.3583457484597</v>
      </c>
      <c r="AJ35" s="342">
        <v>1603.0470353378553</v>
      </c>
      <c r="AK35" s="343">
        <v>20551.88506843404</v>
      </c>
      <c r="AM35" s="457"/>
      <c r="AN35" s="513">
        <f t="shared" si="1"/>
        <v>85105.37000000001</v>
      </c>
      <c r="AO35" s="513">
        <f t="shared" si="2"/>
        <v>43066.613251467526</v>
      </c>
      <c r="AP35" s="515">
        <f>AN35/BDPPTO!BH35</f>
        <v>5.7422151001956694</v>
      </c>
    </row>
    <row r="36" spans="2:43" x14ac:dyDescent="0.25">
      <c r="B36" s="339">
        <v>13071</v>
      </c>
      <c r="C36" s="507"/>
      <c r="D36" s="341" t="s">
        <v>43</v>
      </c>
      <c r="E36" s="342">
        <f>IFERROR(VLOOKUP(B36,BDFDUSD!$B:$BJ,41,FALSE),0)</f>
        <v>10917.67</v>
      </c>
      <c r="F36" s="342">
        <f>IFERROR(VLOOKUP(B36,BDFDUSD!$B:$BJ,44,FALSE),0)</f>
        <v>13456.03</v>
      </c>
      <c r="G36" s="342">
        <f>IFERROR(VLOOKUP(B36,BDFDUSD!$B:$BJ,47,FALSE),0)</f>
        <v>12095.67</v>
      </c>
      <c r="H36" s="342">
        <f>IFERROR(VLOOKUP(B36,BDFDUSD!$B:$BJ,50,FALSE),0)</f>
        <v>4157.46</v>
      </c>
      <c r="I36" s="342">
        <f>IFERROR(VLOOKUP(B36,BDFDUSD!$B:$BJ,53,FALSE),0)</f>
        <v>17086.900000000001</v>
      </c>
      <c r="J36" s="342">
        <f>IFERROR(VLOOKUP(B36,BDFDUSD!$B:$BJ,56,FALSE),0)</f>
        <v>11049.1</v>
      </c>
      <c r="K36" s="342">
        <f>IFERROR(VLOOKUP(B36,BDFDUSD!$B:$BJ,59,FALSE),0)</f>
        <v>8548.3700000000008</v>
      </c>
      <c r="L36" s="516">
        <f>BDPPTO!L36*BDPPTOUSD!$AP36</f>
        <v>3608.3705626470796</v>
      </c>
      <c r="M36" s="516">
        <f>BDPPTO!M36*BDPPTOUSD!$AP36</f>
        <v>11853.31812023105</v>
      </c>
      <c r="N36" s="516">
        <f>BDPPTO!N36*BDPPTOUSD!$AP36</f>
        <v>12404.63524210226</v>
      </c>
      <c r="O36" s="516">
        <f>BDPPTO!O36*BDPPTOUSD!$AP36</f>
        <v>12404.63524210226</v>
      </c>
      <c r="P36" s="516">
        <f>BDPPTO!P36*BDPPTOUSD!$AP36</f>
        <v>9372.3910718105963</v>
      </c>
      <c r="Q36" s="343">
        <f t="shared" si="0"/>
        <v>126954.55023889324</v>
      </c>
      <c r="R36" s="346">
        <v>133058.43171076081</v>
      </c>
      <c r="S36" s="346">
        <v>134983.78588231019</v>
      </c>
      <c r="T36" s="346"/>
      <c r="U36" s="346"/>
      <c r="V36" s="339">
        <v>13071</v>
      </c>
      <c r="W36" s="507"/>
      <c r="X36" s="341" t="s">
        <v>43</v>
      </c>
      <c r="Y36" s="342">
        <v>941.50433110663198</v>
      </c>
      <c r="Z36" s="342">
        <v>981.28620425198289</v>
      </c>
      <c r="AA36" s="342">
        <v>1060.8499505426842</v>
      </c>
      <c r="AB36" s="342">
        <v>1140.4136968333853</v>
      </c>
      <c r="AC36" s="342">
        <v>1193.4561943605197</v>
      </c>
      <c r="AD36" s="342">
        <v>1166.9349455969525</v>
      </c>
      <c r="AE36" s="342">
        <v>1153.6743212151689</v>
      </c>
      <c r="AF36" s="342">
        <v>1060.8499505426842</v>
      </c>
      <c r="AG36" s="342">
        <v>1193.4561943605197</v>
      </c>
      <c r="AH36" s="342">
        <v>1219.9774431240869</v>
      </c>
      <c r="AI36" s="342">
        <v>1113.8924480698183</v>
      </c>
      <c r="AJ36" s="342">
        <v>1034.3287017791172</v>
      </c>
      <c r="AK36" s="343">
        <v>13260.624381783553</v>
      </c>
      <c r="AM36" s="457"/>
      <c r="AN36" s="513">
        <f t="shared" si="1"/>
        <v>77311.199999999997</v>
      </c>
      <c r="AO36" s="513">
        <f t="shared" si="2"/>
        <v>49643.350238893247</v>
      </c>
      <c r="AP36" s="515">
        <f>AN36/BDPPTO!BH36</f>
        <v>2.7565856093560579</v>
      </c>
    </row>
    <row r="37" spans="2:43" x14ac:dyDescent="0.25">
      <c r="B37" s="339"/>
      <c r="C37" s="507"/>
      <c r="D37" s="365" t="s">
        <v>462</v>
      </c>
      <c r="E37" s="342">
        <f>IFERROR(VLOOKUP(B37,BDFDUSD!$B:$BJ,41,FALSE),0)</f>
        <v>0</v>
      </c>
      <c r="F37" s="342">
        <f>IFERROR(VLOOKUP(B37,BDFDUSD!$B:$BJ,44,FALSE),0)</f>
        <v>0</v>
      </c>
      <c r="G37" s="342">
        <f>IFERROR(VLOOKUP(B37,BDFDUSD!$B:$BJ,47,FALSE),0)</f>
        <v>0</v>
      </c>
      <c r="H37" s="342">
        <f>IFERROR(VLOOKUP(B37,BDFDUSD!$B:$BJ,50,FALSE),0)</f>
        <v>0</v>
      </c>
      <c r="I37" s="342">
        <f>IFERROR(VLOOKUP(B37,BDFDUSD!$B:$BJ,53,FALSE),0)</f>
        <v>0</v>
      </c>
      <c r="J37" s="342">
        <f>IFERROR(VLOOKUP(B37,BDFDUSD!$B:$BJ,56,FALSE),0)</f>
        <v>0</v>
      </c>
      <c r="K37" s="342">
        <f>IFERROR(VLOOKUP(B37,BDFDUSD!$B:$BJ,59,FALSE),0)</f>
        <v>0</v>
      </c>
      <c r="L37" s="516">
        <f>BDPPTO!L37*BDPPTOUSD!$AP37</f>
        <v>0</v>
      </c>
      <c r="M37" s="516">
        <f>BDPPTO!M37*BDPPTOUSD!$AP37</f>
        <v>0</v>
      </c>
      <c r="N37" s="516">
        <f>BDPPTO!N37*BDPPTOUSD!$AP37</f>
        <v>0</v>
      </c>
      <c r="O37" s="516">
        <f>BDPPTO!O37*BDPPTOUSD!$AP37</f>
        <v>0</v>
      </c>
      <c r="P37" s="516">
        <f>BDPPTO!P37*BDPPTOUSD!$AP37</f>
        <v>0</v>
      </c>
      <c r="Q37" s="343">
        <f t="shared" si="0"/>
        <v>0</v>
      </c>
      <c r="R37" s="346">
        <v>0</v>
      </c>
      <c r="S37" s="346">
        <v>0</v>
      </c>
      <c r="T37" s="346"/>
      <c r="U37" s="346"/>
      <c r="V37" s="339">
        <v>33333</v>
      </c>
      <c r="W37" s="507"/>
      <c r="X37" s="365" t="s">
        <v>462</v>
      </c>
      <c r="Y37" s="342">
        <v>0</v>
      </c>
      <c r="Z37" s="342">
        <v>0</v>
      </c>
      <c r="AA37" s="342">
        <v>0</v>
      </c>
      <c r="AB37" s="342">
        <v>0</v>
      </c>
      <c r="AC37" s="342">
        <v>0</v>
      </c>
      <c r="AD37" s="342">
        <v>0</v>
      </c>
      <c r="AE37" s="342">
        <v>0</v>
      </c>
      <c r="AF37" s="342">
        <v>0</v>
      </c>
      <c r="AG37" s="342">
        <v>0</v>
      </c>
      <c r="AH37" s="342">
        <v>0</v>
      </c>
      <c r="AI37" s="342">
        <v>0</v>
      </c>
      <c r="AJ37" s="342">
        <v>0</v>
      </c>
      <c r="AK37" s="343">
        <v>0</v>
      </c>
      <c r="AM37" s="457"/>
      <c r="AN37" s="513">
        <f t="shared" si="1"/>
        <v>0</v>
      </c>
      <c r="AO37" s="513">
        <f t="shared" si="2"/>
        <v>0</v>
      </c>
      <c r="AP37" s="515">
        <v>0</v>
      </c>
    </row>
    <row r="38" spans="2:43" x14ac:dyDescent="0.25">
      <c r="B38" s="339"/>
      <c r="C38" s="508"/>
      <c r="D38" s="365" t="s">
        <v>461</v>
      </c>
      <c r="E38" s="342">
        <f>IFERROR(VLOOKUP(B38,BDFDUSD!$B:$BJ,41,FALSE),0)</f>
        <v>0</v>
      </c>
      <c r="F38" s="342">
        <f>IFERROR(VLOOKUP(B38,BDFDUSD!$B:$BJ,44,FALSE),0)</f>
        <v>0</v>
      </c>
      <c r="G38" s="342">
        <f>IFERROR(VLOOKUP(B38,BDFDUSD!$B:$BJ,47,FALSE),0)</f>
        <v>0</v>
      </c>
      <c r="H38" s="342">
        <f>IFERROR(VLOOKUP(B38,BDFDUSD!$B:$BJ,50,FALSE),0)</f>
        <v>0</v>
      </c>
      <c r="I38" s="342">
        <f>IFERROR(VLOOKUP(B38,BDFDUSD!$B:$BJ,53,FALSE),0)</f>
        <v>0</v>
      </c>
      <c r="J38" s="342">
        <f>IFERROR(VLOOKUP(B38,BDFDUSD!$B:$BJ,56,FALSE),0)</f>
        <v>0</v>
      </c>
      <c r="K38" s="342">
        <f>IFERROR(VLOOKUP(B38,BDFDUSD!$B:$BJ,59,FALSE),0)</f>
        <v>0</v>
      </c>
      <c r="L38" s="516">
        <f>BDPPTO!L38*BDPPTOUSD!$AP38</f>
        <v>0</v>
      </c>
      <c r="M38" s="516">
        <f>BDPPTO!M38*BDPPTOUSD!$AP38</f>
        <v>0</v>
      </c>
      <c r="N38" s="516">
        <f>BDPPTO!N38*BDPPTOUSD!$AP38</f>
        <v>0</v>
      </c>
      <c r="O38" s="516">
        <f>BDPPTO!O38*BDPPTOUSD!$AP38</f>
        <v>0</v>
      </c>
      <c r="P38" s="516">
        <f>BDPPTO!P38*BDPPTOUSD!$AP38</f>
        <v>0</v>
      </c>
      <c r="Q38" s="343">
        <f t="shared" si="0"/>
        <v>0</v>
      </c>
      <c r="R38" s="346">
        <v>0</v>
      </c>
      <c r="S38" s="346">
        <v>0</v>
      </c>
      <c r="T38" s="346"/>
      <c r="U38" s="346"/>
      <c r="V38" s="339">
        <v>22222</v>
      </c>
      <c r="W38" s="508"/>
      <c r="X38" s="365" t="s">
        <v>461</v>
      </c>
      <c r="Y38" s="342">
        <v>0</v>
      </c>
      <c r="Z38" s="342">
        <v>0</v>
      </c>
      <c r="AA38" s="342">
        <v>0</v>
      </c>
      <c r="AB38" s="342">
        <v>0</v>
      </c>
      <c r="AC38" s="342">
        <v>0</v>
      </c>
      <c r="AD38" s="342">
        <v>0</v>
      </c>
      <c r="AE38" s="342">
        <v>0</v>
      </c>
      <c r="AF38" s="342">
        <v>0</v>
      </c>
      <c r="AG38" s="342">
        <v>0</v>
      </c>
      <c r="AH38" s="342">
        <v>0</v>
      </c>
      <c r="AI38" s="342">
        <v>0</v>
      </c>
      <c r="AJ38" s="342">
        <v>0</v>
      </c>
      <c r="AK38" s="343">
        <v>0</v>
      </c>
      <c r="AM38" s="457"/>
      <c r="AN38" s="513">
        <f t="shared" si="1"/>
        <v>0</v>
      </c>
      <c r="AO38" s="513">
        <f t="shared" si="2"/>
        <v>0</v>
      </c>
      <c r="AP38" s="515">
        <v>0</v>
      </c>
    </row>
    <row r="39" spans="2:43" x14ac:dyDescent="0.25">
      <c r="B39" s="339">
        <v>13133</v>
      </c>
      <c r="C39" s="366" t="s">
        <v>15</v>
      </c>
      <c r="D39" s="355" t="s">
        <v>16</v>
      </c>
      <c r="E39" s="342">
        <f>IFERROR(VLOOKUP(B39,BDFDUSD!$B:$BJ,41,FALSE),0)</f>
        <v>23322.58</v>
      </c>
      <c r="F39" s="342">
        <f>IFERROR(VLOOKUP(B39,BDFDUSD!$B:$BJ,44,FALSE),0)</f>
        <v>28146.22</v>
      </c>
      <c r="G39" s="342">
        <f>IFERROR(VLOOKUP(B39,BDFDUSD!$B:$BJ,47,FALSE),0)</f>
        <v>27717.16</v>
      </c>
      <c r="H39" s="342">
        <f>IFERROR(VLOOKUP(B39,BDFDUSD!$B:$BJ,50,FALSE),0)</f>
        <v>23677.54</v>
      </c>
      <c r="I39" s="342">
        <f>IFERROR(VLOOKUP(B39,BDFDUSD!$B:$BJ,53,FALSE),0)</f>
        <v>36591.96</v>
      </c>
      <c r="J39" s="342">
        <f>IFERROR(VLOOKUP(B39,BDFDUSD!$B:$BJ,56,FALSE),0)</f>
        <v>28089.82</v>
      </c>
      <c r="K39" s="342">
        <f>IFERROR(VLOOKUP(B39,BDFDUSD!$B:$BJ,59,FALSE),0)</f>
        <v>28171.14</v>
      </c>
      <c r="L39" s="516">
        <f>BDPPTO!L39*BDPPTOUSD!$AP39</f>
        <v>23808.559616208342</v>
      </c>
      <c r="M39" s="516">
        <f>BDPPTO!M39*BDPPTOUSD!$AP39</f>
        <v>24864.854866786598</v>
      </c>
      <c r="N39" s="516">
        <f>BDPPTO!N39*BDPPTOUSD!$AP39</f>
        <v>25418.152378994258</v>
      </c>
      <c r="O39" s="516">
        <f>BDPPTO!O39*BDPPTOUSD!$AP39</f>
        <v>23204.962330163624</v>
      </c>
      <c r="P39" s="516">
        <f>BDPPTO!P39*BDPPTOUSD!$AP39</f>
        <v>21545.069793540646</v>
      </c>
      <c r="Q39" s="343">
        <f t="shared" si="0"/>
        <v>314558.01898569346</v>
      </c>
      <c r="R39" s="346">
        <v>288601.81301001029</v>
      </c>
      <c r="S39" s="346">
        <v>285399.21086403995</v>
      </c>
      <c r="T39" s="346"/>
      <c r="U39" s="346"/>
      <c r="V39" s="339">
        <v>13133</v>
      </c>
      <c r="W39" s="366" t="s">
        <v>15</v>
      </c>
      <c r="X39" s="355" t="s">
        <v>16</v>
      </c>
      <c r="Y39" s="342">
        <v>2389.2592040464228</v>
      </c>
      <c r="Z39" s="342">
        <v>2490.213818301906</v>
      </c>
      <c r="AA39" s="342">
        <v>2692.1230468128711</v>
      </c>
      <c r="AB39" s="342">
        <v>2894.0322753238365</v>
      </c>
      <c r="AC39" s="342">
        <v>3028.6384276644799</v>
      </c>
      <c r="AD39" s="342">
        <v>2961.3353514941582</v>
      </c>
      <c r="AE39" s="342">
        <v>2927.6838134089976</v>
      </c>
      <c r="AF39" s="342">
        <v>2692.1230468128711</v>
      </c>
      <c r="AG39" s="342">
        <v>3028.6384276644799</v>
      </c>
      <c r="AH39" s="342">
        <v>3095.9415038348016</v>
      </c>
      <c r="AI39" s="342">
        <v>2826.7291991535144</v>
      </c>
      <c r="AJ39" s="342">
        <v>2624.8199706425494</v>
      </c>
      <c r="AK39" s="343">
        <v>33651.538085160886</v>
      </c>
      <c r="AM39" s="457"/>
      <c r="AN39" s="513">
        <f t="shared" si="1"/>
        <v>195716.41999999998</v>
      </c>
      <c r="AO39" s="513">
        <f t="shared" si="2"/>
        <v>118841.59898569346</v>
      </c>
      <c r="AP39" s="515">
        <f>AN39/BDPPTO!BH39</f>
        <v>16.766591279019959</v>
      </c>
      <c r="AQ39" s="346">
        <f>SUM(Q39:Q40)</f>
        <v>410889.1311425562</v>
      </c>
    </row>
    <row r="40" spans="2:43" x14ac:dyDescent="0.25">
      <c r="B40" s="339">
        <v>13134</v>
      </c>
      <c r="C40" s="367"/>
      <c r="D40" s="355" t="s">
        <v>17</v>
      </c>
      <c r="E40" s="342">
        <f>IFERROR(VLOOKUP(B40,BDFDUSD!$B:$BJ,41,FALSE),0)</f>
        <v>3752.43</v>
      </c>
      <c r="F40" s="342">
        <f>IFERROR(VLOOKUP(B40,BDFDUSD!$B:$BJ,44,FALSE),0)</f>
        <v>7016.85</v>
      </c>
      <c r="G40" s="342">
        <f>IFERROR(VLOOKUP(B40,BDFDUSD!$B:$BJ,47,FALSE),0)</f>
        <v>15465.34</v>
      </c>
      <c r="H40" s="342">
        <f>IFERROR(VLOOKUP(B40,BDFDUSD!$B:$BJ,50,FALSE),0)</f>
        <v>19682.21</v>
      </c>
      <c r="I40" s="342">
        <f>IFERROR(VLOOKUP(B40,BDFDUSD!$B:$BJ,53,FALSE),0)</f>
        <v>-1762.62</v>
      </c>
      <c r="J40" s="342">
        <f>IFERROR(VLOOKUP(B40,BDFDUSD!$B:$BJ,56,FALSE),0)</f>
        <v>295.13</v>
      </c>
      <c r="K40" s="342">
        <f>IFERROR(VLOOKUP(B40,BDFDUSD!$B:$BJ,59,FALSE),0)</f>
        <v>-354.62</v>
      </c>
      <c r="L40" s="516">
        <f>BDPPTO!L40*BDPPTOUSD!$AP40</f>
        <v>0</v>
      </c>
      <c r="M40" s="516">
        <f>BDPPTO!M40*BDPPTOUSD!$AP40</f>
        <v>18012.549019607843</v>
      </c>
      <c r="N40" s="516">
        <f>BDPPTO!N40*BDPPTOUSD!$AP40</f>
        <v>12008.366013071894</v>
      </c>
      <c r="O40" s="516">
        <f>BDPPTO!O40*BDPPTOUSD!$AP40</f>
        <v>12008.366013071894</v>
      </c>
      <c r="P40" s="516">
        <f>BDPPTO!P40*BDPPTOUSD!$AP40</f>
        <v>10207.111111111109</v>
      </c>
      <c r="Q40" s="343">
        <f t="shared" si="0"/>
        <v>96331.112156862728</v>
      </c>
      <c r="R40" s="346">
        <v>81970.383229432642</v>
      </c>
      <c r="S40" s="346">
        <v>79316.767013960067</v>
      </c>
      <c r="T40" s="346"/>
      <c r="U40" s="346"/>
      <c r="V40" s="339">
        <v>13134</v>
      </c>
      <c r="W40" s="367"/>
      <c r="X40" s="355" t="s">
        <v>17</v>
      </c>
      <c r="Y40" s="342">
        <v>899.02176278822765</v>
      </c>
      <c r="Z40" s="342">
        <v>937.00859783561759</v>
      </c>
      <c r="AA40" s="342">
        <v>1012.9822679303976</v>
      </c>
      <c r="AB40" s="342">
        <v>1088.9559380251771</v>
      </c>
      <c r="AC40" s="342">
        <v>1139.6050514216972</v>
      </c>
      <c r="AD40" s="342">
        <v>1114.2804947234374</v>
      </c>
      <c r="AE40" s="342">
        <v>1101.6182163743074</v>
      </c>
      <c r="AF40" s="342">
        <v>1012.9822679303976</v>
      </c>
      <c r="AG40" s="342">
        <v>1139.6050514216972</v>
      </c>
      <c r="AH40" s="342">
        <v>1164.929608119957</v>
      </c>
      <c r="AI40" s="342">
        <v>1063.6313813269176</v>
      </c>
      <c r="AJ40" s="342">
        <v>987.65771123213767</v>
      </c>
      <c r="AK40" s="343">
        <v>12662.278349129969</v>
      </c>
      <c r="AM40" s="457"/>
      <c r="AN40" s="513">
        <f t="shared" si="1"/>
        <v>44094.719999999994</v>
      </c>
      <c r="AO40" s="513">
        <f t="shared" si="2"/>
        <v>52236.392156862741</v>
      </c>
      <c r="AP40" s="515">
        <f>AN40/BDPPTO!BH40</f>
        <v>12.008366013071894</v>
      </c>
    </row>
    <row r="41" spans="2:43" x14ac:dyDescent="0.25">
      <c r="B41" s="339">
        <v>13082</v>
      </c>
      <c r="C41" s="366" t="s">
        <v>44</v>
      </c>
      <c r="D41" s="341" t="s">
        <v>45</v>
      </c>
      <c r="E41" s="342">
        <f>IFERROR(VLOOKUP(B41,BDFDUSD!$B:$BJ,41,FALSE),0)</f>
        <v>-822.29</v>
      </c>
      <c r="F41" s="342">
        <f>IFERROR(VLOOKUP(B41,BDFDUSD!$B:$BJ,44,FALSE),0)</f>
        <v>427.31</v>
      </c>
      <c r="G41" s="342">
        <f>IFERROR(VLOOKUP(B41,BDFDUSD!$B:$BJ,47,FALSE),0)</f>
        <v>-594.62</v>
      </c>
      <c r="H41" s="342">
        <f>IFERROR(VLOOKUP(B41,BDFDUSD!$B:$BJ,50,FALSE),0)</f>
        <v>-204.96</v>
      </c>
      <c r="I41" s="342">
        <f>IFERROR(VLOOKUP(B41,BDFDUSD!$B:$BJ,53,FALSE),0)</f>
        <v>0</v>
      </c>
      <c r="J41" s="342">
        <f>IFERROR(VLOOKUP(B41,BDFDUSD!$B:$BJ,56,FALSE),0)</f>
        <v>-41.61</v>
      </c>
      <c r="K41" s="342">
        <f>IFERROR(VLOOKUP(B41,BDFDUSD!$B:$BJ,59,FALSE),0)</f>
        <v>0</v>
      </c>
      <c r="L41" s="516">
        <f>BDPPTO!L41*BDPPTOUSD!$AP41</f>
        <v>0</v>
      </c>
      <c r="M41" s="516">
        <f>BDPPTO!M41*BDPPTOUSD!$AP41</f>
        <v>0</v>
      </c>
      <c r="N41" s="516">
        <f>BDPPTO!N41*BDPPTOUSD!$AP41</f>
        <v>0</v>
      </c>
      <c r="O41" s="516">
        <f>BDPPTO!O41*BDPPTOUSD!$AP41</f>
        <v>4691.5559999999996</v>
      </c>
      <c r="P41" s="516">
        <f>BDPPTO!P41*BDPPTOUSD!$AP41</f>
        <v>4691.5559999999996</v>
      </c>
      <c r="Q41" s="343">
        <f t="shared" si="0"/>
        <v>8146.9419999999991</v>
      </c>
      <c r="R41" s="346">
        <v>69225.780274656674</v>
      </c>
      <c r="S41" s="346">
        <v>68919.5</v>
      </c>
      <c r="T41" s="346"/>
      <c r="U41" s="346"/>
      <c r="V41" s="339">
        <v>13082</v>
      </c>
      <c r="W41" s="366" t="s">
        <v>44</v>
      </c>
      <c r="X41" s="341" t="s">
        <v>45</v>
      </c>
      <c r="Y41" s="342">
        <v>31.417499999999993</v>
      </c>
      <c r="Z41" s="342">
        <v>32.744999999999997</v>
      </c>
      <c r="AA41" s="342">
        <v>35.4</v>
      </c>
      <c r="AB41" s="342">
        <v>38.055</v>
      </c>
      <c r="AC41" s="342">
        <v>39.825000000000003</v>
      </c>
      <c r="AD41" s="342">
        <v>38.94</v>
      </c>
      <c r="AE41" s="342">
        <v>38.497500000000002</v>
      </c>
      <c r="AF41" s="342">
        <v>35.4</v>
      </c>
      <c r="AG41" s="342">
        <v>39.825000000000003</v>
      </c>
      <c r="AH41" s="342">
        <v>40.71</v>
      </c>
      <c r="AI41" s="342">
        <v>37.17</v>
      </c>
      <c r="AJ41" s="342">
        <v>34.515000000000001</v>
      </c>
      <c r="AK41" s="343">
        <v>442.49999999999994</v>
      </c>
      <c r="AM41" s="457"/>
      <c r="AN41" s="513">
        <f t="shared" si="1"/>
        <v>-1236.1699999999998</v>
      </c>
      <c r="AO41" s="513">
        <f t="shared" si="2"/>
        <v>9383.1119999999992</v>
      </c>
      <c r="AP41" s="515">
        <f>32.49-(32.49*0.078)-(32.49*0.2)</f>
        <v>23.45778</v>
      </c>
      <c r="AQ41" s="346">
        <f>SUM(Q41:Q42)</f>
        <v>8146.9419999999991</v>
      </c>
    </row>
    <row r="42" spans="2:43" x14ac:dyDescent="0.25">
      <c r="B42" s="339">
        <v>13083</v>
      </c>
      <c r="C42" s="368"/>
      <c r="D42" s="341" t="s">
        <v>46</v>
      </c>
      <c r="E42" s="342">
        <f>IFERROR(VLOOKUP(B42,BDFDUSD!$B:$BJ,41,FALSE),0)</f>
        <v>0</v>
      </c>
      <c r="F42" s="342">
        <f>IFERROR(VLOOKUP(B42,BDFDUSD!$B:$BJ,44,FALSE),0)</f>
        <v>0</v>
      </c>
      <c r="G42" s="342">
        <f>IFERROR(VLOOKUP(B42,BDFDUSD!$B:$BJ,47,FALSE),0)</f>
        <v>0</v>
      </c>
      <c r="H42" s="342">
        <f>IFERROR(VLOOKUP(B42,BDFDUSD!$B:$BJ,50,FALSE),0)</f>
        <v>0</v>
      </c>
      <c r="I42" s="342">
        <f>IFERROR(VLOOKUP(B42,BDFDUSD!$B:$BJ,53,FALSE),0)</f>
        <v>0</v>
      </c>
      <c r="J42" s="342">
        <f>IFERROR(VLOOKUP(B42,BDFDUSD!$B:$BJ,56,FALSE),0)</f>
        <v>0</v>
      </c>
      <c r="K42" s="342">
        <f>IFERROR(VLOOKUP(B42,BDFDUSD!$B:$BJ,59,FALSE),0)</f>
        <v>0</v>
      </c>
      <c r="L42" s="516">
        <f>BDPPTO!L42*BDPPTOUSD!$AP42</f>
        <v>0</v>
      </c>
      <c r="M42" s="516">
        <f>BDPPTO!M42*BDPPTOUSD!$AP42</f>
        <v>0</v>
      </c>
      <c r="N42" s="516">
        <f>BDPPTO!N42*BDPPTOUSD!$AP42</f>
        <v>0</v>
      </c>
      <c r="O42" s="516">
        <f>BDPPTO!O42*BDPPTOUSD!$AP42</f>
        <v>0</v>
      </c>
      <c r="P42" s="516">
        <f>BDPPTO!P42*BDPPTOUSD!$AP42</f>
        <v>0</v>
      </c>
      <c r="Q42" s="343">
        <f t="shared" si="0"/>
        <v>0</v>
      </c>
      <c r="R42" s="346">
        <v>0</v>
      </c>
      <c r="S42" s="346">
        <v>0</v>
      </c>
      <c r="T42" s="346"/>
      <c r="U42" s="346"/>
      <c r="V42" s="339">
        <v>13083</v>
      </c>
      <c r="W42" s="368"/>
      <c r="X42" s="341" t="s">
        <v>46</v>
      </c>
      <c r="Y42" s="342">
        <v>0</v>
      </c>
      <c r="Z42" s="342">
        <v>0</v>
      </c>
      <c r="AA42" s="342">
        <v>0</v>
      </c>
      <c r="AB42" s="342">
        <v>0</v>
      </c>
      <c r="AC42" s="342">
        <v>0</v>
      </c>
      <c r="AD42" s="342">
        <v>0</v>
      </c>
      <c r="AE42" s="342">
        <v>0</v>
      </c>
      <c r="AF42" s="342">
        <v>0</v>
      </c>
      <c r="AG42" s="342">
        <v>0</v>
      </c>
      <c r="AH42" s="342">
        <v>0</v>
      </c>
      <c r="AI42" s="342">
        <v>0</v>
      </c>
      <c r="AJ42" s="342">
        <v>0</v>
      </c>
      <c r="AK42" s="343">
        <v>0</v>
      </c>
      <c r="AM42" s="457"/>
      <c r="AN42" s="513">
        <f t="shared" si="1"/>
        <v>0</v>
      </c>
      <c r="AO42" s="513">
        <f t="shared" si="2"/>
        <v>0</v>
      </c>
      <c r="AP42" s="515">
        <v>0</v>
      </c>
    </row>
    <row r="43" spans="2:43" x14ac:dyDescent="0.25">
      <c r="B43" s="339">
        <v>13040</v>
      </c>
      <c r="C43" s="369" t="s">
        <v>47</v>
      </c>
      <c r="D43" s="341" t="s">
        <v>48</v>
      </c>
      <c r="E43" s="342">
        <f>IFERROR(VLOOKUP(B43,BDFDUSD!$B:$BJ,41,FALSE),0)</f>
        <v>0</v>
      </c>
      <c r="F43" s="342">
        <f>IFERROR(VLOOKUP(B43,BDFDUSD!$B:$BJ,44,FALSE),0)</f>
        <v>-37.35</v>
      </c>
      <c r="G43" s="342">
        <f>IFERROR(VLOOKUP(B43,BDFDUSD!$B:$BJ,47,FALSE),0)</f>
        <v>-3645.36</v>
      </c>
      <c r="H43" s="342">
        <f>IFERROR(VLOOKUP(B43,BDFDUSD!$B:$BJ,50,FALSE),0)</f>
        <v>-3192.12</v>
      </c>
      <c r="I43" s="342">
        <f>IFERROR(VLOOKUP(B43,BDFDUSD!$B:$BJ,53,FALSE),0)</f>
        <v>-2778.84</v>
      </c>
      <c r="J43" s="342">
        <f>IFERROR(VLOOKUP(B43,BDFDUSD!$B:$BJ,56,FALSE),0)</f>
        <v>-74.7</v>
      </c>
      <c r="K43" s="342">
        <f>IFERROR(VLOOKUP(B43,BDFDUSD!$B:$BJ,59,FALSE),0)</f>
        <v>-74.7</v>
      </c>
      <c r="L43" s="516">
        <f>BDPPTO!L43*BDPPTOUSD!$AP43</f>
        <v>0</v>
      </c>
      <c r="M43" s="516">
        <f>BDPPTO!M43*BDPPTOUSD!$AP43</f>
        <v>0</v>
      </c>
      <c r="N43" s="516">
        <f>BDPPTO!N43*BDPPTOUSD!$AP43</f>
        <v>0</v>
      </c>
      <c r="O43" s="516">
        <f>BDPPTO!O43*BDPPTOUSD!$AP43</f>
        <v>0</v>
      </c>
      <c r="P43" s="516">
        <f>BDPPTO!P43*BDPPTOUSD!$AP43</f>
        <v>0</v>
      </c>
      <c r="Q43" s="343">
        <f t="shared" si="0"/>
        <v>-9803.0700000000015</v>
      </c>
      <c r="R43" s="346">
        <v>0</v>
      </c>
      <c r="S43" s="346">
        <v>0</v>
      </c>
      <c r="T43" s="346"/>
      <c r="U43" s="346"/>
      <c r="V43" s="339">
        <v>13040</v>
      </c>
      <c r="W43" s="369" t="s">
        <v>47</v>
      </c>
      <c r="X43" s="341" t="s">
        <v>48</v>
      </c>
      <c r="Y43" s="342">
        <v>0</v>
      </c>
      <c r="Z43" s="342">
        <v>0</v>
      </c>
      <c r="AA43" s="342">
        <v>0</v>
      </c>
      <c r="AB43" s="342">
        <v>0</v>
      </c>
      <c r="AC43" s="342">
        <v>0</v>
      </c>
      <c r="AD43" s="342">
        <v>0</v>
      </c>
      <c r="AE43" s="342">
        <v>0</v>
      </c>
      <c r="AF43" s="342">
        <v>0</v>
      </c>
      <c r="AG43" s="342">
        <v>0</v>
      </c>
      <c r="AH43" s="342">
        <v>0</v>
      </c>
      <c r="AI43" s="342">
        <v>0</v>
      </c>
      <c r="AJ43" s="342">
        <v>0</v>
      </c>
      <c r="AK43" s="343">
        <v>0</v>
      </c>
      <c r="AM43" s="457"/>
      <c r="AN43" s="513">
        <f t="shared" si="1"/>
        <v>-9803.0700000000015</v>
      </c>
      <c r="AO43" s="513">
        <f t="shared" si="2"/>
        <v>0</v>
      </c>
      <c r="AP43" s="515">
        <f>AN43/BDPPTO!BH43</f>
        <v>7.4661614623000769</v>
      </c>
      <c r="AQ43" s="346">
        <f>SUM(Q43:Q45)</f>
        <v>265820.15506857034</v>
      </c>
    </row>
    <row r="44" spans="2:43" x14ac:dyDescent="0.25">
      <c r="B44" s="339">
        <v>13066</v>
      </c>
      <c r="C44" s="370"/>
      <c r="D44" s="341" t="s">
        <v>148</v>
      </c>
      <c r="E44" s="342">
        <f>IFERROR(VLOOKUP(B44,BDFDUSD!$B:$BJ,41,FALSE),0)</f>
        <v>16997.55</v>
      </c>
      <c r="F44" s="342">
        <f>IFERROR(VLOOKUP(B44,BDFDUSD!$B:$BJ,44,FALSE),0)</f>
        <v>30162.07</v>
      </c>
      <c r="G44" s="342">
        <f>IFERROR(VLOOKUP(B44,BDFDUSD!$B:$BJ,47,FALSE),0)</f>
        <v>20086.63</v>
      </c>
      <c r="H44" s="342">
        <f>IFERROR(VLOOKUP(B44,BDFDUSD!$B:$BJ,50,FALSE),0)</f>
        <v>23924.46</v>
      </c>
      <c r="I44" s="342">
        <f>IFERROR(VLOOKUP(B44,BDFDUSD!$B:$BJ,53,FALSE),0)</f>
        <v>9872.15</v>
      </c>
      <c r="J44" s="342">
        <f>IFERROR(VLOOKUP(B44,BDFDUSD!$B:$BJ,56,FALSE),0)</f>
        <v>45399.31</v>
      </c>
      <c r="K44" s="342">
        <f>IFERROR(VLOOKUP(B44,BDFDUSD!$B:$BJ,59,FALSE),0)</f>
        <v>31336.58</v>
      </c>
      <c r="L44" s="516">
        <f>BDPPTO!L44*BDPPTOUSD!$AP44</f>
        <v>16699.11234266391</v>
      </c>
      <c r="M44" s="516">
        <f>BDPPTO!M44*BDPPTOUSD!$AP44</f>
        <v>20038.934811196694</v>
      </c>
      <c r="N44" s="516">
        <f>BDPPTO!N44*BDPPTOUSD!$AP44</f>
        <v>21374.863798609807</v>
      </c>
      <c r="O44" s="516">
        <f>BDPPTO!O44*BDPPTOUSD!$AP44</f>
        <v>23378.757279729474</v>
      </c>
      <c r="P44" s="516">
        <f>BDPPTO!P44*BDPPTOUSD!$AP44</f>
        <v>17367.076836370466</v>
      </c>
      <c r="Q44" s="343">
        <f t="shared" si="0"/>
        <v>276637.49506857037</v>
      </c>
      <c r="R44" s="346">
        <v>226635.42216052741</v>
      </c>
      <c r="S44" s="346">
        <v>222325.70439394104</v>
      </c>
      <c r="T44" s="346"/>
      <c r="U44" s="346"/>
      <c r="V44" s="339">
        <v>13066</v>
      </c>
      <c r="W44" s="370"/>
      <c r="X44" s="341" t="s">
        <v>148</v>
      </c>
      <c r="Y44" s="342">
        <v>1669.5506812265405</v>
      </c>
      <c r="Z44" s="342">
        <v>1740.0950762079437</v>
      </c>
      <c r="AA44" s="342">
        <v>1881.1838661707502</v>
      </c>
      <c r="AB44" s="342">
        <v>2022.2726561335564</v>
      </c>
      <c r="AC44" s="342">
        <v>2116.3318494420942</v>
      </c>
      <c r="AD44" s="342">
        <v>2069.3022527878252</v>
      </c>
      <c r="AE44" s="342">
        <v>2045.7874544606905</v>
      </c>
      <c r="AF44" s="342">
        <v>1881.1838661707502</v>
      </c>
      <c r="AG44" s="342">
        <v>2116.3318494420942</v>
      </c>
      <c r="AH44" s="342">
        <v>2163.3614460963627</v>
      </c>
      <c r="AI44" s="342">
        <v>1975.2430594792877</v>
      </c>
      <c r="AJ44" s="342">
        <v>1834.1542695164812</v>
      </c>
      <c r="AK44" s="343">
        <v>23514.798327134376</v>
      </c>
      <c r="AM44" s="457"/>
      <c r="AN44" s="513">
        <f t="shared" si="1"/>
        <v>177778.75</v>
      </c>
      <c r="AO44" s="513">
        <f t="shared" si="2"/>
        <v>98858.745068570352</v>
      </c>
      <c r="AP44" s="515">
        <f>AN44/BDPPTO!BH44</f>
        <v>6.6796449370655644</v>
      </c>
    </row>
    <row r="45" spans="2:43" x14ac:dyDescent="0.25">
      <c r="B45" s="339">
        <v>13011</v>
      </c>
      <c r="C45" s="371"/>
      <c r="D45" s="341" t="s">
        <v>49</v>
      </c>
      <c r="E45" s="342">
        <f>IFERROR(VLOOKUP(B45,BDFDUSD!$B:$BJ,41,FALSE),0)</f>
        <v>-613.16999999999996</v>
      </c>
      <c r="F45" s="342">
        <f>IFERROR(VLOOKUP(B45,BDFDUSD!$B:$BJ,44,FALSE),0)</f>
        <v>-265.49</v>
      </c>
      <c r="G45" s="342">
        <f>IFERROR(VLOOKUP(B45,BDFDUSD!$B:$BJ,47,FALSE),0)</f>
        <v>-1.91</v>
      </c>
      <c r="H45" s="342">
        <f>IFERROR(VLOOKUP(B45,BDFDUSD!$B:$BJ,50,FALSE),0)</f>
        <v>-133.69999999999999</v>
      </c>
      <c r="I45" s="342">
        <f>IFERROR(VLOOKUP(B45,BDFDUSD!$B:$BJ,53,FALSE),0)</f>
        <v>0</v>
      </c>
      <c r="J45" s="342">
        <f>IFERROR(VLOOKUP(B45,BDFDUSD!$B:$BJ,56,FALSE),0)</f>
        <v>0</v>
      </c>
      <c r="K45" s="342">
        <f>IFERROR(VLOOKUP(B45,BDFDUSD!$B:$BJ,59,FALSE),0)</f>
        <v>0</v>
      </c>
      <c r="L45" s="516">
        <f>BDPPTO!L45*BDPPTOUSD!$AP45</f>
        <v>0</v>
      </c>
      <c r="M45" s="516">
        <f>BDPPTO!M45*BDPPTOUSD!$AP45</f>
        <v>0</v>
      </c>
      <c r="N45" s="516">
        <f>BDPPTO!N45*BDPPTOUSD!$AP45</f>
        <v>0</v>
      </c>
      <c r="O45" s="516">
        <f>BDPPTO!O45*BDPPTOUSD!$AP45</f>
        <v>0</v>
      </c>
      <c r="P45" s="516">
        <f>BDPPTO!P45*BDPPTOUSD!$AP45</f>
        <v>0</v>
      </c>
      <c r="Q45" s="343">
        <f t="shared" si="0"/>
        <v>-1014.27</v>
      </c>
      <c r="R45" s="346">
        <v>0</v>
      </c>
      <c r="S45" s="346">
        <v>0</v>
      </c>
      <c r="T45" s="346"/>
      <c r="U45" s="346"/>
      <c r="V45" s="339">
        <v>13011</v>
      </c>
      <c r="W45" s="371"/>
      <c r="X45" s="341" t="s">
        <v>49</v>
      </c>
      <c r="Y45" s="342">
        <v>0</v>
      </c>
      <c r="Z45" s="342">
        <v>0</v>
      </c>
      <c r="AA45" s="342">
        <v>0</v>
      </c>
      <c r="AB45" s="342">
        <v>0</v>
      </c>
      <c r="AC45" s="342">
        <v>0</v>
      </c>
      <c r="AD45" s="342">
        <v>0</v>
      </c>
      <c r="AE45" s="342">
        <v>0</v>
      </c>
      <c r="AF45" s="342">
        <v>0</v>
      </c>
      <c r="AG45" s="342">
        <v>0</v>
      </c>
      <c r="AH45" s="342">
        <v>0</v>
      </c>
      <c r="AI45" s="342">
        <v>0</v>
      </c>
      <c r="AJ45" s="342">
        <v>0</v>
      </c>
      <c r="AK45" s="343">
        <v>0</v>
      </c>
      <c r="AM45" s="457"/>
      <c r="AN45" s="513">
        <f t="shared" si="1"/>
        <v>-1014.27</v>
      </c>
      <c r="AO45" s="513">
        <f t="shared" si="2"/>
        <v>0</v>
      </c>
      <c r="AP45" s="515">
        <f>AN45/BDPPTO!BH45</f>
        <v>2.1219037656903765</v>
      </c>
    </row>
    <row r="46" spans="2:43" x14ac:dyDescent="0.25">
      <c r="B46" s="339">
        <v>13139</v>
      </c>
      <c r="C46" s="372" t="s">
        <v>60</v>
      </c>
      <c r="D46" s="341" t="s">
        <v>61</v>
      </c>
      <c r="E46" s="342">
        <f>IFERROR(VLOOKUP(B46,BDFDUSD!$B:$BJ,41,FALSE),0)</f>
        <v>19970.419999999998</v>
      </c>
      <c r="F46" s="342">
        <f>IFERROR(VLOOKUP(B46,BDFDUSD!$B:$BJ,44,FALSE),0)</f>
        <v>21094.51</v>
      </c>
      <c r="G46" s="342">
        <f>IFERROR(VLOOKUP(B46,BDFDUSD!$B:$BJ,47,FALSE),0)</f>
        <v>25141.4</v>
      </c>
      <c r="H46" s="342">
        <f>IFERROR(VLOOKUP(B46,BDFDUSD!$B:$BJ,50,FALSE),0)</f>
        <v>27446.400000000001</v>
      </c>
      <c r="I46" s="342">
        <f>IFERROR(VLOOKUP(B46,BDFDUSD!$B:$BJ,53,FALSE),0)</f>
        <v>15520.6</v>
      </c>
      <c r="J46" s="342">
        <f>IFERROR(VLOOKUP(B46,BDFDUSD!$B:$BJ,56,FALSE),0)</f>
        <v>23340.87</v>
      </c>
      <c r="K46" s="342">
        <f>IFERROR(VLOOKUP(B46,BDFDUSD!$B:$BJ,59,FALSE),0)</f>
        <v>21773.89</v>
      </c>
      <c r="L46" s="516">
        <f>BDPPTO!L46*BDPPTOUSD!$AP46</f>
        <v>18940.737391304345</v>
      </c>
      <c r="M46" s="516">
        <f>BDPPTO!M46*BDPPTOUSD!$AP46</f>
        <v>17362.34260869565</v>
      </c>
      <c r="N46" s="516">
        <f>BDPPTO!N46*BDPPTOUSD!$AP46</f>
        <v>22097.526956521735</v>
      </c>
      <c r="O46" s="516">
        <f>BDPPTO!O46*BDPPTOUSD!$AP46</f>
        <v>20519.13217391304</v>
      </c>
      <c r="P46" s="516">
        <f>BDPPTO!P46*BDPPTOUSD!$AP46</f>
        <v>15783.947826086953</v>
      </c>
      <c r="Q46" s="343">
        <f t="shared" si="0"/>
        <v>248991.77695652167</v>
      </c>
      <c r="R46" s="346">
        <v>377205.23693828518</v>
      </c>
      <c r="S46" s="346">
        <v>309205.36232045997</v>
      </c>
      <c r="T46" s="346"/>
      <c r="U46" s="346"/>
      <c r="V46" s="339">
        <v>13139</v>
      </c>
      <c r="W46" s="372" t="s">
        <v>60</v>
      </c>
      <c r="X46" s="341" t="s">
        <v>61</v>
      </c>
      <c r="Y46" s="342">
        <v>950.22428227321802</v>
      </c>
      <c r="Z46" s="342">
        <v>990.37460405941033</v>
      </c>
      <c r="AA46" s="342">
        <v>1070.6752476317949</v>
      </c>
      <c r="AB46" s="342">
        <v>1150.9758912041796</v>
      </c>
      <c r="AC46" s="342">
        <v>1204.5096535857695</v>
      </c>
      <c r="AD46" s="342">
        <v>1177.7427723949745</v>
      </c>
      <c r="AE46" s="342">
        <v>1164.3593317995771</v>
      </c>
      <c r="AF46" s="342">
        <v>1070.6752476317949</v>
      </c>
      <c r="AG46" s="342">
        <v>1204.5096535857695</v>
      </c>
      <c r="AH46" s="342">
        <v>1231.2765347765642</v>
      </c>
      <c r="AI46" s="342">
        <v>1124.2090100133851</v>
      </c>
      <c r="AJ46" s="342">
        <v>1043.9083664410002</v>
      </c>
      <c r="AK46" s="343">
        <v>13383.440595397438</v>
      </c>
      <c r="AM46" s="457"/>
      <c r="AN46" s="513">
        <f t="shared" si="1"/>
        <v>154288.08999999997</v>
      </c>
      <c r="AO46" s="513">
        <f t="shared" si="2"/>
        <v>94703.68695652172</v>
      </c>
      <c r="AP46" s="515">
        <f>AN46/BDPPTO!BH46</f>
        <v>15.783947826086953</v>
      </c>
      <c r="AQ46" s="346">
        <f>+Q46</f>
        <v>248991.77695652167</v>
      </c>
    </row>
    <row r="47" spans="2:43" x14ac:dyDescent="0.25">
      <c r="B47" s="339">
        <v>13006</v>
      </c>
      <c r="C47" s="340" t="s">
        <v>50</v>
      </c>
      <c r="D47" s="341" t="s">
        <v>51</v>
      </c>
      <c r="E47" s="342">
        <f>IFERROR(VLOOKUP(B47,BDFDUSD!$B:$BJ,41,FALSE),0)</f>
        <v>-21.7</v>
      </c>
      <c r="F47" s="342">
        <f>IFERROR(VLOOKUP(B47,BDFDUSD!$B:$BJ,44,FALSE),0)</f>
        <v>-2.17</v>
      </c>
      <c r="G47" s="342">
        <f>IFERROR(VLOOKUP(B47,BDFDUSD!$B:$BJ,47,FALSE),0)</f>
        <v>0</v>
      </c>
      <c r="H47" s="342">
        <f>IFERROR(VLOOKUP(B47,BDFDUSD!$B:$BJ,50,FALSE),0)</f>
        <v>0</v>
      </c>
      <c r="I47" s="342">
        <f>IFERROR(VLOOKUP(B47,BDFDUSD!$B:$BJ,53,FALSE),0)</f>
        <v>0</v>
      </c>
      <c r="J47" s="342">
        <f>IFERROR(VLOOKUP(B47,BDFDUSD!$B:$BJ,56,FALSE),0)</f>
        <v>0</v>
      </c>
      <c r="K47" s="342">
        <f>IFERROR(VLOOKUP(B47,BDFDUSD!$B:$BJ,59,FALSE),0)</f>
        <v>-15.19</v>
      </c>
      <c r="L47" s="516">
        <f>BDPPTO!L47*BDPPTOUSD!$AP47</f>
        <v>0</v>
      </c>
      <c r="M47" s="516">
        <f>BDPPTO!M47*BDPPTOUSD!$AP47</f>
        <v>0</v>
      </c>
      <c r="N47" s="516">
        <f>BDPPTO!N47*BDPPTOUSD!$AP47</f>
        <v>0</v>
      </c>
      <c r="O47" s="516">
        <f>BDPPTO!O47*BDPPTOUSD!$AP47</f>
        <v>0</v>
      </c>
      <c r="P47" s="516">
        <f>BDPPTO!P47*BDPPTOUSD!$AP47</f>
        <v>0</v>
      </c>
      <c r="Q47" s="343">
        <f t="shared" si="0"/>
        <v>-39.059999999999995</v>
      </c>
      <c r="R47" s="346">
        <v>0.48849305467024806</v>
      </c>
      <c r="S47" s="346">
        <v>0.4921132407286119</v>
      </c>
      <c r="T47" s="346"/>
      <c r="U47" s="346"/>
      <c r="V47" s="339">
        <v>13006</v>
      </c>
      <c r="W47" s="340" t="s">
        <v>50</v>
      </c>
      <c r="X47" s="341" t="s">
        <v>51</v>
      </c>
      <c r="Y47" s="342">
        <v>1.0874481967623669E-2</v>
      </c>
      <c r="Z47" s="342">
        <v>1.1333967121185232E-2</v>
      </c>
      <c r="AA47" s="342">
        <v>1.2252937428308359E-2</v>
      </c>
      <c r="AB47" s="342">
        <v>1.3171907735431485E-2</v>
      </c>
      <c r="AC47" s="342">
        <v>1.3784554606846905E-2</v>
      </c>
      <c r="AD47" s="342">
        <v>1.3478231171139193E-2</v>
      </c>
      <c r="AE47" s="342">
        <v>1.332506945328534E-2</v>
      </c>
      <c r="AF47" s="342">
        <v>1.2252937428308359E-2</v>
      </c>
      <c r="AG47" s="342">
        <v>1.3784554606846905E-2</v>
      </c>
      <c r="AH47" s="342">
        <v>1.4090878042554615E-2</v>
      </c>
      <c r="AI47" s="342">
        <v>1.2865584299723778E-2</v>
      </c>
      <c r="AJ47" s="342">
        <v>1.1946613992600651E-2</v>
      </c>
      <c r="AK47" s="343">
        <v>0.15316171785385452</v>
      </c>
      <c r="AM47" s="457"/>
      <c r="AN47" s="513">
        <f t="shared" si="1"/>
        <v>-39.059999999999995</v>
      </c>
      <c r="AO47" s="513">
        <f t="shared" si="2"/>
        <v>0</v>
      </c>
      <c r="AP47" s="515">
        <f>AN47/BDPPTO!BH47</f>
        <v>2.17</v>
      </c>
      <c r="AQ47" s="346">
        <f>SUM(Q47:Q48)</f>
        <v>-753.67999999999984</v>
      </c>
    </row>
    <row r="48" spans="2:43" x14ac:dyDescent="0.25">
      <c r="B48" s="339">
        <v>13005</v>
      </c>
      <c r="C48" s="349"/>
      <c r="D48" s="341" t="s">
        <v>53</v>
      </c>
      <c r="E48" s="342">
        <f>IFERROR(VLOOKUP(B48,BDFDUSD!$B:$BJ,41,FALSE),0)</f>
        <v>-152.78</v>
      </c>
      <c r="F48" s="342">
        <f>IFERROR(VLOOKUP(B48,BDFDUSD!$B:$BJ,44,FALSE),0)</f>
        <v>-120.3</v>
      </c>
      <c r="G48" s="342">
        <f>IFERROR(VLOOKUP(B48,BDFDUSD!$B:$BJ,47,FALSE),0)</f>
        <v>-169.72</v>
      </c>
      <c r="H48" s="342">
        <f>IFERROR(VLOOKUP(B48,BDFDUSD!$B:$BJ,50,FALSE),0)</f>
        <v>-239.99</v>
      </c>
      <c r="I48" s="342">
        <f>IFERROR(VLOOKUP(B48,BDFDUSD!$B:$BJ,53,FALSE),0)</f>
        <v>-28.41</v>
      </c>
      <c r="J48" s="342">
        <f>IFERROR(VLOOKUP(B48,BDFDUSD!$B:$BJ,56,FALSE),0)</f>
        <v>-2.27</v>
      </c>
      <c r="K48" s="342">
        <f>IFERROR(VLOOKUP(B48,BDFDUSD!$B:$BJ,59,FALSE),0)</f>
        <v>-1.1499999999999999</v>
      </c>
      <c r="L48" s="516">
        <f>BDPPTO!L48*BDPPTOUSD!$AP48</f>
        <v>0</v>
      </c>
      <c r="M48" s="516">
        <f>BDPPTO!M48*BDPPTOUSD!$AP48</f>
        <v>0</v>
      </c>
      <c r="N48" s="516">
        <f>BDPPTO!N48*BDPPTOUSD!$AP48</f>
        <v>0</v>
      </c>
      <c r="O48" s="516">
        <f>BDPPTO!O48*BDPPTOUSD!$AP48</f>
        <v>0</v>
      </c>
      <c r="P48" s="516">
        <f>BDPPTO!P48*BDPPTOUSD!$AP48</f>
        <v>0</v>
      </c>
      <c r="Q48" s="343">
        <f t="shared" si="0"/>
        <v>-714.61999999999989</v>
      </c>
      <c r="R48" s="346">
        <v>-0.2703483440940409</v>
      </c>
      <c r="S48" s="346">
        <v>-0.27235187576523667</v>
      </c>
      <c r="T48" s="346"/>
      <c r="U48" s="346"/>
      <c r="V48" s="339">
        <v>13005</v>
      </c>
      <c r="W48" s="349"/>
      <c r="X48" s="341" t="s">
        <v>53</v>
      </c>
      <c r="Y48" s="342">
        <v>-1.221897456394634E-2</v>
      </c>
      <c r="Z48" s="342">
        <v>-1.2735269263831398E-2</v>
      </c>
      <c r="AA48" s="342">
        <v>-1.3767858663601511E-2</v>
      </c>
      <c r="AB48" s="342">
        <v>-1.4800448063371623E-2</v>
      </c>
      <c r="AC48" s="342">
        <v>-1.5488840996551701E-2</v>
      </c>
      <c r="AD48" s="342">
        <v>-1.514464452996166E-2</v>
      </c>
      <c r="AE48" s="342">
        <v>-1.4972546296666644E-2</v>
      </c>
      <c r="AF48" s="342">
        <v>-1.3767858663601511E-2</v>
      </c>
      <c r="AG48" s="342">
        <v>-1.5488840996551701E-2</v>
      </c>
      <c r="AH48" s="342">
        <v>-1.5833037463141738E-2</v>
      </c>
      <c r="AI48" s="342">
        <v>-1.4456251596781586E-2</v>
      </c>
      <c r="AJ48" s="342">
        <v>-1.3423662197011473E-2</v>
      </c>
      <c r="AK48" s="343">
        <v>-0.17209823329501889</v>
      </c>
      <c r="AM48" s="457"/>
      <c r="AN48" s="513">
        <f t="shared" si="1"/>
        <v>-714.61999999999989</v>
      </c>
      <c r="AO48" s="513">
        <f t="shared" si="2"/>
        <v>0</v>
      </c>
      <c r="AP48" s="515">
        <v>0</v>
      </c>
    </row>
    <row r="49" spans="2:44" x14ac:dyDescent="0.25">
      <c r="B49" s="339">
        <v>13051</v>
      </c>
      <c r="C49" s="373" t="s">
        <v>62</v>
      </c>
      <c r="D49" s="341" t="s">
        <v>63</v>
      </c>
      <c r="E49" s="342">
        <f>IFERROR(VLOOKUP(B49,BDFDUSD!$B:$BJ,41,FALSE),0)</f>
        <v>10288.450000000001</v>
      </c>
      <c r="F49" s="342">
        <f>IFERROR(VLOOKUP(B49,BDFDUSD!$B:$BJ,44,FALSE),0)</f>
        <v>12807.61</v>
      </c>
      <c r="G49" s="342">
        <f>IFERROR(VLOOKUP(B49,BDFDUSD!$B:$BJ,47,FALSE),0)</f>
        <v>738.1</v>
      </c>
      <c r="H49" s="342">
        <f>IFERROR(VLOOKUP(B49,BDFDUSD!$B:$BJ,50,FALSE),0)</f>
        <v>-1399.66</v>
      </c>
      <c r="I49" s="342">
        <f>IFERROR(VLOOKUP(B49,BDFDUSD!$B:$BJ,53,FALSE),0)</f>
        <v>29450.080000000002</v>
      </c>
      <c r="J49" s="342">
        <f>IFERROR(VLOOKUP(B49,BDFDUSD!$B:$BJ,56,FALSE),0)</f>
        <v>9499.4599999999991</v>
      </c>
      <c r="K49" s="342">
        <f>IFERROR(VLOOKUP(B49,BDFDUSD!$B:$BJ,59,FALSE),0)</f>
        <v>24151.45</v>
      </c>
      <c r="L49" s="516">
        <f>BDPPTO!L49*BDPPTOUSD!$AP49</f>
        <v>18371.024484536083</v>
      </c>
      <c r="M49" s="516">
        <f>BDPPTO!M49*BDPPTOUSD!$AP49</f>
        <v>18371.024484536083</v>
      </c>
      <c r="N49" s="516">
        <f>BDPPTO!N49*BDPPTOUSD!$AP49</f>
        <v>20208.12693298969</v>
      </c>
      <c r="O49" s="516">
        <f>BDPPTO!O49*BDPPTOUSD!$AP49</f>
        <v>22963.780605670105</v>
      </c>
      <c r="P49" s="516">
        <f>BDPPTO!P49*BDPPTOUSD!$AP49</f>
        <v>14696.819587628866</v>
      </c>
      <c r="Q49" s="343">
        <f t="shared" si="0"/>
        <v>180146.2660953608</v>
      </c>
      <c r="R49" s="346">
        <v>132686.4859771211</v>
      </c>
      <c r="S49" s="346">
        <v>135172.63560404044</v>
      </c>
      <c r="T49" s="346"/>
      <c r="U49" s="346"/>
      <c r="V49" s="339">
        <v>13051</v>
      </c>
      <c r="W49" s="373" t="s">
        <v>62</v>
      </c>
      <c r="X49" s="341" t="s">
        <v>63</v>
      </c>
      <c r="Y49" s="342">
        <v>933.6923373280631</v>
      </c>
      <c r="Z49" s="342">
        <v>973.14412622924897</v>
      </c>
      <c r="AA49" s="342">
        <v>1052.0477040316205</v>
      </c>
      <c r="AB49" s="342">
        <v>1130.951281833992</v>
      </c>
      <c r="AC49" s="342">
        <v>1183.553667035573</v>
      </c>
      <c r="AD49" s="342">
        <v>1157.2524744347825</v>
      </c>
      <c r="AE49" s="342">
        <v>1144.1018781343873</v>
      </c>
      <c r="AF49" s="342">
        <v>1052.0477040316205</v>
      </c>
      <c r="AG49" s="342">
        <v>1183.553667035573</v>
      </c>
      <c r="AH49" s="342">
        <v>1209.8548596363635</v>
      </c>
      <c r="AI49" s="342">
        <v>1104.6500892332015</v>
      </c>
      <c r="AJ49" s="342">
        <v>1025.74651143083</v>
      </c>
      <c r="AK49" s="343">
        <v>13150.596300395255</v>
      </c>
      <c r="AM49" s="457"/>
      <c r="AN49" s="513">
        <f t="shared" si="1"/>
        <v>85535.49</v>
      </c>
      <c r="AO49" s="513">
        <f t="shared" si="2"/>
        <v>94610.776095360823</v>
      </c>
      <c r="AP49" s="515">
        <f>AN49/BDPPTO!BH49</f>
        <v>9.1855122422680413</v>
      </c>
      <c r="AQ49" s="346">
        <f>+Q49</f>
        <v>180146.2660953608</v>
      </c>
    </row>
    <row r="50" spans="2:44" ht="15.75" thickBot="1" x14ac:dyDescent="0.3">
      <c r="B50" s="339">
        <v>13069</v>
      </c>
      <c r="C50" s="374" t="s">
        <v>64</v>
      </c>
      <c r="D50" s="375" t="s">
        <v>65</v>
      </c>
      <c r="E50" s="342">
        <f>IFERROR(VLOOKUP(B50,BDFDUSD!$B:$BJ,41,FALSE),0)</f>
        <v>12236.64</v>
      </c>
      <c r="F50" s="342">
        <f>IFERROR(VLOOKUP(B50,BDFDUSD!$B:$BJ,44,FALSE),0)</f>
        <v>27189.02</v>
      </c>
      <c r="G50" s="342">
        <f>IFERROR(VLOOKUP(B50,BDFDUSD!$B:$BJ,47,FALSE),0)</f>
        <v>35631.5</v>
      </c>
      <c r="H50" s="342">
        <f>IFERROR(VLOOKUP(B50,BDFDUSD!$B:$BJ,50,FALSE),0)</f>
        <v>32029.98</v>
      </c>
      <c r="I50" s="342">
        <f>IFERROR(VLOOKUP(B50,BDFDUSD!$B:$BJ,53,FALSE),0)</f>
        <v>33211.81</v>
      </c>
      <c r="J50" s="342">
        <f>IFERROR(VLOOKUP(B50,BDFDUSD!$B:$BJ,56,FALSE),0)</f>
        <v>28806.81</v>
      </c>
      <c r="K50" s="342">
        <f>IFERROR(VLOOKUP(B50,BDFDUSD!$B:$BJ,59,FALSE),0)</f>
        <v>20981.24</v>
      </c>
      <c r="L50" s="516">
        <f>BDPPTO!L50*BDPPTOUSD!$AP50</f>
        <v>22357.119999999999</v>
      </c>
      <c r="M50" s="516">
        <f>BDPPTO!M50*BDPPTOUSD!$AP50</f>
        <v>22357.119999999999</v>
      </c>
      <c r="N50" s="516">
        <f>BDPPTO!N50*BDPPTOUSD!$AP50</f>
        <v>22357.119999999999</v>
      </c>
      <c r="O50" s="516">
        <f>BDPPTO!O50*BDPPTOUSD!$AP50</f>
        <v>22357.119999999999</v>
      </c>
      <c r="P50" s="516">
        <f>BDPPTO!P50*BDPPTOUSD!$AP50</f>
        <v>17885.696</v>
      </c>
      <c r="Q50" s="343">
        <f t="shared" si="0"/>
        <v>297401.17599999998</v>
      </c>
      <c r="R50" s="346">
        <v>343418.98104159907</v>
      </c>
      <c r="S50" s="346">
        <v>320456.22619209561</v>
      </c>
      <c r="T50" s="346"/>
      <c r="U50" s="346"/>
      <c r="V50" s="339">
        <v>13069</v>
      </c>
      <c r="W50" s="374" t="s">
        <v>64</v>
      </c>
      <c r="X50" s="375" t="s">
        <v>65</v>
      </c>
      <c r="Y50" s="342">
        <v>2025.7392105436434</v>
      </c>
      <c r="Z50" s="342">
        <v>2111.333825073656</v>
      </c>
      <c r="AA50" s="342">
        <v>2282.5230541336828</v>
      </c>
      <c r="AB50" s="342">
        <v>2453.712283193709</v>
      </c>
      <c r="AC50" s="342">
        <v>2567.8384359003931</v>
      </c>
      <c r="AD50" s="342">
        <v>2510.7753595470508</v>
      </c>
      <c r="AE50" s="342">
        <v>2482.2438213703799</v>
      </c>
      <c r="AF50" s="342">
        <v>2282.5230541336828</v>
      </c>
      <c r="AG50" s="342">
        <v>2567.8384359003931</v>
      </c>
      <c r="AH50" s="342">
        <v>2624.9015122537353</v>
      </c>
      <c r="AI50" s="342">
        <v>2396.6492068403672</v>
      </c>
      <c r="AJ50" s="342">
        <v>2225.4599777803405</v>
      </c>
      <c r="AK50" s="343">
        <v>28531.538176671034</v>
      </c>
      <c r="AM50" s="457"/>
      <c r="AN50" s="513">
        <f t="shared" si="1"/>
        <v>190087</v>
      </c>
      <c r="AO50" s="513">
        <f t="shared" si="2"/>
        <v>107314.17599999999</v>
      </c>
      <c r="AP50" s="515">
        <f>28.96-(28.96*0.078)-(28.96*0.15)</f>
        <v>22.357119999999998</v>
      </c>
      <c r="AQ50" s="346">
        <f>+Q50</f>
        <v>297401.17599999998</v>
      </c>
    </row>
    <row r="51" spans="2:44" x14ac:dyDescent="0.25">
      <c r="B51" s="339"/>
      <c r="C51" s="376"/>
      <c r="D51" s="377"/>
      <c r="E51" s="381"/>
      <c r="F51" s="379"/>
      <c r="G51" s="379"/>
      <c r="H51" s="379"/>
      <c r="I51" s="379"/>
      <c r="J51" s="379"/>
      <c r="K51" s="379"/>
      <c r="L51" s="379"/>
      <c r="M51" s="379"/>
      <c r="N51" s="379"/>
      <c r="O51" s="379"/>
      <c r="P51" s="379"/>
      <c r="Q51" s="380"/>
      <c r="R51" s="346"/>
      <c r="S51" s="346"/>
      <c r="T51" s="346"/>
      <c r="U51" s="346"/>
      <c r="V51" s="339"/>
      <c r="W51" s="376"/>
      <c r="X51" s="377"/>
      <c r="Y51" s="381"/>
      <c r="Z51" s="379"/>
      <c r="AA51" s="379"/>
      <c r="AB51" s="379"/>
      <c r="AC51" s="379"/>
      <c r="AD51" s="379"/>
      <c r="AE51" s="379"/>
      <c r="AF51" s="379"/>
      <c r="AG51" s="379"/>
      <c r="AH51" s="379"/>
      <c r="AI51" s="379"/>
      <c r="AJ51" s="379"/>
      <c r="AK51" s="380"/>
      <c r="AM51" s="457"/>
      <c r="AN51" s="513"/>
      <c r="AO51" s="513"/>
      <c r="AP51" s="515"/>
      <c r="AQ51" s="380"/>
      <c r="AR51" s="380"/>
    </row>
    <row r="52" spans="2:44" x14ac:dyDescent="0.25">
      <c r="B52" s="339"/>
      <c r="C52" s="382"/>
      <c r="D52" s="383" t="s">
        <v>149</v>
      </c>
      <c r="E52" s="380">
        <f>SUM(E7:E50)</f>
        <v>595609.56000000006</v>
      </c>
      <c r="F52" s="380">
        <f t="shared" ref="F52:P52" si="3">SUM(F7:F50)</f>
        <v>663898.82000000007</v>
      </c>
      <c r="G52" s="380">
        <f t="shared" si="3"/>
        <v>611723.11</v>
      </c>
      <c r="H52" s="380">
        <f t="shared" si="3"/>
        <v>578207.53999999992</v>
      </c>
      <c r="I52" s="380">
        <f t="shared" si="3"/>
        <v>608731.64999999991</v>
      </c>
      <c r="J52" s="380">
        <f t="shared" si="3"/>
        <v>854779.97999999986</v>
      </c>
      <c r="K52" s="380">
        <f t="shared" si="3"/>
        <v>813780.91</v>
      </c>
      <c r="L52" s="380">
        <f t="shared" si="3"/>
        <v>682245.03267013689</v>
      </c>
      <c r="M52" s="380">
        <f t="shared" si="3"/>
        <v>666744.61345895566</v>
      </c>
      <c r="N52" s="380">
        <f t="shared" si="3"/>
        <v>693966.6268621952</v>
      </c>
      <c r="O52" s="380">
        <f t="shared" si="3"/>
        <v>724893.79518090119</v>
      </c>
      <c r="P52" s="380">
        <f t="shared" si="3"/>
        <v>625897.82259134587</v>
      </c>
      <c r="Q52" s="380">
        <f>SUM(Q7:Q50)</f>
        <v>8120479.4607635364</v>
      </c>
      <c r="R52" s="346">
        <v>7783962.0922218636</v>
      </c>
      <c r="S52" s="346">
        <v>7565271.5494622942</v>
      </c>
      <c r="T52" s="346"/>
      <c r="U52" s="346"/>
      <c r="V52" s="339"/>
      <c r="W52" s="382"/>
      <c r="X52" s="383" t="s">
        <v>149</v>
      </c>
      <c r="Y52" s="380">
        <v>73993.059028817224</v>
      </c>
      <c r="Z52" s="380">
        <v>77119.526311725014</v>
      </c>
      <c r="AA52" s="380">
        <v>83372.46087754055</v>
      </c>
      <c r="AB52" s="380">
        <v>89878.054755856079</v>
      </c>
      <c r="AC52" s="380">
        <v>93977.251414733139</v>
      </c>
      <c r="AD52" s="380">
        <v>91896.455152794588</v>
      </c>
      <c r="AE52" s="380">
        <v>89865.579510774871</v>
      </c>
      <c r="AF52" s="380">
        <v>82659.006281459646</v>
      </c>
      <c r="AG52" s="380">
        <v>95705.550836433787</v>
      </c>
      <c r="AH52" s="380">
        <v>96844.425850761923</v>
      </c>
      <c r="AI52" s="380">
        <v>88847.977647615975</v>
      </c>
      <c r="AJ52" s="380">
        <v>82891.927662964823</v>
      </c>
      <c r="AK52" s="380">
        <v>1047051.2753314775</v>
      </c>
      <c r="AM52" s="457"/>
      <c r="AN52" s="513">
        <f t="shared" ref="AN8:AN77" si="4">SUM(E52:K52)</f>
        <v>4726731.57</v>
      </c>
      <c r="AO52" s="513">
        <f t="shared" ref="AO8:AO77" si="5">SUM(L52:P52)</f>
        <v>3393747.8907635352</v>
      </c>
      <c r="AP52" s="515">
        <f>AN52/BDPPTO!BH52</f>
        <v>7.1998518973227892</v>
      </c>
      <c r="AQ52" s="380">
        <f>SUM(AQ7:AQ50)</f>
        <v>6659939.545774078</v>
      </c>
      <c r="AR52" s="380">
        <f>SUM(AR7:AR50)</f>
        <v>1460539.9149894584</v>
      </c>
    </row>
    <row r="53" spans="2:44" ht="15.75" thickBot="1" x14ac:dyDescent="0.3">
      <c r="B53" s="339"/>
      <c r="C53" s="384"/>
      <c r="D53" s="385"/>
      <c r="E53" s="387"/>
      <c r="F53" s="387"/>
      <c r="G53" s="387"/>
      <c r="H53" s="387"/>
      <c r="I53" s="387"/>
      <c r="J53" s="387"/>
      <c r="K53" s="387"/>
      <c r="L53" s="387"/>
      <c r="M53" s="387"/>
      <c r="N53" s="387"/>
      <c r="O53" s="387"/>
      <c r="P53" s="387"/>
      <c r="Q53" s="387"/>
      <c r="R53" s="346"/>
      <c r="S53" s="346"/>
      <c r="T53" s="346"/>
      <c r="U53" s="346"/>
      <c r="V53" s="339"/>
      <c r="W53" s="384"/>
      <c r="X53" s="385"/>
      <c r="Y53" s="387"/>
      <c r="Z53" s="387"/>
      <c r="AA53" s="387"/>
      <c r="AB53" s="387"/>
      <c r="AC53" s="387"/>
      <c r="AD53" s="387"/>
      <c r="AE53" s="387"/>
      <c r="AF53" s="387"/>
      <c r="AG53" s="387"/>
      <c r="AH53" s="387"/>
      <c r="AI53" s="387"/>
      <c r="AJ53" s="387"/>
      <c r="AK53" s="387"/>
      <c r="AM53" s="457"/>
      <c r="AN53" s="513"/>
      <c r="AO53" s="513"/>
      <c r="AP53" s="515"/>
      <c r="AQ53" s="387"/>
      <c r="AR53" s="387"/>
    </row>
    <row r="54" spans="2:44" x14ac:dyDescent="0.25">
      <c r="B54" s="350"/>
      <c r="C54" s="389"/>
      <c r="D54" s="390"/>
      <c r="E54" s="392"/>
      <c r="F54" s="392"/>
      <c r="G54" s="392"/>
      <c r="H54" s="392"/>
      <c r="I54" s="392"/>
      <c r="J54" s="392"/>
      <c r="K54" s="392"/>
      <c r="L54" s="392"/>
      <c r="M54" s="392"/>
      <c r="N54" s="392"/>
      <c r="O54" s="392"/>
      <c r="P54" s="392"/>
      <c r="Q54" s="392">
        <v>0</v>
      </c>
      <c r="R54" s="346"/>
      <c r="S54" s="346"/>
      <c r="T54" s="346"/>
      <c r="U54" s="346"/>
      <c r="V54" s="350"/>
      <c r="W54" s="389"/>
      <c r="X54" s="390"/>
      <c r="Y54" s="392"/>
      <c r="Z54" s="392"/>
      <c r="AA54" s="392"/>
      <c r="AB54" s="392"/>
      <c r="AC54" s="392"/>
      <c r="AD54" s="392"/>
      <c r="AE54" s="392"/>
      <c r="AF54" s="392"/>
      <c r="AG54" s="392"/>
      <c r="AH54" s="392"/>
      <c r="AI54" s="392"/>
      <c r="AJ54" s="392"/>
      <c r="AK54" s="392">
        <v>0</v>
      </c>
      <c r="AM54" s="457"/>
      <c r="AN54" s="513"/>
      <c r="AO54" s="513"/>
      <c r="AP54" s="515"/>
    </row>
    <row r="55" spans="2:44" x14ac:dyDescent="0.25">
      <c r="B55" s="350"/>
      <c r="C55" s="389"/>
      <c r="D55" s="390"/>
      <c r="E55" s="332" t="s">
        <v>694</v>
      </c>
      <c r="F55" s="394"/>
      <c r="G55" s="394"/>
      <c r="H55" s="394"/>
      <c r="I55" s="394"/>
      <c r="J55" s="394"/>
      <c r="K55" s="394"/>
      <c r="L55" s="394"/>
      <c r="M55" s="394"/>
      <c r="N55" s="394"/>
      <c r="O55" s="394"/>
      <c r="P55" s="394"/>
      <c r="Q55" s="394"/>
      <c r="R55" s="346"/>
      <c r="S55" s="346"/>
      <c r="T55" s="346"/>
      <c r="U55" s="346"/>
      <c r="V55" s="350"/>
      <c r="W55" s="389"/>
      <c r="X55" s="390"/>
      <c r="Y55" s="455" t="s">
        <v>695</v>
      </c>
      <c r="Z55" s="456"/>
      <c r="AA55" s="394"/>
      <c r="AB55" s="394"/>
      <c r="AC55" s="394"/>
      <c r="AD55" s="394"/>
      <c r="AE55" s="394"/>
      <c r="AF55" s="394"/>
      <c r="AG55" s="394"/>
      <c r="AH55" s="394"/>
      <c r="AI55" s="394"/>
      <c r="AJ55" s="394"/>
      <c r="AK55" s="394"/>
      <c r="AM55" s="457"/>
      <c r="AN55" s="513"/>
      <c r="AO55" s="513"/>
      <c r="AP55" s="515"/>
    </row>
    <row r="56" spans="2:44" x14ac:dyDescent="0.25">
      <c r="B56" s="350"/>
      <c r="C56" s="395"/>
      <c r="D56" s="396"/>
      <c r="E56" s="334" t="s">
        <v>133</v>
      </c>
      <c r="F56" s="334" t="s">
        <v>134</v>
      </c>
      <c r="G56" s="334" t="s">
        <v>135</v>
      </c>
      <c r="H56" s="334" t="s">
        <v>136</v>
      </c>
      <c r="I56" s="334" t="s">
        <v>137</v>
      </c>
      <c r="J56" s="334" t="s">
        <v>138</v>
      </c>
      <c r="K56" s="334" t="s">
        <v>139</v>
      </c>
      <c r="L56" s="334" t="s">
        <v>140</v>
      </c>
      <c r="M56" s="334" t="s">
        <v>141</v>
      </c>
      <c r="N56" s="334" t="s">
        <v>142</v>
      </c>
      <c r="O56" s="334" t="s">
        <v>143</v>
      </c>
      <c r="P56" s="334" t="s">
        <v>144</v>
      </c>
      <c r="Q56" s="334" t="s">
        <v>146</v>
      </c>
      <c r="R56" s="346"/>
      <c r="S56" s="346"/>
      <c r="T56" s="346"/>
      <c r="U56" s="346"/>
      <c r="V56" s="350"/>
      <c r="W56" s="395"/>
      <c r="X56" s="396"/>
      <c r="Y56" s="334" t="s">
        <v>133</v>
      </c>
      <c r="Z56" s="334" t="s">
        <v>134</v>
      </c>
      <c r="AA56" s="334" t="s">
        <v>135</v>
      </c>
      <c r="AB56" s="334" t="s">
        <v>136</v>
      </c>
      <c r="AC56" s="334" t="s">
        <v>137</v>
      </c>
      <c r="AD56" s="334" t="s">
        <v>138</v>
      </c>
      <c r="AE56" s="334" t="s">
        <v>139</v>
      </c>
      <c r="AF56" s="334" t="s">
        <v>140</v>
      </c>
      <c r="AG56" s="334" t="s">
        <v>141</v>
      </c>
      <c r="AH56" s="334" t="s">
        <v>142</v>
      </c>
      <c r="AI56" s="334" t="s">
        <v>143</v>
      </c>
      <c r="AJ56" s="334" t="s">
        <v>144</v>
      </c>
      <c r="AK56" s="334" t="s">
        <v>146</v>
      </c>
      <c r="AM56" s="457"/>
      <c r="AN56" s="513"/>
      <c r="AO56" s="513"/>
      <c r="AP56" s="515"/>
    </row>
    <row r="57" spans="2:44" x14ac:dyDescent="0.25">
      <c r="B57" s="339">
        <v>13035</v>
      </c>
      <c r="C57" s="398" t="s">
        <v>67</v>
      </c>
      <c r="D57" s="399" t="s">
        <v>68</v>
      </c>
      <c r="E57" s="342">
        <f>IFERROR(VLOOKUP(B57,BDFDUSD!$B:$BJ,41,FALSE),0)</f>
        <v>0</v>
      </c>
      <c r="F57" s="342">
        <f>IFERROR(VLOOKUP(B57,BDFDUSD!$B:$BJ,44,FALSE),0)</f>
        <v>0</v>
      </c>
      <c r="G57" s="342">
        <f>IFERROR(VLOOKUP(B57,BDFDUSD!$B:$BJ,47,FALSE),0)</f>
        <v>0</v>
      </c>
      <c r="H57" s="342">
        <f>IFERROR(VLOOKUP(B57,BDFDUSD!$B:$BJ,50,FALSE),0)</f>
        <v>-135.75</v>
      </c>
      <c r="I57" s="342">
        <f>IFERROR(VLOOKUP(B57,BDFDUSD!$B:$BJ,53,FALSE),0)</f>
        <v>45616.32</v>
      </c>
      <c r="J57" s="342">
        <f>IFERROR(VLOOKUP(B57,BDFDUSD!$B:$BJ,56,FALSE),0)</f>
        <v>73761.820000000007</v>
      </c>
      <c r="K57" s="342">
        <f>IFERROR(VLOOKUP(B57,BDFDUSD!$B:$BJ,59,FALSE),0)</f>
        <v>-581.42999999999995</v>
      </c>
      <c r="L57" s="516">
        <f>BDPPTO!L57*BDPPTOUSD!$AP57</f>
        <v>0</v>
      </c>
      <c r="M57" s="516">
        <f>BDPPTO!M57*BDPPTOUSD!$AP57</f>
        <v>2762.641087725834</v>
      </c>
      <c r="N57" s="516">
        <f>BDPPTO!N57*BDPPTOUSD!$AP57</f>
        <v>8287.923263177503</v>
      </c>
      <c r="O57" s="516">
        <f>BDPPTO!O57*BDPPTOUSD!$AP57</f>
        <v>8287.923263177503</v>
      </c>
      <c r="P57" s="516">
        <f>BDPPTO!P57*BDPPTOUSD!$AP57</f>
        <v>8287.923263177503</v>
      </c>
      <c r="Q57" s="343">
        <f>SUM(E57:P57)</f>
        <v>146287.37087725836</v>
      </c>
      <c r="R57" s="346">
        <v>255961.43631637169</v>
      </c>
      <c r="S57" s="346">
        <v>255961.43631637169</v>
      </c>
      <c r="T57" s="344"/>
      <c r="U57" s="344"/>
      <c r="V57" s="339">
        <v>13035</v>
      </c>
      <c r="W57" s="398" t="s">
        <v>67</v>
      </c>
      <c r="X57" s="399" t="s">
        <v>68</v>
      </c>
      <c r="Y57" s="342">
        <v>0</v>
      </c>
      <c r="Z57" s="342">
        <v>0</v>
      </c>
      <c r="AA57" s="342">
        <v>0</v>
      </c>
      <c r="AB57" s="342">
        <v>0</v>
      </c>
      <c r="AC57" s="342">
        <v>2378.0035322999997</v>
      </c>
      <c r="AD57" s="342">
        <v>2379.4687223999999</v>
      </c>
      <c r="AE57" s="342">
        <v>1291.9708970015256</v>
      </c>
      <c r="AF57" s="342">
        <v>1291.9708970015256</v>
      </c>
      <c r="AG57" s="342">
        <v>1400.0264824577373</v>
      </c>
      <c r="AH57" s="342">
        <v>1831.487625</v>
      </c>
      <c r="AI57" s="342">
        <v>2197.7851499999997</v>
      </c>
      <c r="AJ57" s="342">
        <v>1881.3040883999997</v>
      </c>
      <c r="AK57" s="343">
        <v>14652.017394560788</v>
      </c>
      <c r="AM57" s="457"/>
      <c r="AN57" s="513">
        <f t="shared" ref="AN57:AN95" si="6">SUM(E57:K57)</f>
        <v>118660.96000000002</v>
      </c>
      <c r="AO57" s="513">
        <f t="shared" ref="AO57:AO95" si="7">SUM(L57:P57)</f>
        <v>27626.410877258342</v>
      </c>
      <c r="AP57" s="515">
        <f>AN57/BDPPTO!BH57</f>
        <v>5.5252821754516681</v>
      </c>
      <c r="AR57" s="346">
        <f>+Q57</f>
        <v>146287.37087725836</v>
      </c>
    </row>
    <row r="58" spans="2:44" x14ac:dyDescent="0.25">
      <c r="B58" s="339">
        <v>13143</v>
      </c>
      <c r="C58" s="340" t="s">
        <v>74</v>
      </c>
      <c r="D58" s="409" t="s">
        <v>78</v>
      </c>
      <c r="E58" s="342">
        <f>IFERROR(VLOOKUP(B58,BDFDUSD!$B:$BJ,41,FALSE),0)</f>
        <v>150171.79</v>
      </c>
      <c r="F58" s="342">
        <f>IFERROR(VLOOKUP(B58,BDFDUSD!$B:$BJ,44,FALSE),0)</f>
        <v>-11350.48</v>
      </c>
      <c r="G58" s="342">
        <f>IFERROR(VLOOKUP(B58,BDFDUSD!$B:$BJ,47,FALSE),0)</f>
        <v>103295.41</v>
      </c>
      <c r="H58" s="342">
        <f>IFERROR(VLOOKUP(B58,BDFDUSD!$B:$BJ,50,FALSE),0)</f>
        <v>109238.59</v>
      </c>
      <c r="I58" s="342">
        <f>IFERROR(VLOOKUP(B58,BDFDUSD!$B:$BJ,53,FALSE),0)</f>
        <v>145796.89000000001</v>
      </c>
      <c r="J58" s="342">
        <f>IFERROR(VLOOKUP(B58,BDFDUSD!$B:$BJ,56,FALSE),0)</f>
        <v>79173.94</v>
      </c>
      <c r="K58" s="342">
        <f>IFERROR(VLOOKUP(B58,BDFDUSD!$B:$BJ,59,FALSE),0)</f>
        <v>79826.48</v>
      </c>
      <c r="L58" s="516">
        <f>BDPPTO!L58*BDPPTOUSD!$AP58</f>
        <v>106381.42814316305</v>
      </c>
      <c r="M58" s="516">
        <f>BDPPTO!M58*BDPPTOUSD!$AP58</f>
        <v>106381.42814316305</v>
      </c>
      <c r="N58" s="516">
        <f>BDPPTO!N58*BDPPTOUSD!$AP58</f>
        <v>106381.42814316305</v>
      </c>
      <c r="O58" s="516">
        <f>BDPPTO!O58*BDPPTOUSD!$AP58</f>
        <v>114410.21517283574</v>
      </c>
      <c r="P58" s="516">
        <f>BDPPTO!P58*BDPPTOUSD!$AP58</f>
        <v>106381.42814316305</v>
      </c>
      <c r="Q58" s="343">
        <f t="shared" ref="Q58:Q95" si="8">SUM(E58:P58)</f>
        <v>1196088.5477454879</v>
      </c>
      <c r="R58" s="346">
        <v>1717118.704409373</v>
      </c>
      <c r="S58" s="346">
        <v>1532191.4479088408</v>
      </c>
      <c r="T58" s="346"/>
      <c r="U58" s="346"/>
      <c r="V58" s="339">
        <v>13143</v>
      </c>
      <c r="W58" s="374" t="s">
        <v>74</v>
      </c>
      <c r="X58" s="401" t="s">
        <v>78</v>
      </c>
      <c r="Y58" s="342">
        <v>19676.22114680841</v>
      </c>
      <c r="Z58" s="342">
        <v>20507.610772729895</v>
      </c>
      <c r="AA58" s="342">
        <v>22170.390024572858</v>
      </c>
      <c r="AB58" s="342">
        <v>23833.169276415818</v>
      </c>
      <c r="AC58" s="342">
        <v>24941.688777644464</v>
      </c>
      <c r="AD58" s="342">
        <v>24387.429027030143</v>
      </c>
      <c r="AE58" s="342">
        <v>24110.299151722982</v>
      </c>
      <c r="AF58" s="342">
        <v>22170.390024572858</v>
      </c>
      <c r="AG58" s="342">
        <v>24941.688777644464</v>
      </c>
      <c r="AH58" s="342">
        <v>25495.948528258785</v>
      </c>
      <c r="AI58" s="342">
        <v>23278.9095258015</v>
      </c>
      <c r="AJ58" s="342">
        <v>21616.130273958537</v>
      </c>
      <c r="AK58" s="343">
        <v>277129.87530716072</v>
      </c>
      <c r="AM58" s="457"/>
      <c r="AN58" s="513">
        <f t="shared" si="6"/>
        <v>656152.62</v>
      </c>
      <c r="AO58" s="513">
        <f t="shared" si="7"/>
        <v>539935.92774548801</v>
      </c>
      <c r="AP58" s="515">
        <f>AN58/BDPPTO!BH58</f>
        <v>8.0287870296726833</v>
      </c>
      <c r="AR58" s="346">
        <f>SUM(Q58:Q64)</f>
        <v>3397948.7249003248</v>
      </c>
    </row>
    <row r="59" spans="2:44" x14ac:dyDescent="0.25">
      <c r="B59" s="339">
        <v>13144</v>
      </c>
      <c r="C59" s="349"/>
      <c r="D59" s="409" t="s">
        <v>79</v>
      </c>
      <c r="E59" s="342">
        <f>IFERROR(VLOOKUP(B59,BDFDUSD!$B:$BJ,41,FALSE),0)</f>
        <v>121018.41</v>
      </c>
      <c r="F59" s="342">
        <f>IFERROR(VLOOKUP(B59,BDFDUSD!$B:$BJ,44,FALSE),0)</f>
        <v>66744.44</v>
      </c>
      <c r="G59" s="342">
        <f>IFERROR(VLOOKUP(B59,BDFDUSD!$B:$BJ,47,FALSE),0)</f>
        <v>27198.75</v>
      </c>
      <c r="H59" s="342">
        <f>IFERROR(VLOOKUP(B59,BDFDUSD!$B:$BJ,50,FALSE),0)</f>
        <v>-6983.69</v>
      </c>
      <c r="I59" s="342">
        <f>IFERROR(VLOOKUP(B59,BDFDUSD!$B:$BJ,53,FALSE),0)</f>
        <v>-2751.02</v>
      </c>
      <c r="J59" s="342">
        <f>IFERROR(VLOOKUP(B59,BDFDUSD!$B:$BJ,56,FALSE),0)</f>
        <v>-6629.55</v>
      </c>
      <c r="K59" s="342">
        <f>IFERROR(VLOOKUP(B59,BDFDUSD!$B:$BJ,59,FALSE),0)</f>
        <v>107320.29</v>
      </c>
      <c r="L59" s="516">
        <f>BDPPTO!L59*BDPPTOUSD!$AP59</f>
        <v>29728.228736695972</v>
      </c>
      <c r="M59" s="516">
        <f>BDPPTO!M59*BDPPTOUSD!$AP59</f>
        <v>48131.41795465062</v>
      </c>
      <c r="N59" s="516">
        <f>BDPPTO!N59*BDPPTOUSD!$AP59</f>
        <v>48131.41795465062</v>
      </c>
      <c r="O59" s="516">
        <f>BDPPTO!O59*BDPPTOUSD!$AP59</f>
        <v>55209.567653863953</v>
      </c>
      <c r="P59" s="516">
        <f>BDPPTO!P59*BDPPTOUSD!$AP59</f>
        <v>42468.898195279966</v>
      </c>
      <c r="Q59" s="343">
        <f t="shared" si="8"/>
        <v>529587.16049514106</v>
      </c>
      <c r="R59" s="346">
        <v>390919.63652312622</v>
      </c>
      <c r="S59" s="346">
        <v>348819.05506141961</v>
      </c>
      <c r="T59" s="346"/>
      <c r="U59" s="346"/>
      <c r="V59" s="339">
        <v>13144</v>
      </c>
      <c r="W59" s="363"/>
      <c r="X59" s="401" t="s">
        <v>79</v>
      </c>
      <c r="Y59" s="342">
        <v>4557.2570656259186</v>
      </c>
      <c r="Z59" s="342">
        <v>4749.8172233284222</v>
      </c>
      <c r="AA59" s="342">
        <v>5134.9375387334303</v>
      </c>
      <c r="AB59" s="342">
        <v>5520.0578541384366</v>
      </c>
      <c r="AC59" s="342">
        <v>5776.804731075109</v>
      </c>
      <c r="AD59" s="342">
        <v>5648.4312926067732</v>
      </c>
      <c r="AE59" s="342">
        <v>5584.2445733726045</v>
      </c>
      <c r="AF59" s="342">
        <v>5134.9375387334303</v>
      </c>
      <c r="AG59" s="342">
        <v>5776.804731075109</v>
      </c>
      <c r="AH59" s="342">
        <v>5905.1781695434447</v>
      </c>
      <c r="AI59" s="342">
        <v>5391.6844156701018</v>
      </c>
      <c r="AJ59" s="342">
        <v>5006.5641002650946</v>
      </c>
      <c r="AK59" s="343">
        <v>64186.719234167875</v>
      </c>
      <c r="AM59" s="457"/>
      <c r="AN59" s="513">
        <f t="shared" si="6"/>
        <v>305917.63</v>
      </c>
      <c r="AO59" s="513">
        <f t="shared" si="7"/>
        <v>223669.53049514114</v>
      </c>
      <c r="AP59" s="515">
        <f>AN59/BDPPTO!BH59</f>
        <v>14.156299398426654</v>
      </c>
    </row>
    <row r="60" spans="2:44" x14ac:dyDescent="0.25">
      <c r="B60" s="350">
        <v>13121</v>
      </c>
      <c r="C60" s="349"/>
      <c r="D60" s="409" t="s">
        <v>76</v>
      </c>
      <c r="E60" s="342">
        <f>IFERROR(VLOOKUP(B60,BDFDUSD!$B:$BJ,41,FALSE),0)</f>
        <v>66215.98</v>
      </c>
      <c r="F60" s="342">
        <f>IFERROR(VLOOKUP(B60,BDFDUSD!$B:$BJ,44,FALSE),0)</f>
        <v>144005.5</v>
      </c>
      <c r="G60" s="342">
        <f>IFERROR(VLOOKUP(B60,BDFDUSD!$B:$BJ,47,FALSE),0)</f>
        <v>74225.490000000005</v>
      </c>
      <c r="H60" s="342">
        <f>IFERROR(VLOOKUP(B60,BDFDUSD!$B:$BJ,50,FALSE),0)</f>
        <v>174044.36</v>
      </c>
      <c r="I60" s="342">
        <f>IFERROR(VLOOKUP(B60,BDFDUSD!$B:$BJ,53,FALSE),0)</f>
        <v>98599.86</v>
      </c>
      <c r="J60" s="342">
        <f>IFERROR(VLOOKUP(B60,BDFDUSD!$B:$BJ,56,FALSE),0)</f>
        <v>77509.81</v>
      </c>
      <c r="K60" s="342">
        <f>IFERROR(VLOOKUP(B60,BDFDUSD!$B:$BJ,59,FALSE),0)</f>
        <v>74678.12</v>
      </c>
      <c r="L60" s="516">
        <f>BDPPTO!L60*BDPPTOUSD!$AP60</f>
        <v>98060.307676838769</v>
      </c>
      <c r="M60" s="516">
        <f>BDPPTO!M60*BDPPTOUSD!$AP60</f>
        <v>106974.88110200594</v>
      </c>
      <c r="N60" s="516">
        <f>BDPPTO!N60*BDPPTOUSD!$AP60</f>
        <v>106974.88110200594</v>
      </c>
      <c r="O60" s="516">
        <f>BDPPTO!O60*BDPPTOUSD!$AP60</f>
        <v>106974.88110200594</v>
      </c>
      <c r="P60" s="516">
        <f>BDPPTO!P60*BDPPTOUSD!$AP60</f>
        <v>98060.307676838769</v>
      </c>
      <c r="Q60" s="343">
        <f t="shared" si="8"/>
        <v>1226324.3786596954</v>
      </c>
      <c r="R60" s="346">
        <v>1038735.6167371189</v>
      </c>
      <c r="S60" s="346">
        <v>1009762.2790298334</v>
      </c>
      <c r="T60" s="346"/>
      <c r="U60" s="346"/>
      <c r="V60" s="350">
        <v>13121</v>
      </c>
      <c r="W60" s="363"/>
      <c r="X60" s="401" t="s">
        <v>76</v>
      </c>
      <c r="Y60" s="342">
        <v>6321.5948002082332</v>
      </c>
      <c r="Z60" s="342">
        <v>6588.7044396536539</v>
      </c>
      <c r="AA60" s="342">
        <v>7122.9237185444899</v>
      </c>
      <c r="AB60" s="342">
        <v>7657.1429974353268</v>
      </c>
      <c r="AC60" s="342">
        <v>8013.2891833625508</v>
      </c>
      <c r="AD60" s="342">
        <v>7835.2160903989379</v>
      </c>
      <c r="AE60" s="342">
        <v>7746.179543917131</v>
      </c>
      <c r="AF60" s="342">
        <v>7122.9237185444899</v>
      </c>
      <c r="AG60" s="342">
        <v>8013.2891833625508</v>
      </c>
      <c r="AH60" s="342">
        <v>8191.3622763261637</v>
      </c>
      <c r="AI60" s="342">
        <v>7479.0699044717148</v>
      </c>
      <c r="AJ60" s="342">
        <v>6944.8506255808779</v>
      </c>
      <c r="AK60" s="343">
        <v>89036.54648180613</v>
      </c>
      <c r="AM60" s="457"/>
      <c r="AN60" s="513">
        <f t="shared" si="6"/>
        <v>709279.12</v>
      </c>
      <c r="AO60" s="513">
        <f t="shared" si="7"/>
        <v>517045.25865969539</v>
      </c>
      <c r="AP60" s="515">
        <f>AN60/BDPPTO!BH60</f>
        <v>17.829146850334322</v>
      </c>
    </row>
    <row r="61" spans="2:44" x14ac:dyDescent="0.25">
      <c r="B61" s="339">
        <v>13047</v>
      </c>
      <c r="C61" s="349"/>
      <c r="D61" s="409" t="s">
        <v>665</v>
      </c>
      <c r="E61" s="342">
        <f>IFERROR(VLOOKUP(B61,BDFDUSD!$B:$BJ,41,FALSE),0)</f>
        <v>-31.08</v>
      </c>
      <c r="F61" s="342">
        <f>IFERROR(VLOOKUP(B61,BDFDUSD!$B:$BJ,44,FALSE),0)</f>
        <v>-19.78</v>
      </c>
      <c r="G61" s="342">
        <f>IFERROR(VLOOKUP(B61,BDFDUSD!$B:$BJ,47,FALSE),0)</f>
        <v>-20.72</v>
      </c>
      <c r="H61" s="342">
        <f>IFERROR(VLOOKUP(B61,BDFDUSD!$B:$BJ,50,FALSE),0)</f>
        <v>-766.44</v>
      </c>
      <c r="I61" s="342">
        <f>IFERROR(VLOOKUP(B61,BDFDUSD!$B:$BJ,53,FALSE),0)</f>
        <v>0</v>
      </c>
      <c r="J61" s="342">
        <f>IFERROR(VLOOKUP(B61,BDFDUSD!$B:$BJ,56,FALSE),0)</f>
        <v>0</v>
      </c>
      <c r="K61" s="342">
        <f>IFERROR(VLOOKUP(B61,BDFDUSD!$B:$BJ,59,FALSE),0)</f>
        <v>0</v>
      </c>
      <c r="L61" s="516">
        <v>0</v>
      </c>
      <c r="M61" s="516">
        <v>0</v>
      </c>
      <c r="N61" s="516">
        <v>0</v>
      </c>
      <c r="O61" s="516">
        <v>0</v>
      </c>
      <c r="P61" s="516">
        <v>0</v>
      </c>
      <c r="Q61" s="343">
        <f t="shared" si="8"/>
        <v>-838.0200000000001</v>
      </c>
      <c r="R61" s="346">
        <v>295616.29617675795</v>
      </c>
      <c r="S61" s="346">
        <v>398342.36346417363</v>
      </c>
      <c r="T61" s="346"/>
      <c r="U61" s="346"/>
      <c r="V61" s="339">
        <v>13047</v>
      </c>
      <c r="W61" s="363"/>
      <c r="X61" s="401" t="s">
        <v>665</v>
      </c>
      <c r="Y61" s="342">
        <v>4026.2916533251437</v>
      </c>
      <c r="Z61" s="342">
        <v>4196.4166527614179</v>
      </c>
      <c r="AA61" s="342">
        <v>4536.6666516339656</v>
      </c>
      <c r="AB61" s="342">
        <v>4876.9166505065123</v>
      </c>
      <c r="AC61" s="342">
        <v>5103.7499830882098</v>
      </c>
      <c r="AD61" s="342">
        <v>4990.3333167973615</v>
      </c>
      <c r="AE61" s="342">
        <v>4933.6249836519364</v>
      </c>
      <c r="AF61" s="342">
        <v>4536.6666516339656</v>
      </c>
      <c r="AG61" s="342">
        <v>5103.7499830882098</v>
      </c>
      <c r="AH61" s="342">
        <v>5217.1666493790599</v>
      </c>
      <c r="AI61" s="342">
        <v>4763.499984215664</v>
      </c>
      <c r="AJ61" s="342">
        <v>4423.2499853431154</v>
      </c>
      <c r="AK61" s="343">
        <v>56708.333145424556</v>
      </c>
      <c r="AM61" s="457"/>
      <c r="AN61" s="513">
        <f t="shared" si="6"/>
        <v>-838.0200000000001</v>
      </c>
      <c r="AO61" s="513">
        <f t="shared" si="7"/>
        <v>0</v>
      </c>
      <c r="AP61" s="517">
        <v>0</v>
      </c>
    </row>
    <row r="62" spans="2:44" x14ac:dyDescent="0.25">
      <c r="B62" s="339">
        <v>13079</v>
      </c>
      <c r="C62" s="356"/>
      <c r="D62" s="409" t="s">
        <v>553</v>
      </c>
      <c r="E62" s="342">
        <f>IFERROR(VLOOKUP(B62,BDFDUSD!$B:$BJ,41,FALSE),0)</f>
        <v>-29.61</v>
      </c>
      <c r="F62" s="342">
        <f>IFERROR(VLOOKUP(B62,BDFDUSD!$B:$BJ,44,FALSE),0)</f>
        <v>-41.37</v>
      </c>
      <c r="G62" s="342">
        <f>IFERROR(VLOOKUP(B62,BDFDUSD!$B:$BJ,47,FALSE),0)</f>
        <v>-18892.3</v>
      </c>
      <c r="H62" s="342">
        <f>IFERROR(VLOOKUP(B62,BDFDUSD!$B:$BJ,50,FALSE),0)</f>
        <v>-12217.94</v>
      </c>
      <c r="I62" s="342">
        <f>IFERROR(VLOOKUP(B62,BDFDUSD!$B:$BJ,53,FALSE),0)</f>
        <v>-9032.4500000000007</v>
      </c>
      <c r="J62" s="342">
        <f>IFERROR(VLOOKUP(B62,BDFDUSD!$B:$BJ,56,FALSE),0)</f>
        <v>-882.56</v>
      </c>
      <c r="K62" s="342">
        <f>IFERROR(VLOOKUP(B62,BDFDUSD!$B:$BJ,59,FALSE),0)</f>
        <v>-124.11</v>
      </c>
      <c r="L62" s="516">
        <f>BDPPTO!L62*BDPPTOUSD!$AP62</f>
        <v>0</v>
      </c>
      <c r="M62" s="516">
        <f>BDPPTO!M62*BDPPTOUSD!$AP62</f>
        <v>0</v>
      </c>
      <c r="N62" s="516">
        <f>BDPPTO!N62*BDPPTOUSD!$AP62</f>
        <v>0</v>
      </c>
      <c r="O62" s="516">
        <f>BDPPTO!O62*BDPPTOUSD!$AP62</f>
        <v>0</v>
      </c>
      <c r="P62" s="516">
        <f>BDPPTO!P62*BDPPTOUSD!$AP62</f>
        <v>0</v>
      </c>
      <c r="Q62" s="343">
        <f t="shared" si="8"/>
        <v>-41220.339999999997</v>
      </c>
      <c r="R62" s="346">
        <v>0</v>
      </c>
      <c r="S62" s="346">
        <v>0</v>
      </c>
      <c r="T62" s="458"/>
      <c r="U62" s="458"/>
      <c r="V62" s="339">
        <v>13079</v>
      </c>
      <c r="W62" s="402"/>
      <c r="X62" s="401" t="s">
        <v>553</v>
      </c>
      <c r="Y62" s="342">
        <v>0</v>
      </c>
      <c r="Z62" s="342">
        <v>0</v>
      </c>
      <c r="AA62" s="342">
        <v>0</v>
      </c>
      <c r="AB62" s="342">
        <v>0</v>
      </c>
      <c r="AC62" s="342">
        <v>0</v>
      </c>
      <c r="AD62" s="342">
        <v>0</v>
      </c>
      <c r="AE62" s="342">
        <v>0</v>
      </c>
      <c r="AF62" s="342">
        <v>0</v>
      </c>
      <c r="AG62" s="342">
        <v>0</v>
      </c>
      <c r="AH62" s="342">
        <v>0</v>
      </c>
      <c r="AI62" s="342">
        <v>0</v>
      </c>
      <c r="AJ62" s="342">
        <v>0</v>
      </c>
      <c r="AK62" s="343">
        <v>0</v>
      </c>
      <c r="AM62" s="457"/>
      <c r="AN62" s="513">
        <f t="shared" si="6"/>
        <v>-41220.339999999997</v>
      </c>
      <c r="AO62" s="513">
        <f t="shared" si="7"/>
        <v>0</v>
      </c>
      <c r="AP62" s="515">
        <f>AN62/BDPPTO!BH62</f>
        <v>13.799912956143286</v>
      </c>
    </row>
    <row r="63" spans="2:44" x14ac:dyDescent="0.25">
      <c r="B63" s="339">
        <v>13049</v>
      </c>
      <c r="C63" s="356"/>
      <c r="D63" s="409" t="s">
        <v>712</v>
      </c>
      <c r="E63" s="342">
        <f>IFERROR(VLOOKUP(B63,BDFDUSD!$B:$BJ,41,FALSE),0)</f>
        <v>0</v>
      </c>
      <c r="F63" s="342">
        <f>IFERROR(VLOOKUP(B63,BDFDUSD!$B:$BJ,44,FALSE),0)</f>
        <v>0</v>
      </c>
      <c r="G63" s="342">
        <f>IFERROR(VLOOKUP(B63,BDFDUSD!$B:$BJ,47,FALSE),0)</f>
        <v>0</v>
      </c>
      <c r="H63" s="342">
        <f>IFERROR(VLOOKUP(B63,BDFDUSD!$B:$BJ,50,FALSE),0)</f>
        <v>-113.17</v>
      </c>
      <c r="I63" s="342">
        <f>IFERROR(VLOOKUP(B63,BDFDUSD!$B:$BJ,53,FALSE),0)</f>
        <v>0</v>
      </c>
      <c r="J63" s="342">
        <f>IFERROR(VLOOKUP(B63,BDFDUSD!$B:$BJ,56,FALSE),0)</f>
        <v>0</v>
      </c>
      <c r="K63" s="342">
        <f>IFERROR(VLOOKUP(B63,BDFDUSD!$B:$BJ,59,FALSE),0)</f>
        <v>0</v>
      </c>
      <c r="L63" s="516">
        <f>BDPPTO!L63*BDPPTOUSD!$AP63</f>
        <v>0</v>
      </c>
      <c r="M63" s="516">
        <f>BDPPTO!M63*BDPPTOUSD!$AP63</f>
        <v>0</v>
      </c>
      <c r="N63" s="516">
        <f>BDPPTO!N63*BDPPTOUSD!$AP63</f>
        <v>0</v>
      </c>
      <c r="O63" s="516">
        <f>BDPPTO!O63*BDPPTOUSD!$AP63</f>
        <v>0</v>
      </c>
      <c r="P63" s="516">
        <f>BDPPTO!P63*BDPPTOUSD!$AP63</f>
        <v>0</v>
      </c>
      <c r="Q63" s="343">
        <f t="shared" si="8"/>
        <v>-113.17</v>
      </c>
      <c r="R63" s="346"/>
      <c r="S63" s="346"/>
      <c r="T63" s="458"/>
      <c r="U63" s="458"/>
      <c r="V63" s="339"/>
      <c r="W63" s="518"/>
      <c r="X63" s="401"/>
      <c r="Y63" s="342"/>
      <c r="Z63" s="342"/>
      <c r="AA63" s="342"/>
      <c r="AB63" s="342"/>
      <c r="AC63" s="342"/>
      <c r="AD63" s="342"/>
      <c r="AE63" s="342"/>
      <c r="AF63" s="342"/>
      <c r="AG63" s="342"/>
      <c r="AH63" s="342"/>
      <c r="AI63" s="342"/>
      <c r="AJ63" s="342"/>
      <c r="AK63" s="343"/>
      <c r="AM63" s="457"/>
      <c r="AN63" s="513">
        <f t="shared" si="6"/>
        <v>-113.17</v>
      </c>
      <c r="AO63" s="513">
        <f t="shared" si="7"/>
        <v>0</v>
      </c>
      <c r="AP63" s="515"/>
    </row>
    <row r="64" spans="2:44" x14ac:dyDescent="0.25">
      <c r="B64" s="339">
        <v>13159</v>
      </c>
      <c r="C64" s="519"/>
      <c r="D64" s="409" t="s">
        <v>713</v>
      </c>
      <c r="E64" s="342">
        <f>IFERROR(VLOOKUP(B64,BDFDUSD!$B:$BJ,41,FALSE),0)</f>
        <v>0</v>
      </c>
      <c r="F64" s="342">
        <f>IFERROR(VLOOKUP(B64,BDFDUSD!$B:$BJ,44,FALSE),0)</f>
        <v>0</v>
      </c>
      <c r="G64" s="342">
        <f>IFERROR(VLOOKUP(B64,BDFDUSD!$B:$BJ,47,FALSE),0)</f>
        <v>46620</v>
      </c>
      <c r="H64" s="342">
        <f>IFERROR(VLOOKUP(B64,BDFDUSD!$B:$BJ,50,FALSE),0)</f>
        <v>113839.75</v>
      </c>
      <c r="I64" s="342">
        <f>IFERROR(VLOOKUP(B64,BDFDUSD!$B:$BJ,53,FALSE),0)</f>
        <v>75263.960000000006</v>
      </c>
      <c r="J64" s="342">
        <f>IFERROR(VLOOKUP(B64,BDFDUSD!$B:$BJ,56,FALSE),0)</f>
        <v>27100.52</v>
      </c>
      <c r="K64" s="342">
        <f>IFERROR(VLOOKUP(B64,BDFDUSD!$B:$BJ,59,FALSE),0)</f>
        <v>43261.89</v>
      </c>
      <c r="L64" s="516">
        <f>BDPPTO!L64*BDPPTOUSD!$AP64</f>
        <v>33989.759999999995</v>
      </c>
      <c r="M64" s="516">
        <f>BDPPTO!M64*BDPPTOUSD!$AP64</f>
        <v>36255.743999999999</v>
      </c>
      <c r="N64" s="516">
        <f>BDPPTO!N64*BDPPTOUSD!$AP64</f>
        <v>36255.743999999999</v>
      </c>
      <c r="O64" s="516">
        <f>BDPPTO!O64*BDPPTOUSD!$AP64</f>
        <v>39277.055999999997</v>
      </c>
      <c r="P64" s="516">
        <f>BDPPTO!P64*BDPPTOUSD!$AP64</f>
        <v>36255.743999999999</v>
      </c>
      <c r="Q64" s="343">
        <f t="shared" si="8"/>
        <v>488120.16800000006</v>
      </c>
      <c r="R64" s="346"/>
      <c r="S64" s="346"/>
      <c r="T64" s="458"/>
      <c r="U64" s="458"/>
      <c r="V64" s="339"/>
      <c r="W64" s="518"/>
      <c r="X64" s="401"/>
      <c r="Y64" s="342"/>
      <c r="Z64" s="342"/>
      <c r="AA64" s="342"/>
      <c r="AB64" s="342"/>
      <c r="AC64" s="342"/>
      <c r="AD64" s="342"/>
      <c r="AE64" s="342"/>
      <c r="AF64" s="342"/>
      <c r="AG64" s="342"/>
      <c r="AH64" s="342"/>
      <c r="AI64" s="342"/>
      <c r="AJ64" s="342"/>
      <c r="AK64" s="343"/>
      <c r="AM64" s="457"/>
      <c r="AN64" s="513">
        <f t="shared" si="6"/>
        <v>306086.12000000005</v>
      </c>
      <c r="AO64" s="513">
        <f t="shared" si="7"/>
        <v>182034.04800000001</v>
      </c>
      <c r="AP64" s="515">
        <f>11.24-(11.24*0.078)-(11.24*0.25)</f>
        <v>7.5532799999999991</v>
      </c>
    </row>
    <row r="65" spans="2:44" x14ac:dyDescent="0.25">
      <c r="B65" s="339">
        <v>13038</v>
      </c>
      <c r="C65" s="398" t="s">
        <v>82</v>
      </c>
      <c r="D65" s="401" t="s">
        <v>83</v>
      </c>
      <c r="E65" s="342">
        <f>IFERROR(VLOOKUP(B65,BDFDUSD!$B:$BJ,41,FALSE),0)</f>
        <v>25903.59</v>
      </c>
      <c r="F65" s="342">
        <f>IFERROR(VLOOKUP(B65,BDFDUSD!$B:$BJ,44,FALSE),0)</f>
        <v>40382.379999999997</v>
      </c>
      <c r="G65" s="342">
        <f>IFERROR(VLOOKUP(B65,BDFDUSD!$B:$BJ,47,FALSE),0)</f>
        <v>47540.31</v>
      </c>
      <c r="H65" s="342">
        <f>IFERROR(VLOOKUP(B65,BDFDUSD!$B:$BJ,50,FALSE),0)</f>
        <v>74668.710000000006</v>
      </c>
      <c r="I65" s="342">
        <f>IFERROR(VLOOKUP(B65,BDFDUSD!$B:$BJ,53,FALSE),0)</f>
        <v>61805.72</v>
      </c>
      <c r="J65" s="342">
        <f>IFERROR(VLOOKUP(B65,BDFDUSD!$B:$BJ,56,FALSE),0)</f>
        <v>15019.67</v>
      </c>
      <c r="K65" s="342">
        <f>IFERROR(VLOOKUP(B65,BDFDUSD!$B:$BJ,59,FALSE),0)</f>
        <v>39771.25</v>
      </c>
      <c r="L65" s="516">
        <f>BDPPTO!L65*BDPPTOUSD!$AP65</f>
        <v>44831.254408307213</v>
      </c>
      <c r="M65" s="516">
        <f>BDPPTO!M65*BDPPTOUSD!$AP65</f>
        <v>50808.754996081509</v>
      </c>
      <c r="N65" s="516">
        <f>BDPPTO!N65*BDPPTOUSD!$AP65</f>
        <v>50808.754996081509</v>
      </c>
      <c r="O65" s="516">
        <f>BDPPTO!O65*BDPPTOUSD!$AP65</f>
        <v>50808.754996081509</v>
      </c>
      <c r="P65" s="516">
        <f>BDPPTO!P65*BDPPTOUSD!$AP65</f>
        <v>50808.754996081509</v>
      </c>
      <c r="Q65" s="343">
        <f t="shared" si="8"/>
        <v>553157.90439263324</v>
      </c>
      <c r="R65" s="346">
        <v>474430.52669523872</v>
      </c>
      <c r="S65" s="346">
        <v>623628.06495501962</v>
      </c>
      <c r="T65" s="458"/>
      <c r="U65" s="458"/>
      <c r="V65" s="339">
        <v>13038</v>
      </c>
      <c r="W65" s="398" t="s">
        <v>82</v>
      </c>
      <c r="X65" s="401" t="s">
        <v>83</v>
      </c>
      <c r="Y65" s="342">
        <v>1167.966913455876</v>
      </c>
      <c r="Z65" s="342">
        <v>1217.3176281089413</v>
      </c>
      <c r="AA65" s="342">
        <v>1316.0190574150715</v>
      </c>
      <c r="AB65" s="342">
        <v>1414.720486721202</v>
      </c>
      <c r="AC65" s="342">
        <v>1480.5214395919554</v>
      </c>
      <c r="AD65" s="342">
        <v>1447.6209631565787</v>
      </c>
      <c r="AE65" s="342">
        <v>1431.1707249388901</v>
      </c>
      <c r="AF65" s="342">
        <v>1316.0190574150715</v>
      </c>
      <c r="AG65" s="342">
        <v>1480.5214395919554</v>
      </c>
      <c r="AH65" s="342">
        <v>1513.4219160273324</v>
      </c>
      <c r="AI65" s="342">
        <v>1381.8200102858252</v>
      </c>
      <c r="AJ65" s="342">
        <v>1283.1185809796948</v>
      </c>
      <c r="AK65" s="343">
        <v>16450.238217688395</v>
      </c>
      <c r="AM65" s="457"/>
      <c r="AN65" s="513">
        <f t="shared" si="6"/>
        <v>305091.63</v>
      </c>
      <c r="AO65" s="513">
        <f t="shared" si="7"/>
        <v>248066.27439263329</v>
      </c>
      <c r="AP65" s="515">
        <f>AN65/BDPPTO!BH65</f>
        <v>29.887502938871474</v>
      </c>
      <c r="AR65" s="346">
        <f>+Q65</f>
        <v>553157.90439263324</v>
      </c>
    </row>
    <row r="66" spans="2:44" x14ac:dyDescent="0.25">
      <c r="B66" s="339">
        <v>13060</v>
      </c>
      <c r="C66" s="374" t="s">
        <v>69</v>
      </c>
      <c r="D66" s="401" t="s">
        <v>70</v>
      </c>
      <c r="E66" s="342">
        <f>IFERROR(VLOOKUP(B66,BDFDUSD!$B:$BJ,41,FALSE),0)</f>
        <v>19165.669999999998</v>
      </c>
      <c r="F66" s="342">
        <f>IFERROR(VLOOKUP(B66,BDFDUSD!$B:$BJ,44,FALSE),0)</f>
        <v>47990.73</v>
      </c>
      <c r="G66" s="342">
        <f>IFERROR(VLOOKUP(B66,BDFDUSD!$B:$BJ,47,FALSE),0)</f>
        <v>74388.27</v>
      </c>
      <c r="H66" s="342">
        <f>IFERROR(VLOOKUP(B66,BDFDUSD!$B:$BJ,50,FALSE),0)</f>
        <v>29660.61</v>
      </c>
      <c r="I66" s="342">
        <f>IFERROR(VLOOKUP(B66,BDFDUSD!$B:$BJ,53,FALSE),0)</f>
        <v>41909.1</v>
      </c>
      <c r="J66" s="342">
        <f>IFERROR(VLOOKUP(B66,BDFDUSD!$B:$BJ,56,FALSE),0)</f>
        <v>74556.19</v>
      </c>
      <c r="K66" s="342">
        <f>IFERROR(VLOOKUP(B66,BDFDUSD!$B:$BJ,59,FALSE),0)</f>
        <v>-1913.67</v>
      </c>
      <c r="L66" s="516">
        <f>BDPPTO!L66*BDPPTOUSD!$AP66</f>
        <v>0</v>
      </c>
      <c r="M66" s="516">
        <f>BDPPTO!M66*BDPPTOUSD!$AP66</f>
        <v>0</v>
      </c>
      <c r="N66" s="516">
        <f>BDPPTO!N66*BDPPTOUSD!$AP66</f>
        <v>0</v>
      </c>
      <c r="O66" s="516">
        <f>BDPPTO!O66*BDPPTOUSD!$AP66</f>
        <v>0</v>
      </c>
      <c r="P66" s="516">
        <f>BDPPTO!P66*BDPPTOUSD!$AP66</f>
        <v>0</v>
      </c>
      <c r="Q66" s="343">
        <f t="shared" si="8"/>
        <v>285756.89999999997</v>
      </c>
      <c r="R66" s="346">
        <v>163844.05602229197</v>
      </c>
      <c r="S66" s="346">
        <v>161435.21970103215</v>
      </c>
      <c r="T66" s="458"/>
      <c r="U66" s="458"/>
      <c r="V66" s="339">
        <v>13060</v>
      </c>
      <c r="W66" s="374" t="s">
        <v>69</v>
      </c>
      <c r="X66" s="401" t="s">
        <v>70</v>
      </c>
      <c r="Y66" s="342">
        <v>1358.0130743382945</v>
      </c>
      <c r="Z66" s="342">
        <v>1415.3939084652648</v>
      </c>
      <c r="AA66" s="342">
        <v>1530.1555767192053</v>
      </c>
      <c r="AB66" s="342">
        <v>1644.9172449731452</v>
      </c>
      <c r="AC66" s="342">
        <v>1721.4250238091058</v>
      </c>
      <c r="AD66" s="342">
        <v>1683.1711343911256</v>
      </c>
      <c r="AE66" s="342">
        <v>712.8069887145864</v>
      </c>
      <c r="AF66" s="342">
        <v>655.45470226628652</v>
      </c>
      <c r="AG66" s="342">
        <v>737.3865400495722</v>
      </c>
      <c r="AH66" s="342">
        <v>753.7729076062293</v>
      </c>
      <c r="AI66" s="342">
        <v>688.2274373796007</v>
      </c>
      <c r="AJ66" s="342">
        <v>639.06833470962931</v>
      </c>
      <c r="AK66" s="343">
        <v>13539.792873422046</v>
      </c>
      <c r="AM66" s="457"/>
      <c r="AN66" s="513">
        <f t="shared" si="6"/>
        <v>285756.89999999997</v>
      </c>
      <c r="AO66" s="513">
        <f t="shared" si="7"/>
        <v>0</v>
      </c>
      <c r="AP66" s="515">
        <f>AN66/BDPPTO!BH66</f>
        <v>12.655310008857395</v>
      </c>
      <c r="AR66" s="346">
        <f>SUM(Q66:Q75)</f>
        <v>2283351.2696566703</v>
      </c>
    </row>
    <row r="67" spans="2:44" x14ac:dyDescent="0.25">
      <c r="B67" s="339">
        <v>13061</v>
      </c>
      <c r="C67" s="363"/>
      <c r="D67" s="401" t="s">
        <v>71</v>
      </c>
      <c r="E67" s="342">
        <f>IFERROR(VLOOKUP(B67,BDFDUSD!$B:$BJ,41,FALSE),0)</f>
        <v>5478.12</v>
      </c>
      <c r="F67" s="342">
        <f>IFERROR(VLOOKUP(B67,BDFDUSD!$B:$BJ,44,FALSE),0)</f>
        <v>11408.37</v>
      </c>
      <c r="G67" s="342">
        <f>IFERROR(VLOOKUP(B67,BDFDUSD!$B:$BJ,47,FALSE),0)</f>
        <v>10932.83</v>
      </c>
      <c r="H67" s="342">
        <f>IFERROR(VLOOKUP(B67,BDFDUSD!$B:$BJ,50,FALSE),0)</f>
        <v>33886.94</v>
      </c>
      <c r="I67" s="342">
        <f>IFERROR(VLOOKUP(B67,BDFDUSD!$B:$BJ,53,FALSE),0)</f>
        <v>12700.52</v>
      </c>
      <c r="J67" s="342">
        <f>IFERROR(VLOOKUP(B67,BDFDUSD!$B:$BJ,56,FALSE),0)</f>
        <v>1258.57</v>
      </c>
      <c r="K67" s="342">
        <f>IFERROR(VLOOKUP(B67,BDFDUSD!$B:$BJ,59,FALSE),0)</f>
        <v>-2849.45</v>
      </c>
      <c r="L67" s="516">
        <f>BDPPTO!L67*BDPPTOUSD!$AP67</f>
        <v>0</v>
      </c>
      <c r="M67" s="516">
        <f>BDPPTO!M67*BDPPTOUSD!$AP67</f>
        <v>0</v>
      </c>
      <c r="N67" s="516">
        <f>BDPPTO!N67*BDPPTOUSD!$AP67</f>
        <v>0</v>
      </c>
      <c r="O67" s="516">
        <f>BDPPTO!O67*BDPPTOUSD!$AP67</f>
        <v>0</v>
      </c>
      <c r="P67" s="516">
        <f>BDPPTO!P67*BDPPTOUSD!$AP67</f>
        <v>0</v>
      </c>
      <c r="Q67" s="343">
        <f t="shared" si="8"/>
        <v>72815.900000000009</v>
      </c>
      <c r="R67" s="346">
        <v>113899.96372304534</v>
      </c>
      <c r="S67" s="346">
        <v>116787.75607320655</v>
      </c>
      <c r="T67" s="346"/>
      <c r="U67" s="346"/>
      <c r="V67" s="339">
        <v>13061</v>
      </c>
      <c r="W67" s="363"/>
      <c r="X67" s="401" t="s">
        <v>71</v>
      </c>
      <c r="Y67" s="342">
        <v>1073.3447948640758</v>
      </c>
      <c r="Z67" s="342">
        <v>1118.6973918301633</v>
      </c>
      <c r="AA67" s="342">
        <v>1209.402585762339</v>
      </c>
      <c r="AB67" s="342">
        <v>1300.1077796945142</v>
      </c>
      <c r="AC67" s="342">
        <v>1360.5779089826312</v>
      </c>
      <c r="AD67" s="342">
        <v>1330.3428443385726</v>
      </c>
      <c r="AE67" s="342">
        <v>654.01914422680568</v>
      </c>
      <c r="AF67" s="342">
        <v>601.39691423154557</v>
      </c>
      <c r="AG67" s="342">
        <v>676.57152851048875</v>
      </c>
      <c r="AH67" s="342">
        <v>691.60645136627738</v>
      </c>
      <c r="AI67" s="342">
        <v>631.46675994312272</v>
      </c>
      <c r="AJ67" s="342">
        <v>586.36199137575682</v>
      </c>
      <c r="AK67" s="343">
        <v>11233.896095126294</v>
      </c>
      <c r="AM67" s="457"/>
      <c r="AN67" s="513">
        <f t="shared" si="6"/>
        <v>72815.900000000009</v>
      </c>
      <c r="AO67" s="513">
        <f t="shared" si="7"/>
        <v>0</v>
      </c>
      <c r="AP67" s="515">
        <f>AN67/BDPPTO!BH67</f>
        <v>2.4835737917391456</v>
      </c>
    </row>
    <row r="68" spans="2:44" x14ac:dyDescent="0.25">
      <c r="B68" s="339">
        <v>13062</v>
      </c>
      <c r="C68" s="363"/>
      <c r="D68" s="401" t="s">
        <v>72</v>
      </c>
      <c r="E68" s="342">
        <f>IFERROR(VLOOKUP(B68,BDFDUSD!$B:$BJ,41,FALSE),0)</f>
        <v>32613.360000000001</v>
      </c>
      <c r="F68" s="342">
        <f>IFERROR(VLOOKUP(B68,BDFDUSD!$B:$BJ,44,FALSE),0)</f>
        <v>31936.58</v>
      </c>
      <c r="G68" s="342">
        <f>IFERROR(VLOOKUP(B68,BDFDUSD!$B:$BJ,47,FALSE),0)</f>
        <v>41568.28</v>
      </c>
      <c r="H68" s="342">
        <f>IFERROR(VLOOKUP(B68,BDFDUSD!$B:$BJ,50,FALSE),0)</f>
        <v>-2515.61</v>
      </c>
      <c r="I68" s="342">
        <f>IFERROR(VLOOKUP(B68,BDFDUSD!$B:$BJ,53,FALSE),0)</f>
        <v>66788.37</v>
      </c>
      <c r="J68" s="342">
        <f>IFERROR(VLOOKUP(B68,BDFDUSD!$B:$BJ,56,FALSE),0)</f>
        <v>21204.95</v>
      </c>
      <c r="K68" s="342">
        <f>IFERROR(VLOOKUP(B68,BDFDUSD!$B:$BJ,59,FALSE),0)</f>
        <v>25908.91</v>
      </c>
      <c r="L68" s="516">
        <f>BDPPTO!L68*BDPPTOUSD!$AP68</f>
        <v>27097.200000000001</v>
      </c>
      <c r="M68" s="516">
        <f>BDPPTO!M68*BDPPTOUSD!$AP68</f>
        <v>27097.200000000001</v>
      </c>
      <c r="N68" s="516">
        <f>BDPPTO!N68*BDPPTOUSD!$AP68</f>
        <v>27097.200000000001</v>
      </c>
      <c r="O68" s="516">
        <f>BDPPTO!O68*BDPPTOUSD!$AP68</f>
        <v>28903.68</v>
      </c>
      <c r="P68" s="516">
        <f>BDPPTO!P68*BDPPTOUSD!$AP68</f>
        <v>25290.720000000001</v>
      </c>
      <c r="Q68" s="343">
        <f t="shared" si="8"/>
        <v>352990.83999999997</v>
      </c>
      <c r="R68" s="346">
        <v>182819.73438617704</v>
      </c>
      <c r="S68" s="346">
        <v>177093.2347371433</v>
      </c>
      <c r="T68" s="346"/>
      <c r="U68" s="346"/>
      <c r="V68" s="339">
        <v>13062</v>
      </c>
      <c r="W68" s="363"/>
      <c r="X68" s="401" t="s">
        <v>72</v>
      </c>
      <c r="Y68" s="342">
        <v>1734.3128135450449</v>
      </c>
      <c r="Z68" s="342">
        <v>1807.5936366525821</v>
      </c>
      <c r="AA68" s="342">
        <v>1954.1552828676565</v>
      </c>
      <c r="AB68" s="342">
        <v>2100.7169290827301</v>
      </c>
      <c r="AC68" s="342">
        <v>2198.4246932261135</v>
      </c>
      <c r="AD68" s="342">
        <v>2149.5708111544218</v>
      </c>
      <c r="AE68" s="342">
        <v>727.45309400212784</v>
      </c>
      <c r="AF68" s="342">
        <v>668.92238528931318</v>
      </c>
      <c r="AG68" s="342">
        <v>752.53768345047729</v>
      </c>
      <c r="AH68" s="342">
        <v>769.26074308271006</v>
      </c>
      <c r="AI68" s="342">
        <v>702.36850455377885</v>
      </c>
      <c r="AJ68" s="342">
        <v>652.19932565708029</v>
      </c>
      <c r="AK68" s="343">
        <v>16217.515902564039</v>
      </c>
      <c r="AM68" s="457"/>
      <c r="AN68" s="513">
        <f t="shared" si="6"/>
        <v>217504.84</v>
      </c>
      <c r="AO68" s="513">
        <f t="shared" si="7"/>
        <v>135486</v>
      </c>
      <c r="AP68">
        <f>4.68-(4.68*0.078)-(4.68*0.15)</f>
        <v>3.6129600000000002</v>
      </c>
    </row>
    <row r="69" spans="2:44" x14ac:dyDescent="0.25">
      <c r="B69" s="339">
        <v>13063</v>
      </c>
      <c r="C69" s="363"/>
      <c r="D69" s="401" t="s">
        <v>73</v>
      </c>
      <c r="E69" s="342">
        <f>IFERROR(VLOOKUP(B69,BDFDUSD!$B:$BJ,41,FALSE),0)</f>
        <v>84781.3</v>
      </c>
      <c r="F69" s="342">
        <f>IFERROR(VLOOKUP(B69,BDFDUSD!$B:$BJ,44,FALSE),0)</f>
        <v>116491.15</v>
      </c>
      <c r="G69" s="342">
        <f>IFERROR(VLOOKUP(B69,BDFDUSD!$B:$BJ,47,FALSE),0)</f>
        <v>97210.38</v>
      </c>
      <c r="H69" s="342">
        <f>IFERROR(VLOOKUP(B69,BDFDUSD!$B:$BJ,50,FALSE),0)</f>
        <v>88765.56</v>
      </c>
      <c r="I69" s="342">
        <f>IFERROR(VLOOKUP(B69,BDFDUSD!$B:$BJ,53,FALSE),0)</f>
        <v>119564.65</v>
      </c>
      <c r="J69" s="342">
        <f>IFERROR(VLOOKUP(B69,BDFDUSD!$B:$BJ,56,FALSE),0)</f>
        <v>175902.96</v>
      </c>
      <c r="K69" s="342">
        <f>IFERROR(VLOOKUP(B69,BDFDUSD!$B:$BJ,59,FALSE),0)</f>
        <v>47193.51</v>
      </c>
      <c r="L69" s="516">
        <f>BDPPTO!L69*BDPPTOUSD!$AP69</f>
        <v>106350.06636113171</v>
      </c>
      <c r="M69" s="516">
        <f>BDPPTO!M69*BDPPTOUSD!$AP69</f>
        <v>106350.06636113171</v>
      </c>
      <c r="N69" s="516">
        <f>BDPPTO!N69*BDPPTOUSD!$AP69</f>
        <v>106350.06636113171</v>
      </c>
      <c r="O69" s="516">
        <f>BDPPTO!O69*BDPPTOUSD!$AP69</f>
        <v>116018.25421214369</v>
      </c>
      <c r="P69" s="516">
        <f>BDPPTO!P69*BDPPTOUSD!$AP69</f>
        <v>106350.06636113171</v>
      </c>
      <c r="Q69" s="343">
        <f t="shared" si="8"/>
        <v>1271328.0296566703</v>
      </c>
      <c r="R69" s="346">
        <v>802477.63144712674</v>
      </c>
      <c r="S69" s="346">
        <v>793601.81229093717</v>
      </c>
      <c r="T69" s="346"/>
      <c r="U69" s="346"/>
      <c r="V69" s="339">
        <v>13063</v>
      </c>
      <c r="W69" s="363"/>
      <c r="X69" s="401" t="s">
        <v>73</v>
      </c>
      <c r="Y69" s="342">
        <v>7724.0890904183962</v>
      </c>
      <c r="Z69" s="342">
        <v>8050.4590519853691</v>
      </c>
      <c r="AA69" s="342">
        <v>8703.1989751193214</v>
      </c>
      <c r="AB69" s="342">
        <v>9355.9388982532673</v>
      </c>
      <c r="AC69" s="342">
        <v>9791.0988470092343</v>
      </c>
      <c r="AD69" s="342">
        <v>9573.5188726312517</v>
      </c>
      <c r="AE69" s="342">
        <v>2483.3924861957635</v>
      </c>
      <c r="AF69" s="342">
        <v>2283.5792976512771</v>
      </c>
      <c r="AG69" s="342">
        <v>2569.026709857686</v>
      </c>
      <c r="AH69" s="342">
        <v>2626.1161922989686</v>
      </c>
      <c r="AI69" s="342">
        <v>2397.7582625338405</v>
      </c>
      <c r="AJ69" s="342">
        <v>2226.489815209995</v>
      </c>
      <c r="AK69" s="343">
        <v>67784.666499164363</v>
      </c>
      <c r="AM69" s="457"/>
      <c r="AN69" s="513">
        <f t="shared" si="6"/>
        <v>729909.51</v>
      </c>
      <c r="AO69" s="513">
        <f t="shared" si="7"/>
        <v>541418.51965667051</v>
      </c>
      <c r="AP69" s="515">
        <f>AN69/BDPPTO!BH69</f>
        <v>19.336375702023947</v>
      </c>
    </row>
    <row r="70" spans="2:44" x14ac:dyDescent="0.25">
      <c r="B70" s="339"/>
      <c r="C70" s="363"/>
      <c r="D70" s="401" t="s">
        <v>510</v>
      </c>
      <c r="E70" s="342">
        <f>IFERROR(VLOOKUP(B70,BDFDUSD!$B:$BJ,41,FALSE),0)</f>
        <v>0</v>
      </c>
      <c r="F70" s="342">
        <f>IFERROR(VLOOKUP(B70,BDFDUSD!$B:$BJ,44,FALSE),0)</f>
        <v>0</v>
      </c>
      <c r="G70" s="342">
        <f>IFERROR(VLOOKUP(B70,BDFDUSD!$B:$BJ,47,FALSE),0)</f>
        <v>0</v>
      </c>
      <c r="H70" s="342">
        <f>IFERROR(VLOOKUP(B70,BDFDUSD!$B:$BJ,50,FALSE),0)</f>
        <v>0</v>
      </c>
      <c r="I70" s="342">
        <f>IFERROR(VLOOKUP(B70,BDFDUSD!$B:$BJ,53,FALSE),0)</f>
        <v>0</v>
      </c>
      <c r="J70" s="342">
        <f>IFERROR(VLOOKUP(B70,BDFDUSD!$B:$BJ,56,FALSE),0)</f>
        <v>0</v>
      </c>
      <c r="K70" s="342">
        <f>IFERROR(VLOOKUP(B70,BDFDUSD!$B:$BJ,59,FALSE),0)</f>
        <v>0</v>
      </c>
      <c r="L70" s="516">
        <f>BDPPTO!L70*BDPPTOUSD!$AP70</f>
        <v>0</v>
      </c>
      <c r="M70" s="516">
        <f>BDPPTO!M70*BDPPTOUSD!$AP70</f>
        <v>0</v>
      </c>
      <c r="N70" s="516">
        <f>BDPPTO!N70*BDPPTOUSD!$AP70</f>
        <v>0</v>
      </c>
      <c r="O70" s="516">
        <f>BDPPTO!O70*BDPPTOUSD!$AP70</f>
        <v>0</v>
      </c>
      <c r="P70" s="516">
        <f>BDPPTO!P70*BDPPTOUSD!$AP70</f>
        <v>0</v>
      </c>
      <c r="Q70" s="343">
        <f t="shared" si="8"/>
        <v>0</v>
      </c>
      <c r="R70" s="346">
        <v>0</v>
      </c>
      <c r="S70" s="346">
        <v>0</v>
      </c>
      <c r="T70" s="346"/>
      <c r="U70" s="346"/>
      <c r="V70" s="339">
        <v>44444</v>
      </c>
      <c r="W70" s="363"/>
      <c r="X70" s="401" t="s">
        <v>510</v>
      </c>
      <c r="Y70" s="342">
        <v>0</v>
      </c>
      <c r="Z70" s="342">
        <v>0</v>
      </c>
      <c r="AA70" s="342">
        <v>0</v>
      </c>
      <c r="AB70" s="342">
        <v>0</v>
      </c>
      <c r="AC70" s="342">
        <v>0</v>
      </c>
      <c r="AD70" s="342">
        <v>0</v>
      </c>
      <c r="AE70" s="342">
        <v>0</v>
      </c>
      <c r="AF70" s="342">
        <v>0</v>
      </c>
      <c r="AG70" s="342">
        <v>0</v>
      </c>
      <c r="AH70" s="342">
        <v>0</v>
      </c>
      <c r="AI70" s="342">
        <v>0</v>
      </c>
      <c r="AJ70" s="342">
        <v>0</v>
      </c>
      <c r="AK70" s="343">
        <v>0</v>
      </c>
      <c r="AM70" s="457"/>
      <c r="AN70" s="513">
        <f t="shared" si="6"/>
        <v>0</v>
      </c>
      <c r="AO70" s="513">
        <f t="shared" si="7"/>
        <v>0</v>
      </c>
      <c r="AP70" s="515">
        <v>0</v>
      </c>
    </row>
    <row r="71" spans="2:44" x14ac:dyDescent="0.25">
      <c r="B71" s="339"/>
      <c r="C71" s="363"/>
      <c r="D71" s="401" t="s">
        <v>509</v>
      </c>
      <c r="E71" s="342">
        <f>IFERROR(VLOOKUP(B71,BDFDUSD!$B:$BJ,41,FALSE),0)</f>
        <v>0</v>
      </c>
      <c r="F71" s="342">
        <f>IFERROR(VLOOKUP(B71,BDFDUSD!$B:$BJ,44,FALSE),0)</f>
        <v>0</v>
      </c>
      <c r="G71" s="342">
        <f>IFERROR(VLOOKUP(B71,BDFDUSD!$B:$BJ,47,FALSE),0)</f>
        <v>0</v>
      </c>
      <c r="H71" s="342">
        <f>IFERROR(VLOOKUP(B71,BDFDUSD!$B:$BJ,50,FALSE),0)</f>
        <v>0</v>
      </c>
      <c r="I71" s="342">
        <f>IFERROR(VLOOKUP(B71,BDFDUSD!$B:$BJ,53,FALSE),0)</f>
        <v>0</v>
      </c>
      <c r="J71" s="342">
        <f>IFERROR(VLOOKUP(B71,BDFDUSD!$B:$BJ,56,FALSE),0)</f>
        <v>0</v>
      </c>
      <c r="K71" s="342">
        <f>IFERROR(VLOOKUP(B71,BDFDUSD!$B:$BJ,59,FALSE),0)</f>
        <v>0</v>
      </c>
      <c r="L71" s="516">
        <f>BDPPTO!L71*BDPPTOUSD!$AP71</f>
        <v>0</v>
      </c>
      <c r="M71" s="516">
        <f>BDPPTO!M71*BDPPTOUSD!$AP71</f>
        <v>0</v>
      </c>
      <c r="N71" s="516">
        <f>BDPPTO!N71*BDPPTOUSD!$AP71</f>
        <v>0</v>
      </c>
      <c r="O71" s="516">
        <f>BDPPTO!O71*BDPPTOUSD!$AP71</f>
        <v>0</v>
      </c>
      <c r="P71" s="516">
        <f>BDPPTO!P71*BDPPTOUSD!$AP71</f>
        <v>0</v>
      </c>
      <c r="Q71" s="343">
        <f t="shared" si="8"/>
        <v>0</v>
      </c>
      <c r="R71" s="346">
        <v>0</v>
      </c>
      <c r="S71" s="346">
        <v>0</v>
      </c>
      <c r="T71" s="346"/>
      <c r="U71" s="346"/>
      <c r="V71" s="339">
        <v>55555</v>
      </c>
      <c r="W71" s="363"/>
      <c r="X71" s="401" t="s">
        <v>509</v>
      </c>
      <c r="Y71" s="342">
        <v>0</v>
      </c>
      <c r="Z71" s="342">
        <v>0</v>
      </c>
      <c r="AA71" s="342">
        <v>0</v>
      </c>
      <c r="AB71" s="342">
        <v>0</v>
      </c>
      <c r="AC71" s="342">
        <v>0</v>
      </c>
      <c r="AD71" s="342">
        <v>0</v>
      </c>
      <c r="AE71" s="342">
        <v>0</v>
      </c>
      <c r="AF71" s="342">
        <v>0</v>
      </c>
      <c r="AG71" s="342">
        <v>0</v>
      </c>
      <c r="AH71" s="342">
        <v>0</v>
      </c>
      <c r="AI71" s="342">
        <v>0</v>
      </c>
      <c r="AJ71" s="342">
        <v>0</v>
      </c>
      <c r="AK71" s="343">
        <v>0</v>
      </c>
      <c r="AM71" s="457"/>
      <c r="AN71" s="513">
        <f t="shared" si="6"/>
        <v>0</v>
      </c>
      <c r="AO71" s="513">
        <f t="shared" si="7"/>
        <v>0</v>
      </c>
      <c r="AP71" s="515">
        <v>0</v>
      </c>
    </row>
    <row r="72" spans="2:44" x14ac:dyDescent="0.25">
      <c r="B72" s="339"/>
      <c r="C72" s="363"/>
      <c r="D72" s="401" t="s">
        <v>511</v>
      </c>
      <c r="E72" s="342">
        <f>IFERROR(VLOOKUP(B72,BDFDUSD!$B:$BJ,41,FALSE),0)</f>
        <v>0</v>
      </c>
      <c r="F72" s="342">
        <f>IFERROR(VLOOKUP(B72,BDFDUSD!$B:$BJ,44,FALSE),0)</f>
        <v>0</v>
      </c>
      <c r="G72" s="342">
        <f>IFERROR(VLOOKUP(B72,BDFDUSD!$B:$BJ,47,FALSE),0)</f>
        <v>0</v>
      </c>
      <c r="H72" s="342">
        <f>IFERROR(VLOOKUP(B72,BDFDUSD!$B:$BJ,50,FALSE),0)</f>
        <v>0</v>
      </c>
      <c r="I72" s="342">
        <f>IFERROR(VLOOKUP(B72,BDFDUSD!$B:$BJ,53,FALSE),0)</f>
        <v>0</v>
      </c>
      <c r="J72" s="342">
        <f>IFERROR(VLOOKUP(B72,BDFDUSD!$B:$BJ,56,FALSE),0)</f>
        <v>0</v>
      </c>
      <c r="K72" s="342">
        <f>IFERROR(VLOOKUP(B72,BDFDUSD!$B:$BJ,59,FALSE),0)</f>
        <v>0</v>
      </c>
      <c r="L72" s="516">
        <f>BDPPTO!L72*BDPPTOUSD!$AP72</f>
        <v>0</v>
      </c>
      <c r="M72" s="516">
        <f>BDPPTO!M72*BDPPTOUSD!$AP72</f>
        <v>0</v>
      </c>
      <c r="N72" s="516">
        <f>BDPPTO!N72*BDPPTOUSD!$AP72</f>
        <v>0</v>
      </c>
      <c r="O72" s="516">
        <f>BDPPTO!O72*BDPPTOUSD!$AP72</f>
        <v>0</v>
      </c>
      <c r="P72" s="516">
        <f>BDPPTO!P72*BDPPTOUSD!$AP72</f>
        <v>0</v>
      </c>
      <c r="Q72" s="343">
        <f t="shared" si="8"/>
        <v>0</v>
      </c>
      <c r="R72" s="346">
        <v>0</v>
      </c>
      <c r="S72" s="346">
        <v>0</v>
      </c>
      <c r="T72" s="346"/>
      <c r="U72" s="346"/>
      <c r="V72" s="339">
        <v>66666</v>
      </c>
      <c r="W72" s="363"/>
      <c r="X72" s="401" t="s">
        <v>511</v>
      </c>
      <c r="Y72" s="342">
        <v>0</v>
      </c>
      <c r="Z72" s="342">
        <v>0</v>
      </c>
      <c r="AA72" s="342">
        <v>0</v>
      </c>
      <c r="AB72" s="342">
        <v>0</v>
      </c>
      <c r="AC72" s="342">
        <v>0</v>
      </c>
      <c r="AD72" s="342">
        <v>0</v>
      </c>
      <c r="AE72" s="342">
        <v>0</v>
      </c>
      <c r="AF72" s="342">
        <v>0</v>
      </c>
      <c r="AG72" s="342">
        <v>0</v>
      </c>
      <c r="AH72" s="342">
        <v>0</v>
      </c>
      <c r="AI72" s="342">
        <v>0</v>
      </c>
      <c r="AJ72" s="342">
        <v>0</v>
      </c>
      <c r="AK72" s="343">
        <v>0</v>
      </c>
      <c r="AM72" s="457"/>
      <c r="AN72" s="513">
        <f t="shared" si="6"/>
        <v>0</v>
      </c>
      <c r="AO72" s="513">
        <f t="shared" si="7"/>
        <v>0</v>
      </c>
      <c r="AP72" s="515">
        <v>0</v>
      </c>
    </row>
    <row r="73" spans="2:44" x14ac:dyDescent="0.25">
      <c r="B73" s="339"/>
      <c r="C73" s="363"/>
      <c r="D73" s="401" t="s">
        <v>512</v>
      </c>
      <c r="E73" s="342">
        <f>IFERROR(VLOOKUP(B73,BDFDUSD!$B:$BJ,41,FALSE),0)</f>
        <v>0</v>
      </c>
      <c r="F73" s="342">
        <f>IFERROR(VLOOKUP(B73,BDFDUSD!$B:$BJ,44,FALSE),0)</f>
        <v>0</v>
      </c>
      <c r="G73" s="342">
        <f>IFERROR(VLOOKUP(B73,BDFDUSD!$B:$BJ,47,FALSE),0)</f>
        <v>0</v>
      </c>
      <c r="H73" s="342">
        <f>IFERROR(VLOOKUP(B73,BDFDUSD!$B:$BJ,50,FALSE),0)</f>
        <v>0</v>
      </c>
      <c r="I73" s="342">
        <f>IFERROR(VLOOKUP(B73,BDFDUSD!$B:$BJ,53,FALSE),0)</f>
        <v>0</v>
      </c>
      <c r="J73" s="342">
        <f>IFERROR(VLOOKUP(B73,BDFDUSD!$B:$BJ,56,FALSE),0)</f>
        <v>0</v>
      </c>
      <c r="K73" s="342">
        <f>IFERROR(VLOOKUP(B73,BDFDUSD!$B:$BJ,59,FALSE),0)</f>
        <v>0</v>
      </c>
      <c r="L73" s="516">
        <f>BDPPTO!L73*BDPPTOUSD!$AP73</f>
        <v>0</v>
      </c>
      <c r="M73" s="516">
        <f>BDPPTO!M73*BDPPTOUSD!$AP73</f>
        <v>0</v>
      </c>
      <c r="N73" s="516">
        <f>BDPPTO!N73*BDPPTOUSD!$AP73</f>
        <v>0</v>
      </c>
      <c r="O73" s="516">
        <f>BDPPTO!O73*BDPPTOUSD!$AP73</f>
        <v>0</v>
      </c>
      <c r="P73" s="516">
        <f>BDPPTO!P73*BDPPTOUSD!$AP73</f>
        <v>0</v>
      </c>
      <c r="Q73" s="343">
        <f t="shared" si="8"/>
        <v>0</v>
      </c>
      <c r="R73" s="346">
        <v>0</v>
      </c>
      <c r="S73" s="346">
        <v>0</v>
      </c>
      <c r="T73" s="346"/>
      <c r="U73" s="346"/>
      <c r="V73" s="339">
        <v>77777</v>
      </c>
      <c r="W73" s="363"/>
      <c r="X73" s="401" t="s">
        <v>512</v>
      </c>
      <c r="Y73" s="342">
        <v>0</v>
      </c>
      <c r="Z73" s="342">
        <v>0</v>
      </c>
      <c r="AA73" s="342">
        <v>0</v>
      </c>
      <c r="AB73" s="342">
        <v>0</v>
      </c>
      <c r="AC73" s="342">
        <v>0</v>
      </c>
      <c r="AD73" s="342">
        <v>0</v>
      </c>
      <c r="AE73" s="342">
        <v>0</v>
      </c>
      <c r="AF73" s="342">
        <v>0</v>
      </c>
      <c r="AG73" s="342">
        <v>0</v>
      </c>
      <c r="AH73" s="342">
        <v>0</v>
      </c>
      <c r="AI73" s="342">
        <v>0</v>
      </c>
      <c r="AJ73" s="342">
        <v>0</v>
      </c>
      <c r="AK73" s="343">
        <v>0</v>
      </c>
      <c r="AM73" s="457"/>
      <c r="AN73" s="513">
        <f t="shared" si="6"/>
        <v>0</v>
      </c>
      <c r="AO73" s="513">
        <f t="shared" si="7"/>
        <v>0</v>
      </c>
      <c r="AP73" s="515">
        <v>0</v>
      </c>
    </row>
    <row r="74" spans="2:44" x14ac:dyDescent="0.25">
      <c r="B74" s="339">
        <v>13166</v>
      </c>
      <c r="C74" s="363"/>
      <c r="D74" s="401" t="s">
        <v>569</v>
      </c>
      <c r="E74" s="342">
        <f>IFERROR(VLOOKUP(B74,BDFDUSD!$B:$BJ,41,FALSE),0)</f>
        <v>0</v>
      </c>
      <c r="F74" s="342">
        <f>IFERROR(VLOOKUP(B74,BDFDUSD!$B:$BJ,44,FALSE),0)</f>
        <v>0</v>
      </c>
      <c r="G74" s="342">
        <f>IFERROR(VLOOKUP(B74,BDFDUSD!$B:$BJ,47,FALSE),0)</f>
        <v>0</v>
      </c>
      <c r="H74" s="342">
        <f>IFERROR(VLOOKUP(B74,BDFDUSD!$B:$BJ,50,FALSE),0)</f>
        <v>0</v>
      </c>
      <c r="I74" s="342">
        <f>IFERROR(VLOOKUP(B74,BDFDUSD!$B:$BJ,53,FALSE),0)</f>
        <v>0</v>
      </c>
      <c r="J74" s="342">
        <f>IFERROR(VLOOKUP(B74,BDFDUSD!$B:$BJ,56,FALSE),0)</f>
        <v>0</v>
      </c>
      <c r="K74" s="342">
        <f>IFERROR(VLOOKUP(B74,BDFDUSD!$B:$BJ,59,FALSE),0)</f>
        <v>17422</v>
      </c>
      <c r="L74" s="516">
        <f>BDPPTO!L74*BDPPTOUSD!$AP74</f>
        <v>11010.5</v>
      </c>
      <c r="M74" s="516">
        <f>BDPPTO!M74*BDPPTOUSD!$AP74</f>
        <v>11010.5</v>
      </c>
      <c r="N74" s="516">
        <f>BDPPTO!N74*BDPPTOUSD!$AP74</f>
        <v>11010.5</v>
      </c>
      <c r="O74" s="516">
        <f>BDPPTO!O74*BDPPTOUSD!$AP74</f>
        <v>12111.550000000001</v>
      </c>
      <c r="P74" s="516">
        <f>BDPPTO!P74*BDPPTOUSD!$AP74</f>
        <v>9909.4500000000007</v>
      </c>
      <c r="Q74" s="343">
        <f t="shared" si="8"/>
        <v>72474.5</v>
      </c>
      <c r="R74" s="346"/>
      <c r="S74" s="346"/>
      <c r="T74" s="346"/>
      <c r="U74" s="346"/>
      <c r="V74" s="339"/>
      <c r="W74" s="363"/>
      <c r="X74" s="401"/>
      <c r="Y74" s="342"/>
      <c r="Z74" s="342"/>
      <c r="AA74" s="342"/>
      <c r="AB74" s="342"/>
      <c r="AC74" s="342"/>
      <c r="AD74" s="342"/>
      <c r="AE74" s="342"/>
      <c r="AF74" s="342"/>
      <c r="AG74" s="342"/>
      <c r="AH74" s="342"/>
      <c r="AI74" s="342"/>
      <c r="AJ74" s="342"/>
      <c r="AK74" s="343"/>
      <c r="AM74" s="457"/>
      <c r="AN74" s="513">
        <f t="shared" si="6"/>
        <v>17422</v>
      </c>
      <c r="AO74" s="513">
        <f t="shared" si="7"/>
        <v>55052.5</v>
      </c>
      <c r="AP74" s="515">
        <f>3.05-(3.05*0.078)-(3.05*0.2)</f>
        <v>2.2021000000000002</v>
      </c>
    </row>
    <row r="75" spans="2:44" x14ac:dyDescent="0.25">
      <c r="B75" s="339">
        <v>13165</v>
      </c>
      <c r="C75" s="363"/>
      <c r="D75" s="401" t="s">
        <v>570</v>
      </c>
      <c r="E75" s="342">
        <f>IFERROR(VLOOKUP(B75,BDFDUSD!$B:$BJ,41,FALSE),0)</f>
        <v>0</v>
      </c>
      <c r="F75" s="342">
        <f>IFERROR(VLOOKUP(B75,BDFDUSD!$B:$BJ,44,FALSE),0)</f>
        <v>0</v>
      </c>
      <c r="G75" s="342">
        <f>IFERROR(VLOOKUP(B75,BDFDUSD!$B:$BJ,47,FALSE),0)</f>
        <v>0</v>
      </c>
      <c r="H75" s="342">
        <f>IFERROR(VLOOKUP(B75,BDFDUSD!$B:$BJ,50,FALSE),0)</f>
        <v>0</v>
      </c>
      <c r="I75" s="342">
        <f>IFERROR(VLOOKUP(B75,BDFDUSD!$B:$BJ,53,FALSE),0)</f>
        <v>0</v>
      </c>
      <c r="J75" s="342">
        <f>IFERROR(VLOOKUP(B75,BDFDUSD!$B:$BJ,56,FALSE),0)</f>
        <v>0</v>
      </c>
      <c r="K75" s="342">
        <f>IFERROR(VLOOKUP(B75,BDFDUSD!$B:$BJ,59,FALSE),0)</f>
        <v>35175</v>
      </c>
      <c r="L75" s="516">
        <f>BDPPTO!L75*BDPPTOUSD!$AP75</f>
        <v>38562.020000000004</v>
      </c>
      <c r="M75" s="516">
        <f>BDPPTO!M75*BDPPTOUSD!$AP75</f>
        <v>38562.020000000004</v>
      </c>
      <c r="N75" s="516">
        <f>BDPPTO!N75*BDPPTOUSD!$AP75</f>
        <v>38562.020000000004</v>
      </c>
      <c r="O75" s="516">
        <f>BDPPTO!O75*BDPPTOUSD!$AP75</f>
        <v>44070.880000000005</v>
      </c>
      <c r="P75" s="516">
        <f>BDPPTO!P75*BDPPTOUSD!$AP75</f>
        <v>33053.160000000003</v>
      </c>
      <c r="Q75" s="343">
        <f t="shared" si="8"/>
        <v>227985.1</v>
      </c>
      <c r="R75" s="346"/>
      <c r="S75" s="346"/>
      <c r="T75" s="346"/>
      <c r="U75" s="346"/>
      <c r="V75" s="339"/>
      <c r="W75" s="363"/>
      <c r="X75" s="401"/>
      <c r="Y75" s="342"/>
      <c r="Z75" s="342"/>
      <c r="AA75" s="342"/>
      <c r="AB75" s="342"/>
      <c r="AC75" s="342"/>
      <c r="AD75" s="342"/>
      <c r="AE75" s="342"/>
      <c r="AF75" s="342"/>
      <c r="AG75" s="342"/>
      <c r="AH75" s="342"/>
      <c r="AI75" s="342"/>
      <c r="AJ75" s="342"/>
      <c r="AK75" s="343"/>
      <c r="AM75" s="457"/>
      <c r="AN75" s="513">
        <f t="shared" si="6"/>
        <v>35175</v>
      </c>
      <c r="AO75" s="513">
        <f t="shared" si="7"/>
        <v>192810.1</v>
      </c>
      <c r="AP75" s="515">
        <f>15.26-(15.26*0.078)-(15.26*0.2)</f>
        <v>11.017720000000001</v>
      </c>
    </row>
    <row r="76" spans="2:44" x14ac:dyDescent="0.25">
      <c r="B76" s="339">
        <v>13064</v>
      </c>
      <c r="C76" s="520" t="s">
        <v>100</v>
      </c>
      <c r="D76" s="401" t="s">
        <v>101</v>
      </c>
      <c r="E76" s="342">
        <f>IFERROR(VLOOKUP(B76,BDFDUSD!$B:$BJ,41,FALSE),0)</f>
        <v>-933.08</v>
      </c>
      <c r="F76" s="342">
        <f>IFERROR(VLOOKUP(B76,BDFDUSD!$B:$BJ,44,FALSE),0)</f>
        <v>-1567.96</v>
      </c>
      <c r="G76" s="342">
        <f>IFERROR(VLOOKUP(B76,BDFDUSD!$B:$BJ,47,FALSE),0)</f>
        <v>-39.54</v>
      </c>
      <c r="H76" s="342">
        <f>IFERROR(VLOOKUP(B76,BDFDUSD!$B:$BJ,50,FALSE),0)</f>
        <v>-347.86</v>
      </c>
      <c r="I76" s="342">
        <f>IFERROR(VLOOKUP(B76,BDFDUSD!$B:$BJ,53,FALSE),0)</f>
        <v>-932.67</v>
      </c>
      <c r="J76" s="342">
        <f>IFERROR(VLOOKUP(B76,BDFDUSD!$B:$BJ,56,FALSE),0)</f>
        <v>-1006.54</v>
      </c>
      <c r="K76" s="342">
        <f>IFERROR(VLOOKUP(B76,BDFDUSD!$B:$BJ,59,FALSE),0)</f>
        <v>-705.03</v>
      </c>
      <c r="L76" s="516">
        <f>BDPPTO!L76*BDPPTOUSD!$AP76</f>
        <v>0</v>
      </c>
      <c r="M76" s="516">
        <f>BDPPTO!M76*BDPPTOUSD!$AP76</f>
        <v>0</v>
      </c>
      <c r="N76" s="516">
        <f>BDPPTO!N76*BDPPTOUSD!$AP76</f>
        <v>0</v>
      </c>
      <c r="O76" s="516">
        <f>BDPPTO!O76*BDPPTOUSD!$AP76</f>
        <v>0</v>
      </c>
      <c r="P76" s="516">
        <f>BDPPTO!P76*BDPPTOUSD!$AP76</f>
        <v>0</v>
      </c>
      <c r="Q76" s="343">
        <f t="shared" si="8"/>
        <v>-5532.6799999999994</v>
      </c>
      <c r="R76" s="346">
        <v>0</v>
      </c>
      <c r="S76" s="346">
        <v>0</v>
      </c>
      <c r="T76" s="346"/>
      <c r="U76" s="346"/>
      <c r="V76" s="339">
        <v>13064</v>
      </c>
      <c r="W76" s="405" t="s">
        <v>100</v>
      </c>
      <c r="X76" s="401" t="s">
        <v>101</v>
      </c>
      <c r="Y76" s="342">
        <v>0</v>
      </c>
      <c r="Z76" s="342">
        <v>0</v>
      </c>
      <c r="AA76" s="342">
        <v>0</v>
      </c>
      <c r="AB76" s="342">
        <v>0</v>
      </c>
      <c r="AC76" s="342">
        <v>0</v>
      </c>
      <c r="AD76" s="342">
        <v>0</v>
      </c>
      <c r="AE76" s="342">
        <v>0</v>
      </c>
      <c r="AF76" s="342">
        <v>0</v>
      </c>
      <c r="AG76" s="342">
        <v>0</v>
      </c>
      <c r="AH76" s="342">
        <v>0</v>
      </c>
      <c r="AI76" s="342">
        <v>0</v>
      </c>
      <c r="AJ76" s="342">
        <v>0</v>
      </c>
      <c r="AK76" s="343">
        <v>0</v>
      </c>
      <c r="AM76" s="457"/>
      <c r="AN76" s="513">
        <f t="shared" si="6"/>
        <v>-5532.6799999999994</v>
      </c>
      <c r="AO76" s="513">
        <f t="shared" si="7"/>
        <v>0</v>
      </c>
      <c r="AP76" s="515">
        <f>AN76/BDPPTO!BH76</f>
        <v>6.8136453201970433</v>
      </c>
      <c r="AR76" s="346">
        <f>+Q76</f>
        <v>-5532.6799999999994</v>
      </c>
    </row>
    <row r="77" spans="2:44" x14ac:dyDescent="0.25">
      <c r="B77" s="339">
        <v>13032</v>
      </c>
      <c r="C77" s="351" t="s">
        <v>84</v>
      </c>
      <c r="D77" s="401" t="s">
        <v>85</v>
      </c>
      <c r="E77" s="342">
        <f>IFERROR(VLOOKUP(B77,BDFDUSD!$B:$BJ,41,FALSE),0)</f>
        <v>15696.64</v>
      </c>
      <c r="F77" s="342">
        <f>IFERROR(VLOOKUP(B77,BDFDUSD!$B:$BJ,44,FALSE),0)</f>
        <v>37924.910000000003</v>
      </c>
      <c r="G77" s="342">
        <f>IFERROR(VLOOKUP(B77,BDFDUSD!$B:$BJ,47,FALSE),0)</f>
        <v>48592.800000000003</v>
      </c>
      <c r="H77" s="342">
        <f>IFERROR(VLOOKUP(B77,BDFDUSD!$B:$BJ,50,FALSE),0)</f>
        <v>45732.79</v>
      </c>
      <c r="I77" s="342">
        <f>IFERROR(VLOOKUP(B77,BDFDUSD!$B:$BJ,53,FALSE),0)</f>
        <v>62501.84</v>
      </c>
      <c r="J77" s="342">
        <f>IFERROR(VLOOKUP(B77,BDFDUSD!$B:$BJ,56,FALSE),0)</f>
        <v>64350.74</v>
      </c>
      <c r="K77" s="342">
        <f>IFERROR(VLOOKUP(B77,BDFDUSD!$B:$BJ,59,FALSE),0)</f>
        <v>35082.32</v>
      </c>
      <c r="L77" s="516">
        <f>BDPPTO!L77*BDPPTOUSD!$AP77</f>
        <v>47359.706885456893</v>
      </c>
      <c r="M77" s="516">
        <f>BDPPTO!M77*BDPPTOUSD!$AP77</f>
        <v>47359.706885456893</v>
      </c>
      <c r="N77" s="516">
        <f>BDPPTO!N77*BDPPTOUSD!$AP77</f>
        <v>47359.706885456893</v>
      </c>
      <c r="O77" s="516">
        <f>BDPPTO!O77*BDPPTOUSD!$AP77</f>
        <v>49852.323037323047</v>
      </c>
      <c r="P77" s="516">
        <f>BDPPTO!P77*BDPPTOUSD!$AP77</f>
        <v>43620.782657657663</v>
      </c>
      <c r="Q77" s="343">
        <f t="shared" si="8"/>
        <v>545434.26635135151</v>
      </c>
      <c r="R77" s="346">
        <v>547480.74195587309</v>
      </c>
      <c r="S77" s="346">
        <v>546366.19632579107</v>
      </c>
      <c r="T77" s="346"/>
      <c r="U77" s="346"/>
      <c r="V77" s="339">
        <v>13032</v>
      </c>
      <c r="W77" s="351" t="s">
        <v>84</v>
      </c>
      <c r="X77" s="401" t="s">
        <v>85</v>
      </c>
      <c r="Y77" s="342">
        <v>4748.2495932103329</v>
      </c>
      <c r="Z77" s="342">
        <v>4948.879857712177</v>
      </c>
      <c r="AA77" s="342">
        <v>5350.1403867158679</v>
      </c>
      <c r="AB77" s="342">
        <v>5751.4009157195578</v>
      </c>
      <c r="AC77" s="342">
        <v>6018.9079350553511</v>
      </c>
      <c r="AD77" s="342">
        <v>5885.1544253874536</v>
      </c>
      <c r="AE77" s="342">
        <v>5818.2776705535061</v>
      </c>
      <c r="AF77" s="342">
        <v>5350.1403867158679</v>
      </c>
      <c r="AG77" s="342">
        <v>6018.9079350553511</v>
      </c>
      <c r="AH77" s="342">
        <v>6152.6614447232478</v>
      </c>
      <c r="AI77" s="342">
        <v>5617.6474060516612</v>
      </c>
      <c r="AJ77" s="342">
        <v>5216.3868770479712</v>
      </c>
      <c r="AK77" s="343">
        <v>66876.754833948347</v>
      </c>
      <c r="AM77" s="457"/>
      <c r="AN77" s="513">
        <f t="shared" si="6"/>
        <v>309882.04000000004</v>
      </c>
      <c r="AO77" s="513">
        <f t="shared" si="7"/>
        <v>235552.22635135139</v>
      </c>
      <c r="AP77" s="515">
        <f>AN77/BDPPTO!BH77</f>
        <v>12.463080759330762</v>
      </c>
      <c r="AR77" s="346">
        <f>SUM(Q77:Q78)</f>
        <v>957653.12851466797</v>
      </c>
    </row>
    <row r="78" spans="2:44" x14ac:dyDescent="0.25">
      <c r="B78" s="339">
        <v>13037</v>
      </c>
      <c r="C78" s="368"/>
      <c r="D78" s="401" t="s">
        <v>86</v>
      </c>
      <c r="E78" s="342">
        <f>IFERROR(VLOOKUP(B78,BDFDUSD!$B:$BJ,41,FALSE),0)</f>
        <v>25433.42</v>
      </c>
      <c r="F78" s="342">
        <f>IFERROR(VLOOKUP(B78,BDFDUSD!$B:$BJ,44,FALSE),0)</f>
        <v>18081.97</v>
      </c>
      <c r="G78" s="342">
        <f>IFERROR(VLOOKUP(B78,BDFDUSD!$B:$BJ,47,FALSE),0)</f>
        <v>33971.019999999997</v>
      </c>
      <c r="H78" s="342">
        <f>IFERROR(VLOOKUP(B78,BDFDUSD!$B:$BJ,50,FALSE),0)</f>
        <v>33486.980000000003</v>
      </c>
      <c r="I78" s="342">
        <f>IFERROR(VLOOKUP(B78,BDFDUSD!$B:$BJ,53,FALSE),0)</f>
        <v>41506.04</v>
      </c>
      <c r="J78" s="342">
        <f>IFERROR(VLOOKUP(B78,BDFDUSD!$B:$BJ,56,FALSE),0)</f>
        <v>49443.26</v>
      </c>
      <c r="K78" s="342">
        <f>IFERROR(VLOOKUP(B78,BDFDUSD!$B:$BJ,59,FALSE),0)</f>
        <v>35051.94</v>
      </c>
      <c r="L78" s="516">
        <f>BDPPTO!L78*BDPPTOUSD!$AP78</f>
        <v>37023.429330278101</v>
      </c>
      <c r="M78" s="516">
        <f>BDPPTO!M78*BDPPTOUSD!$AP78</f>
        <v>37023.429330278101</v>
      </c>
      <c r="N78" s="516">
        <f>BDPPTO!N78*BDPPTOUSD!$AP78</f>
        <v>37023.429330278101</v>
      </c>
      <c r="O78" s="516">
        <f>BDPPTO!O78*BDPPTOUSD!$AP78</f>
        <v>39491.657952296642</v>
      </c>
      <c r="P78" s="516">
        <f>BDPPTO!P78*BDPPTOUSD!$AP78</f>
        <v>24682.2862201854</v>
      </c>
      <c r="Q78" s="343">
        <f t="shared" si="8"/>
        <v>412218.8621633164</v>
      </c>
      <c r="R78" s="346">
        <v>390557.57486462733</v>
      </c>
      <c r="S78" s="346">
        <v>390402.78932340408</v>
      </c>
      <c r="T78" s="346"/>
      <c r="U78" s="346"/>
      <c r="V78" s="339">
        <v>13037</v>
      </c>
      <c r="W78" s="368"/>
      <c r="X78" s="401" t="s">
        <v>86</v>
      </c>
      <c r="Y78" s="342">
        <v>3511.5400675389392</v>
      </c>
      <c r="Z78" s="342">
        <v>3659.9149999701613</v>
      </c>
      <c r="AA78" s="342">
        <v>3956.6648648326068</v>
      </c>
      <c r="AB78" s="342">
        <v>4253.4147296950523</v>
      </c>
      <c r="AC78" s="342">
        <v>4451.2479729366833</v>
      </c>
      <c r="AD78" s="342">
        <v>4352.3313513158673</v>
      </c>
      <c r="AE78" s="342">
        <v>4302.8730405054603</v>
      </c>
      <c r="AF78" s="342">
        <v>3956.6648648326068</v>
      </c>
      <c r="AG78" s="342">
        <v>4451.2479729366833</v>
      </c>
      <c r="AH78" s="342">
        <v>4550.1645945574983</v>
      </c>
      <c r="AI78" s="342">
        <v>4154.4981080742382</v>
      </c>
      <c r="AJ78" s="342">
        <v>3857.7482432117927</v>
      </c>
      <c r="AK78" s="343">
        <v>49458.310810407587</v>
      </c>
      <c r="AM78" s="457"/>
      <c r="AN78" s="513">
        <f t="shared" si="6"/>
        <v>236974.63000000003</v>
      </c>
      <c r="AO78" s="513">
        <f t="shared" si="7"/>
        <v>175244.23216331634</v>
      </c>
      <c r="AP78" s="515">
        <f>AN78/BDPPTO!BH78</f>
        <v>12.3411431100927</v>
      </c>
    </row>
    <row r="79" spans="2:44" x14ac:dyDescent="0.25">
      <c r="B79" s="339">
        <v>13153</v>
      </c>
      <c r="C79" s="506" t="s">
        <v>87</v>
      </c>
      <c r="D79" s="406" t="s">
        <v>666</v>
      </c>
      <c r="E79" s="342">
        <f>IFERROR(VLOOKUP(B79,BDFDUSD!$B:$BJ,41,FALSE),0)</f>
        <v>-535.58000000000004</v>
      </c>
      <c r="F79" s="342">
        <f>IFERROR(VLOOKUP(B79,BDFDUSD!$B:$BJ,44,FALSE),0)</f>
        <v>-642.21</v>
      </c>
      <c r="G79" s="342">
        <f>IFERROR(VLOOKUP(B79,BDFDUSD!$B:$BJ,47,FALSE),0)</f>
        <v>4399.26</v>
      </c>
      <c r="H79" s="342">
        <f>IFERROR(VLOOKUP(B79,BDFDUSD!$B:$BJ,50,FALSE),0)</f>
        <v>12341.31</v>
      </c>
      <c r="I79" s="342">
        <f>IFERROR(VLOOKUP(B79,BDFDUSD!$B:$BJ,53,FALSE),0)</f>
        <v>1305.22</v>
      </c>
      <c r="J79" s="342">
        <f>IFERROR(VLOOKUP(B79,BDFDUSD!$B:$BJ,56,FALSE),0)</f>
        <v>-544.73</v>
      </c>
      <c r="K79" s="342">
        <f>IFERROR(VLOOKUP(B79,BDFDUSD!$B:$BJ,59,FALSE),0)</f>
        <v>1951.25</v>
      </c>
      <c r="L79" s="516">
        <f>BDPPTO!L79*BDPPTOUSD!$AP79</f>
        <v>2752.3140356250001</v>
      </c>
      <c r="M79" s="516">
        <f>BDPPTO!M79*BDPPTOUSD!$AP79</f>
        <v>3058.1267062500001</v>
      </c>
      <c r="N79" s="516">
        <f>BDPPTO!N79*BDPPTOUSD!$AP79</f>
        <v>3058.1267062500001</v>
      </c>
      <c r="O79" s="516">
        <f>BDPPTO!O79*BDPPTOUSD!$AP79</f>
        <v>3058.1267062500001</v>
      </c>
      <c r="P79" s="516">
        <f>BDPPTO!P79*BDPPTOUSD!$AP79</f>
        <v>2752.3140356250001</v>
      </c>
      <c r="Q79" s="343">
        <f t="shared" si="8"/>
        <v>32953.528190000005</v>
      </c>
      <c r="R79" s="346">
        <v>162471.98043683762</v>
      </c>
      <c r="S79" s="346">
        <v>149627.96691594974</v>
      </c>
      <c r="T79" s="346"/>
      <c r="U79" s="346"/>
      <c r="V79" s="339">
        <v>13153</v>
      </c>
      <c r="W79" s="506" t="s">
        <v>87</v>
      </c>
      <c r="X79" s="406" t="s">
        <v>666</v>
      </c>
      <c r="Y79" s="342">
        <v>1186.5096628473057</v>
      </c>
      <c r="Z79" s="342">
        <v>1236.6438739535299</v>
      </c>
      <c r="AA79" s="342">
        <v>1336.9122961659784</v>
      </c>
      <c r="AB79" s="342">
        <v>1437.1807183784267</v>
      </c>
      <c r="AC79" s="342">
        <v>1504.0263331867257</v>
      </c>
      <c r="AD79" s="342">
        <v>1470.6035257825763</v>
      </c>
      <c r="AE79" s="342">
        <v>1453.8921220805014</v>
      </c>
      <c r="AF79" s="342">
        <v>1336.9122961659784</v>
      </c>
      <c r="AG79" s="342">
        <v>1504.0263331867257</v>
      </c>
      <c r="AH79" s="342">
        <v>1537.4491405908752</v>
      </c>
      <c r="AI79" s="342">
        <v>1403.7579109742774</v>
      </c>
      <c r="AJ79" s="342">
        <v>1303.4894887618289</v>
      </c>
      <c r="AK79" s="343">
        <v>16711.403702074727</v>
      </c>
      <c r="AM79" s="457"/>
      <c r="AN79" s="513">
        <f t="shared" si="6"/>
        <v>18274.52</v>
      </c>
      <c r="AO79" s="513">
        <f t="shared" si="7"/>
        <v>14679.00819</v>
      </c>
      <c r="AP79" s="515">
        <f>AN79/BDPPTO!BH79</f>
        <v>1.4276968750000001</v>
      </c>
      <c r="AR79" s="346">
        <f>SUM(Q79:Q90)</f>
        <v>1444358.8653721907</v>
      </c>
    </row>
    <row r="80" spans="2:44" x14ac:dyDescent="0.25">
      <c r="B80" s="339">
        <v>13152</v>
      </c>
      <c r="C80" s="507"/>
      <c r="D80" s="406" t="s">
        <v>667</v>
      </c>
      <c r="E80" s="342">
        <f>IFERROR(VLOOKUP(B80,BDFDUSD!$B:$BJ,41,FALSE),0)</f>
        <v>-1059.54</v>
      </c>
      <c r="F80" s="342">
        <f>IFERROR(VLOOKUP(B80,BDFDUSD!$B:$BJ,44,FALSE),0)</f>
        <v>-1190.32</v>
      </c>
      <c r="G80" s="342">
        <f>IFERROR(VLOOKUP(B80,BDFDUSD!$B:$BJ,47,FALSE),0)</f>
        <v>3536.81</v>
      </c>
      <c r="H80" s="342">
        <f>IFERROR(VLOOKUP(B80,BDFDUSD!$B:$BJ,50,FALSE),0)</f>
        <v>18481.04</v>
      </c>
      <c r="I80" s="342">
        <f>IFERROR(VLOOKUP(B80,BDFDUSD!$B:$BJ,53,FALSE),0)</f>
        <v>9602.0400000000009</v>
      </c>
      <c r="J80" s="342">
        <f>IFERROR(VLOOKUP(B80,BDFDUSD!$B:$BJ,56,FALSE),0)</f>
        <v>327.72</v>
      </c>
      <c r="K80" s="342">
        <f>IFERROR(VLOOKUP(B80,BDFDUSD!$B:$BJ,59,FALSE),0)</f>
        <v>4501.17</v>
      </c>
      <c r="L80" s="516">
        <f>BDPPTO!L80*BDPPTOUSD!$AP80</f>
        <v>5380.2436515254249</v>
      </c>
      <c r="M80" s="516">
        <f>BDPPTO!M80*BDPPTOUSD!$AP80</f>
        <v>6207.9734440677976</v>
      </c>
      <c r="N80" s="516">
        <f>BDPPTO!N80*BDPPTOUSD!$AP80</f>
        <v>6207.9734440677976</v>
      </c>
      <c r="O80" s="516">
        <f>BDPPTO!O80*BDPPTOUSD!$AP80</f>
        <v>6207.9734440677976</v>
      </c>
      <c r="P80" s="516">
        <f>BDPPTO!P80*BDPPTOUSD!$AP80</f>
        <v>5380.2436515254249</v>
      </c>
      <c r="Q80" s="343">
        <f t="shared" si="8"/>
        <v>63583.327635254253</v>
      </c>
      <c r="R80" s="346">
        <v>232864.01908141904</v>
      </c>
      <c r="S80" s="346">
        <v>219910.83924861412</v>
      </c>
      <c r="T80" s="346"/>
      <c r="U80" s="346"/>
      <c r="V80" s="339">
        <v>13152</v>
      </c>
      <c r="W80" s="507"/>
      <c r="X80" s="406" t="s">
        <v>667</v>
      </c>
      <c r="Y80" s="342">
        <v>1880.9792757780344</v>
      </c>
      <c r="Z80" s="342">
        <v>1960.4572733461207</v>
      </c>
      <c r="AA80" s="342">
        <v>2119.4132684822926</v>
      </c>
      <c r="AB80" s="342">
        <v>2278.3692636184642</v>
      </c>
      <c r="AC80" s="342">
        <v>2384.3399270425793</v>
      </c>
      <c r="AD80" s="342">
        <v>2331.3545953305215</v>
      </c>
      <c r="AE80" s="342">
        <v>2304.8619294744931</v>
      </c>
      <c r="AF80" s="342">
        <v>2119.4132684822926</v>
      </c>
      <c r="AG80" s="342">
        <v>2384.3399270425793</v>
      </c>
      <c r="AH80" s="342">
        <v>2437.3252587546367</v>
      </c>
      <c r="AI80" s="342">
        <v>2225.3839319064073</v>
      </c>
      <c r="AJ80" s="342">
        <v>2066.4279367702352</v>
      </c>
      <c r="AK80" s="343">
        <v>26492.66585602866</v>
      </c>
      <c r="AM80" s="457"/>
      <c r="AN80" s="513">
        <f t="shared" si="6"/>
        <v>34198.920000000006</v>
      </c>
      <c r="AO80" s="513">
        <f t="shared" si="7"/>
        <v>29384.40763525424</v>
      </c>
      <c r="AP80" s="515">
        <f>AN80/BDPPTO!BH80</f>
        <v>1.9321423728813563</v>
      </c>
    </row>
    <row r="81" spans="2:44" x14ac:dyDescent="0.25">
      <c r="B81" s="350">
        <v>13108</v>
      </c>
      <c r="C81" s="507"/>
      <c r="D81" s="406" t="s">
        <v>668</v>
      </c>
      <c r="E81" s="342">
        <f>IFERROR(VLOOKUP(B81,BDFDUSD!$B:$BJ,41,FALSE),0)</f>
        <v>-593.38</v>
      </c>
      <c r="F81" s="342">
        <f>IFERROR(VLOOKUP(B81,BDFDUSD!$B:$BJ,44,FALSE),0)</f>
        <v>-680.9</v>
      </c>
      <c r="G81" s="342">
        <f>IFERROR(VLOOKUP(B81,BDFDUSD!$B:$BJ,47,FALSE),0)</f>
        <v>3889.23</v>
      </c>
      <c r="H81" s="342">
        <f>IFERROR(VLOOKUP(B81,BDFDUSD!$B:$BJ,50,FALSE),0)</f>
        <v>8034.33</v>
      </c>
      <c r="I81" s="342">
        <f>IFERROR(VLOOKUP(B81,BDFDUSD!$B:$BJ,53,FALSE),0)</f>
        <v>1605.51</v>
      </c>
      <c r="J81" s="342">
        <f>IFERROR(VLOOKUP(B81,BDFDUSD!$B:$BJ,56,FALSE),0)</f>
        <v>-379.14</v>
      </c>
      <c r="K81" s="342">
        <f>IFERROR(VLOOKUP(B81,BDFDUSD!$B:$BJ,59,FALSE),0)</f>
        <v>211.35</v>
      </c>
      <c r="L81" s="516">
        <f>BDPPTO!L81*BDPPTOUSD!$AP81</f>
        <v>1893.0310017060688</v>
      </c>
      <c r="M81" s="516">
        <f>BDPPTO!M81*BDPPTOUSD!$AP81</f>
        <v>2366.2887521325861</v>
      </c>
      <c r="N81" s="516">
        <f>BDPPTO!N81*BDPPTOUSD!$AP81</f>
        <v>2366.2887521325861</v>
      </c>
      <c r="O81" s="516">
        <f>BDPPTO!O81*BDPPTOUSD!$AP81</f>
        <v>2366.2887521325861</v>
      </c>
      <c r="P81" s="516">
        <f>BDPPTO!P81*BDPPTOUSD!$AP81</f>
        <v>1893.0310017060688</v>
      </c>
      <c r="Q81" s="343">
        <f t="shared" si="8"/>
        <v>22971.928259809898</v>
      </c>
      <c r="R81" s="346">
        <v>64264.131490858934</v>
      </c>
      <c r="S81" s="346">
        <v>61898.571890597916</v>
      </c>
      <c r="T81" s="346"/>
      <c r="U81" s="346"/>
      <c r="V81" s="350">
        <v>13108</v>
      </c>
      <c r="W81" s="507"/>
      <c r="X81" s="406" t="s">
        <v>668</v>
      </c>
      <c r="Y81" s="342">
        <v>475.44020716962905</v>
      </c>
      <c r="Z81" s="342">
        <v>495.52923000778236</v>
      </c>
      <c r="AA81" s="342">
        <v>535.70727568408915</v>
      </c>
      <c r="AB81" s="342">
        <v>575.88532136039578</v>
      </c>
      <c r="AC81" s="342">
        <v>602.67068514460016</v>
      </c>
      <c r="AD81" s="342">
        <v>589.27800325249791</v>
      </c>
      <c r="AE81" s="342">
        <v>582.58166230644679</v>
      </c>
      <c r="AF81" s="342">
        <v>535.70727568408915</v>
      </c>
      <c r="AG81" s="342">
        <v>602.67068514460016</v>
      </c>
      <c r="AH81" s="342">
        <v>616.06336703670252</v>
      </c>
      <c r="AI81" s="342">
        <v>562.49263946829353</v>
      </c>
      <c r="AJ81" s="342">
        <v>522.31459379198691</v>
      </c>
      <c r="AK81" s="343">
        <v>6696.3409460511139</v>
      </c>
      <c r="AM81" s="457"/>
      <c r="AN81" s="513">
        <f t="shared" si="6"/>
        <v>12087</v>
      </c>
      <c r="AO81" s="513">
        <f t="shared" si="7"/>
        <v>10884.928259809896</v>
      </c>
      <c r="AP81" s="515">
        <f>AN81/BDPPTO!BH81</f>
        <v>1.4729466244211553</v>
      </c>
    </row>
    <row r="82" spans="2:44" x14ac:dyDescent="0.25">
      <c r="B82" s="350">
        <v>13149</v>
      </c>
      <c r="C82" s="507"/>
      <c r="D82" s="406" t="s">
        <v>669</v>
      </c>
      <c r="E82" s="342">
        <f>IFERROR(VLOOKUP(B82,BDFDUSD!$B:$BJ,41,FALSE),0)</f>
        <v>-951.19</v>
      </c>
      <c r="F82" s="342">
        <f>IFERROR(VLOOKUP(B82,BDFDUSD!$B:$BJ,44,FALSE),0)</f>
        <v>-1005.26</v>
      </c>
      <c r="G82" s="342">
        <f>IFERROR(VLOOKUP(B82,BDFDUSD!$B:$BJ,47,FALSE),0)</f>
        <v>27342.05</v>
      </c>
      <c r="H82" s="342">
        <f>IFERROR(VLOOKUP(B82,BDFDUSD!$B:$BJ,50,FALSE),0)</f>
        <v>23596.7</v>
      </c>
      <c r="I82" s="342">
        <f>IFERROR(VLOOKUP(B82,BDFDUSD!$B:$BJ,53,FALSE),0)</f>
        <v>16245.72</v>
      </c>
      <c r="J82" s="342">
        <f>IFERROR(VLOOKUP(B82,BDFDUSD!$B:$BJ,56,FALSE),0)</f>
        <v>-625.61</v>
      </c>
      <c r="K82" s="342">
        <f>IFERROR(VLOOKUP(B82,BDFDUSD!$B:$BJ,59,FALSE),0)</f>
        <v>7447.47</v>
      </c>
      <c r="L82" s="516">
        <f>BDPPTO!L82*BDPPTOUSD!$AP82</f>
        <v>10938.594064877696</v>
      </c>
      <c r="M82" s="516">
        <f>BDPPTO!M82*BDPPTOUSD!$AP82</f>
        <v>11447.365881848751</v>
      </c>
      <c r="N82" s="516">
        <f>BDPPTO!N82*BDPPTOUSD!$AP82</f>
        <v>11447.365881848751</v>
      </c>
      <c r="O82" s="516">
        <f>BDPPTO!O82*BDPPTOUSD!$AP82</f>
        <v>11447.365881848751</v>
      </c>
      <c r="P82" s="516">
        <f>BDPPTO!P82*BDPPTOUSD!$AP82</f>
        <v>10938.594064877696</v>
      </c>
      <c r="Q82" s="343">
        <f t="shared" si="8"/>
        <v>128269.16577530163</v>
      </c>
      <c r="R82" s="346">
        <v>265398.86102086765</v>
      </c>
      <c r="S82" s="346">
        <v>283735.59408945136</v>
      </c>
      <c r="T82" s="346"/>
      <c r="U82" s="346"/>
      <c r="V82" s="350">
        <v>13149</v>
      </c>
      <c r="W82" s="507"/>
      <c r="X82" s="406" t="s">
        <v>669</v>
      </c>
      <c r="Y82" s="342">
        <v>2328.5068011685894</v>
      </c>
      <c r="Z82" s="342">
        <v>2426.894412485572</v>
      </c>
      <c r="AA82" s="342">
        <v>2623.6696351195374</v>
      </c>
      <c r="AB82" s="342">
        <v>2820.4448577535027</v>
      </c>
      <c r="AC82" s="342">
        <v>2951.6283395094797</v>
      </c>
      <c r="AD82" s="342">
        <v>2886.036598631491</v>
      </c>
      <c r="AE82" s="342">
        <v>2853.240728192497</v>
      </c>
      <c r="AF82" s="342">
        <v>2623.6696351195374</v>
      </c>
      <c r="AG82" s="342">
        <v>2951.6283395094797</v>
      </c>
      <c r="AH82" s="342">
        <v>3017.220080387468</v>
      </c>
      <c r="AI82" s="342">
        <v>2754.8531168755144</v>
      </c>
      <c r="AJ82" s="342">
        <v>2558.0778942415491</v>
      </c>
      <c r="AK82" s="343">
        <v>32795.870438994221</v>
      </c>
      <c r="AM82" s="457"/>
      <c r="AN82" s="513">
        <f t="shared" si="6"/>
        <v>72049.88</v>
      </c>
      <c r="AO82" s="513">
        <f t="shared" si="7"/>
        <v>56219.285775301651</v>
      </c>
      <c r="AP82" s="515">
        <f>AN82/BDPPTO!BH82</f>
        <v>2.3752185666249095</v>
      </c>
    </row>
    <row r="83" spans="2:44" x14ac:dyDescent="0.25">
      <c r="B83" s="350">
        <v>13157</v>
      </c>
      <c r="C83" s="507"/>
      <c r="D83" s="406" t="s">
        <v>670</v>
      </c>
      <c r="E83" s="342">
        <f>IFERROR(VLOOKUP(B83,BDFDUSD!$B:$BJ,41,FALSE),0)</f>
        <v>-1041.19</v>
      </c>
      <c r="F83" s="342">
        <f>IFERROR(VLOOKUP(B83,BDFDUSD!$B:$BJ,44,FALSE),0)</f>
        <v>-1139.33</v>
      </c>
      <c r="G83" s="342">
        <f>IFERROR(VLOOKUP(B83,BDFDUSD!$B:$BJ,47,FALSE),0)</f>
        <v>19236.43</v>
      </c>
      <c r="H83" s="342">
        <f>IFERROR(VLOOKUP(B83,BDFDUSD!$B:$BJ,50,FALSE),0)</f>
        <v>16916.759999999998</v>
      </c>
      <c r="I83" s="342">
        <f>IFERROR(VLOOKUP(B83,BDFDUSD!$B:$BJ,53,FALSE),0)</f>
        <v>11136.61</v>
      </c>
      <c r="J83" s="342">
        <f>IFERROR(VLOOKUP(B83,BDFDUSD!$B:$BJ,56,FALSE),0)</f>
        <v>1193.8499999999999</v>
      </c>
      <c r="K83" s="342">
        <f>IFERROR(VLOOKUP(B83,BDFDUSD!$B:$BJ,59,FALSE),0)</f>
        <v>6551.49</v>
      </c>
      <c r="L83" s="516">
        <f>BDPPTO!L83*BDPPTOUSD!$AP83</f>
        <v>8215.8632830188672</v>
      </c>
      <c r="M83" s="516">
        <f>BDPPTO!M83*BDPPTOUSD!$AP83</f>
        <v>9128.736981132075</v>
      </c>
      <c r="N83" s="516">
        <f>BDPPTO!N83*BDPPTOUSD!$AP83</f>
        <v>9128.736981132075</v>
      </c>
      <c r="O83" s="516">
        <f>BDPPTO!O83*BDPPTOUSD!$AP83</f>
        <v>9128.736981132075</v>
      </c>
      <c r="P83" s="516">
        <f>BDPPTO!P83*BDPPTOUSD!$AP83</f>
        <v>8215.8632830188672</v>
      </c>
      <c r="Q83" s="343">
        <f t="shared" si="8"/>
        <v>96672.557509433944</v>
      </c>
      <c r="R83" s="346">
        <v>203940.10345418743</v>
      </c>
      <c r="S83" s="346">
        <v>191271.71234854124</v>
      </c>
      <c r="T83" s="346"/>
      <c r="U83" s="346"/>
      <c r="V83" s="350">
        <v>13157</v>
      </c>
      <c r="W83" s="507"/>
      <c r="X83" s="406" t="s">
        <v>670</v>
      </c>
      <c r="Y83" s="342">
        <v>1636.0181617216531</v>
      </c>
      <c r="Z83" s="342">
        <v>1705.1456896817228</v>
      </c>
      <c r="AA83" s="342">
        <v>1843.4007456018626</v>
      </c>
      <c r="AB83" s="342">
        <v>1981.6558015220023</v>
      </c>
      <c r="AC83" s="342">
        <v>2073.8258388020954</v>
      </c>
      <c r="AD83" s="342">
        <v>2027.7408201620487</v>
      </c>
      <c r="AE83" s="342">
        <v>2004.6983108420256</v>
      </c>
      <c r="AF83" s="342">
        <v>1843.4007456018626</v>
      </c>
      <c r="AG83" s="342">
        <v>2073.8258388020954</v>
      </c>
      <c r="AH83" s="342">
        <v>2119.9108574421421</v>
      </c>
      <c r="AI83" s="342">
        <v>1935.5707828819559</v>
      </c>
      <c r="AJ83" s="342">
        <v>1797.3157269618162</v>
      </c>
      <c r="AK83" s="343">
        <v>23042.50932002328</v>
      </c>
      <c r="AM83" s="457"/>
      <c r="AN83" s="513">
        <f t="shared" si="6"/>
        <v>52854.619999999995</v>
      </c>
      <c r="AO83" s="513">
        <f t="shared" si="7"/>
        <v>43817.937509433956</v>
      </c>
      <c r="AP83" s="515">
        <f>AN83/BDPPTO!BH83</f>
        <v>2.1308909853249474</v>
      </c>
    </row>
    <row r="84" spans="2:44" x14ac:dyDescent="0.25">
      <c r="B84" s="350">
        <v>13155</v>
      </c>
      <c r="C84" s="507"/>
      <c r="D84" s="406" t="s">
        <v>671</v>
      </c>
      <c r="E84" s="342">
        <f>IFERROR(VLOOKUP(B84,BDFDUSD!$B:$BJ,41,FALSE),0)</f>
        <v>-527.5</v>
      </c>
      <c r="F84" s="342">
        <f>IFERROR(VLOOKUP(B84,BDFDUSD!$B:$BJ,44,FALSE),0)</f>
        <v>-553.05999999999995</v>
      </c>
      <c r="G84" s="342">
        <f>IFERROR(VLOOKUP(B84,BDFDUSD!$B:$BJ,47,FALSE),0)</f>
        <v>9805.61</v>
      </c>
      <c r="H84" s="342">
        <f>IFERROR(VLOOKUP(B84,BDFDUSD!$B:$BJ,50,FALSE),0)</f>
        <v>14635.34</v>
      </c>
      <c r="I84" s="342">
        <f>IFERROR(VLOOKUP(B84,BDFDUSD!$B:$BJ,53,FALSE),0)</f>
        <v>1825.59</v>
      </c>
      <c r="J84" s="342">
        <f>IFERROR(VLOOKUP(B84,BDFDUSD!$B:$BJ,56,FALSE),0)</f>
        <v>-642.70000000000005</v>
      </c>
      <c r="K84" s="342">
        <f>IFERROR(VLOOKUP(B84,BDFDUSD!$B:$BJ,59,FALSE),0)</f>
        <v>662.06</v>
      </c>
      <c r="L84" s="516">
        <f>BDPPTO!L84*BDPPTOUSD!$AP84</f>
        <v>3159.1479391456996</v>
      </c>
      <c r="M84" s="516">
        <f>BDPPTO!M84*BDPPTOUSD!$AP84</f>
        <v>3948.9349239321245</v>
      </c>
      <c r="N84" s="516">
        <f>BDPPTO!N84*BDPPTOUSD!$AP84</f>
        <v>3948.9349239321245</v>
      </c>
      <c r="O84" s="516">
        <f>BDPPTO!O84*BDPPTOUSD!$AP84</f>
        <v>3948.9349239321245</v>
      </c>
      <c r="P84" s="516">
        <f>BDPPTO!P84*BDPPTOUSD!$AP84</f>
        <v>3159.1479391456996</v>
      </c>
      <c r="Q84" s="343">
        <f t="shared" si="8"/>
        <v>43370.440650087767</v>
      </c>
      <c r="R84" s="346">
        <v>172325.53598792935</v>
      </c>
      <c r="S84" s="346">
        <v>161775.25903698138</v>
      </c>
      <c r="T84" s="346"/>
      <c r="U84" s="346"/>
      <c r="V84" s="350">
        <v>13155</v>
      </c>
      <c r="W84" s="507"/>
      <c r="X84" s="406" t="s">
        <v>671</v>
      </c>
      <c r="Y84" s="342">
        <v>1282.834432715556</v>
      </c>
      <c r="Z84" s="342">
        <v>1337.0387045204386</v>
      </c>
      <c r="AA84" s="342">
        <v>1445.4472481302039</v>
      </c>
      <c r="AB84" s="342">
        <v>1553.8557917399694</v>
      </c>
      <c r="AC84" s="342">
        <v>1626.1281541464796</v>
      </c>
      <c r="AD84" s="342">
        <v>1589.9919729432243</v>
      </c>
      <c r="AE84" s="342">
        <v>1571.9238823415967</v>
      </c>
      <c r="AF84" s="342">
        <v>1445.4472481302039</v>
      </c>
      <c r="AG84" s="342">
        <v>1626.1281541464796</v>
      </c>
      <c r="AH84" s="342">
        <v>1662.2643353497344</v>
      </c>
      <c r="AI84" s="342">
        <v>1517.7196105367143</v>
      </c>
      <c r="AJ84" s="342">
        <v>1409.3110669269488</v>
      </c>
      <c r="AK84" s="343">
        <v>18068.090601627548</v>
      </c>
      <c r="AM84" s="457"/>
      <c r="AN84" s="513">
        <f t="shared" si="6"/>
        <v>25205.34</v>
      </c>
      <c r="AO84" s="513">
        <f t="shared" si="7"/>
        <v>18165.100650087774</v>
      </c>
      <c r="AP84" s="515">
        <f>AN84/BDPPTO!BH84</f>
        <v>1.4748589818607374</v>
      </c>
    </row>
    <row r="85" spans="2:44" x14ac:dyDescent="0.25">
      <c r="B85" s="350">
        <v>13154</v>
      </c>
      <c r="C85" s="507"/>
      <c r="D85" s="406" t="s">
        <v>672</v>
      </c>
      <c r="E85" s="342">
        <f>IFERROR(VLOOKUP(B85,BDFDUSD!$B:$BJ,41,FALSE),0)</f>
        <v>-938.65</v>
      </c>
      <c r="F85" s="342">
        <f>IFERROR(VLOOKUP(B85,BDFDUSD!$B:$BJ,44,FALSE),0)</f>
        <v>-1129.94</v>
      </c>
      <c r="G85" s="342">
        <f>IFERROR(VLOOKUP(B85,BDFDUSD!$B:$BJ,47,FALSE),0)</f>
        <v>3621.13</v>
      </c>
      <c r="H85" s="342">
        <f>IFERROR(VLOOKUP(B85,BDFDUSD!$B:$BJ,50,FALSE),0)</f>
        <v>19012.47</v>
      </c>
      <c r="I85" s="342">
        <f>IFERROR(VLOOKUP(B85,BDFDUSD!$B:$BJ,53,FALSE),0)</f>
        <v>7204.38</v>
      </c>
      <c r="J85" s="342">
        <f>IFERROR(VLOOKUP(B85,BDFDUSD!$B:$BJ,56,FALSE),0)</f>
        <v>1461.44</v>
      </c>
      <c r="K85" s="342">
        <f>IFERROR(VLOOKUP(B85,BDFDUSD!$B:$BJ,59,FALSE),0)</f>
        <v>6151.87</v>
      </c>
      <c r="L85" s="516">
        <f>BDPPTO!L85*BDPPTOUSD!$AP85</f>
        <v>5447.6759051199824</v>
      </c>
      <c r="M85" s="516">
        <f>BDPPTO!M85*BDPPTOUSD!$AP85</f>
        <v>6285.7798905230575</v>
      </c>
      <c r="N85" s="516">
        <f>BDPPTO!N85*BDPPTOUSD!$AP85</f>
        <v>6285.7798905230575</v>
      </c>
      <c r="O85" s="516">
        <f>BDPPTO!O85*BDPPTOUSD!$AP85</f>
        <v>6285.7798905230575</v>
      </c>
      <c r="P85" s="516">
        <f>BDPPTO!P85*BDPPTOUSD!$AP85</f>
        <v>5447.6759051199824</v>
      </c>
      <c r="Q85" s="343">
        <f t="shared" si="8"/>
        <v>65135.391481809151</v>
      </c>
      <c r="R85" s="346">
        <v>237832.08989740728</v>
      </c>
      <c r="S85" s="346">
        <v>222165.84129540331</v>
      </c>
      <c r="T85" s="346"/>
      <c r="U85" s="346"/>
      <c r="V85" s="350">
        <v>13154</v>
      </c>
      <c r="W85" s="507"/>
      <c r="X85" s="406" t="s">
        <v>672</v>
      </c>
      <c r="Y85" s="342">
        <v>1900.2671477689751</v>
      </c>
      <c r="Z85" s="342">
        <v>1980.5601258437205</v>
      </c>
      <c r="AA85" s="342">
        <v>2141.1460819932117</v>
      </c>
      <c r="AB85" s="342">
        <v>2301.7320381427021</v>
      </c>
      <c r="AC85" s="342">
        <v>2408.7893422423626</v>
      </c>
      <c r="AD85" s="342">
        <v>2355.2606901925324</v>
      </c>
      <c r="AE85" s="342">
        <v>2328.4963641676172</v>
      </c>
      <c r="AF85" s="342">
        <v>2141.1460819932117</v>
      </c>
      <c r="AG85" s="342">
        <v>2408.7893422423626</v>
      </c>
      <c r="AH85" s="342">
        <v>2462.3179942921929</v>
      </c>
      <c r="AI85" s="342">
        <v>2248.2033860928723</v>
      </c>
      <c r="AJ85" s="342">
        <v>2087.617429943381</v>
      </c>
      <c r="AK85" s="343">
        <v>26764.326024915139</v>
      </c>
      <c r="AM85" s="457"/>
      <c r="AN85" s="513">
        <f t="shared" si="6"/>
        <v>35382.700000000004</v>
      </c>
      <c r="AO85" s="513">
        <f t="shared" si="7"/>
        <v>29752.691481809139</v>
      </c>
      <c r="AP85" s="515">
        <f>AN85/BDPPTO!BH85</f>
        <v>1.9563585093442444</v>
      </c>
    </row>
    <row r="86" spans="2:44" x14ac:dyDescent="0.25">
      <c r="B86" s="350">
        <v>13151</v>
      </c>
      <c r="C86" s="507"/>
      <c r="D86" s="406" t="s">
        <v>673</v>
      </c>
      <c r="E86" s="342">
        <f>IFERROR(VLOOKUP(B86,BDFDUSD!$B:$BJ,41,FALSE),0)</f>
        <v>-265.19</v>
      </c>
      <c r="F86" s="342">
        <f>IFERROR(VLOOKUP(B86,BDFDUSD!$B:$BJ,44,FALSE),0)</f>
        <v>-307.67</v>
      </c>
      <c r="G86" s="342">
        <f>IFERROR(VLOOKUP(B86,BDFDUSD!$B:$BJ,47,FALSE),0)</f>
        <v>2540.38</v>
      </c>
      <c r="H86" s="342">
        <f>IFERROR(VLOOKUP(B86,BDFDUSD!$B:$BJ,50,FALSE),0)</f>
        <v>-382.66</v>
      </c>
      <c r="I86" s="342">
        <f>IFERROR(VLOOKUP(B86,BDFDUSD!$B:$BJ,53,FALSE),0)</f>
        <v>9408</v>
      </c>
      <c r="J86" s="342">
        <f>IFERROR(VLOOKUP(B86,BDFDUSD!$B:$BJ,56,FALSE),0)</f>
        <v>-281.12</v>
      </c>
      <c r="K86" s="342">
        <f>IFERROR(VLOOKUP(B86,BDFDUSD!$B:$BJ,59,FALSE),0)</f>
        <v>-220.17</v>
      </c>
      <c r="L86" s="516">
        <f>BDPPTO!L86*BDPPTOUSD!$AP86</f>
        <v>1420.3155594880707</v>
      </c>
      <c r="M86" s="516">
        <f>BDPPTO!M86*BDPPTOUSD!$AP86</f>
        <v>1775.3944493600884</v>
      </c>
      <c r="N86" s="516">
        <f>BDPPTO!N86*BDPPTOUSD!$AP86</f>
        <v>1775.3944493600884</v>
      </c>
      <c r="O86" s="516">
        <f>BDPPTO!O86*BDPPTOUSD!$AP86</f>
        <v>1775.3944493600884</v>
      </c>
      <c r="P86" s="516">
        <f>BDPPTO!P86*BDPPTOUSD!$AP86</f>
        <v>1420.3155594880707</v>
      </c>
      <c r="Q86" s="343">
        <f t="shared" si="8"/>
        <v>18658.384467056403</v>
      </c>
      <c r="R86" s="346">
        <v>21165.845899678457</v>
      </c>
      <c r="S86" s="346">
        <v>19465.126986035419</v>
      </c>
      <c r="T86" s="346"/>
      <c r="U86" s="346"/>
      <c r="V86" s="350">
        <v>13151</v>
      </c>
      <c r="W86" s="507"/>
      <c r="X86" s="406" t="s">
        <v>673</v>
      </c>
      <c r="Y86" s="342">
        <v>149.51078391890218</v>
      </c>
      <c r="Z86" s="342">
        <v>155.82814098589805</v>
      </c>
      <c r="AA86" s="342">
        <v>168.46285511988978</v>
      </c>
      <c r="AB86" s="342">
        <v>181.09756925388149</v>
      </c>
      <c r="AC86" s="342">
        <v>189.52071200987601</v>
      </c>
      <c r="AD86" s="342">
        <v>185.30914063187873</v>
      </c>
      <c r="AE86" s="342">
        <v>183.20335494288011</v>
      </c>
      <c r="AF86" s="342">
        <v>168.46285511988978</v>
      </c>
      <c r="AG86" s="342">
        <v>189.52071200987601</v>
      </c>
      <c r="AH86" s="342">
        <v>193.73228338787325</v>
      </c>
      <c r="AI86" s="342">
        <v>176.88599787588427</v>
      </c>
      <c r="AJ86" s="342">
        <v>164.25128374189254</v>
      </c>
      <c r="AK86" s="343">
        <v>2105.7856889986219</v>
      </c>
      <c r="AM86" s="457"/>
      <c r="AN86" s="513">
        <f t="shared" si="6"/>
        <v>10491.57</v>
      </c>
      <c r="AO86" s="513">
        <f t="shared" si="7"/>
        <v>8166.814467056407</v>
      </c>
      <c r="AP86" s="515">
        <f>AN86/BDPPTO!BH86</f>
        <v>1.657697898562174</v>
      </c>
    </row>
    <row r="87" spans="2:44" x14ac:dyDescent="0.25">
      <c r="B87" s="350">
        <v>13150</v>
      </c>
      <c r="C87" s="507"/>
      <c r="D87" s="406" t="s">
        <v>674</v>
      </c>
      <c r="E87" s="342">
        <f>IFERROR(VLOOKUP(B87,BDFDUSD!$B:$BJ,41,FALSE),0)</f>
        <v>10708.71</v>
      </c>
      <c r="F87" s="342">
        <f>IFERROR(VLOOKUP(B87,BDFDUSD!$B:$BJ,44,FALSE),0)</f>
        <v>4526.6000000000004</v>
      </c>
      <c r="G87" s="342">
        <f>IFERROR(VLOOKUP(B87,BDFDUSD!$B:$BJ,47,FALSE),0)</f>
        <v>19151.080000000002</v>
      </c>
      <c r="H87" s="342">
        <f>IFERROR(VLOOKUP(B87,BDFDUSD!$B:$BJ,50,FALSE),0)</f>
        <v>-613.29999999999995</v>
      </c>
      <c r="I87" s="342">
        <f>IFERROR(VLOOKUP(B87,BDFDUSD!$B:$BJ,53,FALSE),0)</f>
        <v>13692.33</v>
      </c>
      <c r="J87" s="342">
        <f>IFERROR(VLOOKUP(B87,BDFDUSD!$B:$BJ,56,FALSE),0)</f>
        <v>-633.02</v>
      </c>
      <c r="K87" s="342">
        <f>IFERROR(VLOOKUP(B87,BDFDUSD!$B:$BJ,59,FALSE),0)</f>
        <v>451.33</v>
      </c>
      <c r="L87" s="516">
        <f>BDPPTO!L87*BDPPTOUSD!$AP87</f>
        <v>7442.8874874809726</v>
      </c>
      <c r="M87" s="516">
        <f>BDPPTO!M87*BDPPTOUSD!$AP87</f>
        <v>7974.5223080153273</v>
      </c>
      <c r="N87" s="516">
        <f>BDPPTO!N87*BDPPTOUSD!$AP87</f>
        <v>7974.5223080153273</v>
      </c>
      <c r="O87" s="516">
        <f>BDPPTO!O87*BDPPTOUSD!$AP87</f>
        <v>7974.5223080153273</v>
      </c>
      <c r="P87" s="516">
        <f>BDPPTO!P87*BDPPTOUSD!$AP87</f>
        <v>7442.8874874809726</v>
      </c>
      <c r="Q87" s="343">
        <f t="shared" si="8"/>
        <v>86093.071899007919</v>
      </c>
      <c r="R87" s="346">
        <v>103899.77163241718</v>
      </c>
      <c r="S87" s="346">
        <v>96225.084746839435</v>
      </c>
      <c r="T87" s="346"/>
      <c r="U87" s="346"/>
      <c r="V87" s="350">
        <v>13150</v>
      </c>
      <c r="W87" s="507"/>
      <c r="X87" s="406" t="s">
        <v>674</v>
      </c>
      <c r="Y87" s="342">
        <v>789.68155192189772</v>
      </c>
      <c r="Z87" s="342">
        <v>823.04837805944271</v>
      </c>
      <c r="AA87" s="342">
        <v>889.78203033453269</v>
      </c>
      <c r="AB87" s="342">
        <v>956.51568260962267</v>
      </c>
      <c r="AC87" s="342">
        <v>1001.0047841263493</v>
      </c>
      <c r="AD87" s="342">
        <v>978.76023336798585</v>
      </c>
      <c r="AE87" s="342">
        <v>967.63795798880426</v>
      </c>
      <c r="AF87" s="342">
        <v>889.78203033453269</v>
      </c>
      <c r="AG87" s="342">
        <v>1001.0047841263493</v>
      </c>
      <c r="AH87" s="342">
        <v>1023.2493348847127</v>
      </c>
      <c r="AI87" s="342">
        <v>934.27113185125938</v>
      </c>
      <c r="AJ87" s="342">
        <v>867.5374795761694</v>
      </c>
      <c r="AK87" s="343">
        <v>11122.275379181658</v>
      </c>
      <c r="AM87" s="457"/>
      <c r="AN87" s="513">
        <f t="shared" si="6"/>
        <v>47283.73</v>
      </c>
      <c r="AO87" s="513">
        <f t="shared" si="7"/>
        <v>38809.341899007923</v>
      </c>
      <c r="AP87" s="515">
        <f>AN87/BDPPTO!BH87</f>
        <v>2.4819552779381659</v>
      </c>
    </row>
    <row r="88" spans="2:44" x14ac:dyDescent="0.25">
      <c r="B88" s="350">
        <v>13093</v>
      </c>
      <c r="C88" s="507"/>
      <c r="D88" s="407" t="s">
        <v>675</v>
      </c>
      <c r="E88" s="342">
        <f>IFERROR(VLOOKUP(B88,BDFDUSD!$B:$BJ,41,FALSE),0)</f>
        <v>8590.8700000000008</v>
      </c>
      <c r="F88" s="342">
        <f>IFERROR(VLOOKUP(B88,BDFDUSD!$B:$BJ,44,FALSE),0)</f>
        <v>18385.849999999999</v>
      </c>
      <c r="G88" s="342">
        <f>IFERROR(VLOOKUP(B88,BDFDUSD!$B:$BJ,47,FALSE),0)</f>
        <v>28963.360000000001</v>
      </c>
      <c r="H88" s="342">
        <f>IFERROR(VLOOKUP(B88,BDFDUSD!$B:$BJ,50,FALSE),0)</f>
        <v>19969.29</v>
      </c>
      <c r="I88" s="342">
        <f>IFERROR(VLOOKUP(B88,BDFDUSD!$B:$BJ,53,FALSE),0)</f>
        <v>53610.36</v>
      </c>
      <c r="J88" s="342">
        <f>IFERROR(VLOOKUP(B88,BDFDUSD!$B:$BJ,56,FALSE),0)</f>
        <v>12358.29</v>
      </c>
      <c r="K88" s="342">
        <f>IFERROR(VLOOKUP(B88,BDFDUSD!$B:$BJ,59,FALSE),0)</f>
        <v>5275.33</v>
      </c>
      <c r="L88" s="516">
        <f>BDPPTO!L88*BDPPTOUSD!$AP88</f>
        <v>19150.093493150682</v>
      </c>
      <c r="M88" s="516">
        <f>BDPPTO!M88*BDPPTOUSD!$AP88</f>
        <v>19150.093493150682</v>
      </c>
      <c r="N88" s="516">
        <f>BDPPTO!N88*BDPPTOUSD!$AP88</f>
        <v>19150.093493150682</v>
      </c>
      <c r="O88" s="516">
        <f>BDPPTO!O88*BDPPTOUSD!$AP88</f>
        <v>20157.993150684928</v>
      </c>
      <c r="P88" s="516">
        <f>BDPPTO!P88*BDPPTOUSD!$AP88</f>
        <v>17638.244006849312</v>
      </c>
      <c r="Q88" s="343">
        <f t="shared" si="8"/>
        <v>242399.86763698628</v>
      </c>
      <c r="R88" s="346">
        <v>156212.84093077583</v>
      </c>
      <c r="S88" s="346">
        <v>165103.87237108612</v>
      </c>
      <c r="T88" s="346"/>
      <c r="U88" s="346"/>
      <c r="V88" s="350">
        <v>13093</v>
      </c>
      <c r="W88" s="507"/>
      <c r="X88" s="407" t="s">
        <v>675</v>
      </c>
      <c r="Y88" s="342">
        <v>1372.7513170908544</v>
      </c>
      <c r="Z88" s="342">
        <v>1430.7548938693412</v>
      </c>
      <c r="AA88" s="342">
        <v>1546.7620474263149</v>
      </c>
      <c r="AB88" s="342">
        <v>1662.7692009832883</v>
      </c>
      <c r="AC88" s="342">
        <v>1740.1073033546043</v>
      </c>
      <c r="AD88" s="342">
        <v>1701.4382521689465</v>
      </c>
      <c r="AE88" s="342">
        <v>1682.1037265761174</v>
      </c>
      <c r="AF88" s="342">
        <v>1546.7620474263149</v>
      </c>
      <c r="AG88" s="342">
        <v>1740.1073033546043</v>
      </c>
      <c r="AH88" s="342">
        <v>1778.7763545402622</v>
      </c>
      <c r="AI88" s="342">
        <v>1624.1001497976308</v>
      </c>
      <c r="AJ88" s="342">
        <v>1508.0929962406572</v>
      </c>
      <c r="AK88" s="343">
        <v>19334.525592828933</v>
      </c>
      <c r="AM88" s="457"/>
      <c r="AN88" s="513">
        <f t="shared" si="6"/>
        <v>147153.34999999998</v>
      </c>
      <c r="AO88" s="513">
        <f t="shared" si="7"/>
        <v>95246.517636986289</v>
      </c>
      <c r="AP88" s="515">
        <f>AN88/BDPPTO!BH88</f>
        <v>5.0394982876712318</v>
      </c>
    </row>
    <row r="89" spans="2:44" x14ac:dyDescent="0.25">
      <c r="B89" s="350">
        <v>13091</v>
      </c>
      <c r="C89" s="507"/>
      <c r="D89" s="407" t="s">
        <v>676</v>
      </c>
      <c r="E89" s="342">
        <f>IFERROR(VLOOKUP(B89,BDFDUSD!$B:$BJ,41,FALSE),0)</f>
        <v>13547.46</v>
      </c>
      <c r="F89" s="342">
        <f>IFERROR(VLOOKUP(B89,BDFDUSD!$B:$BJ,44,FALSE),0)</f>
        <v>20275.810000000001</v>
      </c>
      <c r="G89" s="342">
        <f>IFERROR(VLOOKUP(B89,BDFDUSD!$B:$BJ,47,FALSE),0)</f>
        <v>23769.37</v>
      </c>
      <c r="H89" s="342">
        <f>IFERROR(VLOOKUP(B89,BDFDUSD!$B:$BJ,50,FALSE),0)</f>
        <v>50494.73</v>
      </c>
      <c r="I89" s="342">
        <f>IFERROR(VLOOKUP(B89,BDFDUSD!$B:$BJ,53,FALSE),0)</f>
        <v>39525.230000000003</v>
      </c>
      <c r="J89" s="342">
        <f>IFERROR(VLOOKUP(B89,BDFDUSD!$B:$BJ,56,FALSE),0)</f>
        <v>4785.3500000000004</v>
      </c>
      <c r="K89" s="342">
        <f>IFERROR(VLOOKUP(B89,BDFDUSD!$B:$BJ,59,FALSE),0)</f>
        <v>34943.75</v>
      </c>
      <c r="L89" s="516">
        <f>BDPPTO!L89*BDPPTOUSD!$AP89</f>
        <v>26021.849042975806</v>
      </c>
      <c r="M89" s="516">
        <f>BDPPTO!M89*BDPPTOUSD!$AP89</f>
        <v>26021.849042975806</v>
      </c>
      <c r="N89" s="516">
        <f>BDPPTO!N89*BDPPTOUSD!$AP89</f>
        <v>26021.849042975806</v>
      </c>
      <c r="O89" s="516">
        <f>BDPPTO!O89*BDPPTOUSD!$AP89</f>
        <v>28624.033947273387</v>
      </c>
      <c r="P89" s="516">
        <f>BDPPTO!P89*BDPPTOUSD!$AP89</f>
        <v>23419.664138678225</v>
      </c>
      <c r="Q89" s="343">
        <f t="shared" si="8"/>
        <v>317450.94521487906</v>
      </c>
      <c r="R89" s="346">
        <v>152280.88470991608</v>
      </c>
      <c r="S89" s="346">
        <v>215712.99271554206</v>
      </c>
      <c r="T89" s="346"/>
      <c r="U89" s="346"/>
      <c r="V89" s="350">
        <v>13091</v>
      </c>
      <c r="W89" s="507"/>
      <c r="X89" s="407" t="s">
        <v>676</v>
      </c>
      <c r="Y89" s="342">
        <v>1787.5207792576928</v>
      </c>
      <c r="Z89" s="342">
        <v>1863.0498262685812</v>
      </c>
      <c r="AA89" s="342">
        <v>2014.1079202903582</v>
      </c>
      <c r="AB89" s="342">
        <v>2165.1660143121348</v>
      </c>
      <c r="AC89" s="342">
        <v>2265.8714103266529</v>
      </c>
      <c r="AD89" s="342">
        <v>2215.5187123193937</v>
      </c>
      <c r="AE89" s="342">
        <v>2190.3423633157645</v>
      </c>
      <c r="AF89" s="342">
        <v>2014.1079202903582</v>
      </c>
      <c r="AG89" s="342">
        <v>2265.8714103266529</v>
      </c>
      <c r="AH89" s="342">
        <v>2316.2241083339118</v>
      </c>
      <c r="AI89" s="342">
        <v>2114.8133163048765</v>
      </c>
      <c r="AJ89" s="342">
        <v>1963.7552222830996</v>
      </c>
      <c r="AK89" s="343">
        <v>25176.349003629475</v>
      </c>
      <c r="AM89" s="457"/>
      <c r="AN89" s="513">
        <f t="shared" si="6"/>
        <v>187341.7</v>
      </c>
      <c r="AO89" s="513">
        <f t="shared" si="7"/>
        <v>130109.24521487903</v>
      </c>
      <c r="AP89" s="515">
        <f>AN89/BDPPTO!BH89</f>
        <v>5.2043698085951613</v>
      </c>
    </row>
    <row r="90" spans="2:44" x14ac:dyDescent="0.25">
      <c r="B90" s="350">
        <v>13089</v>
      </c>
      <c r="C90" s="507"/>
      <c r="D90" s="406" t="s">
        <v>677</v>
      </c>
      <c r="E90" s="342">
        <f>IFERROR(VLOOKUP(B90,BDFDUSD!$B:$BJ,41,FALSE),0)</f>
        <v>24897.27</v>
      </c>
      <c r="F90" s="342">
        <f>IFERROR(VLOOKUP(B90,BDFDUSD!$B:$BJ,44,FALSE),0)</f>
        <v>28794.86</v>
      </c>
      <c r="G90" s="342">
        <f>IFERROR(VLOOKUP(B90,BDFDUSD!$B:$BJ,47,FALSE),0)</f>
        <v>28740.92</v>
      </c>
      <c r="H90" s="342">
        <f>IFERROR(VLOOKUP(B90,BDFDUSD!$B:$BJ,50,FALSE),0)</f>
        <v>89.95</v>
      </c>
      <c r="I90" s="342">
        <f>IFERROR(VLOOKUP(B90,BDFDUSD!$B:$BJ,53,FALSE),0)</f>
        <v>50291.71</v>
      </c>
      <c r="J90" s="342">
        <f>IFERROR(VLOOKUP(B90,BDFDUSD!$B:$BJ,56,FALSE),0)</f>
        <v>25971.5</v>
      </c>
      <c r="K90" s="342">
        <f>IFERROR(VLOOKUP(B90,BDFDUSD!$B:$BJ,59,FALSE),0)</f>
        <v>38033.21</v>
      </c>
      <c r="L90" s="516">
        <f>BDPPTO!L90*BDPPTOUSD!$AP90</f>
        <v>25894.619801878027</v>
      </c>
      <c r="M90" s="516">
        <f>BDPPTO!M90*BDPPTOUSD!$AP90</f>
        <v>25894.619801878027</v>
      </c>
      <c r="N90" s="516">
        <f>BDPPTO!N90*BDPPTOUSD!$AP90</f>
        <v>25894.619801878027</v>
      </c>
      <c r="O90" s="516">
        <f>BDPPTO!O90*BDPPTOUSD!$AP90</f>
        <v>27925.570374574345</v>
      </c>
      <c r="P90" s="516">
        <f>BDPPTO!P90*BDPPTOUSD!$AP90</f>
        <v>24371.40687235579</v>
      </c>
      <c r="Q90" s="343">
        <f t="shared" si="8"/>
        <v>326800.25665256416</v>
      </c>
      <c r="R90" s="346">
        <v>213253.86266475928</v>
      </c>
      <c r="S90" s="346">
        <v>221722.20546861933</v>
      </c>
      <c r="T90" s="346"/>
      <c r="U90" s="346"/>
      <c r="V90" s="350">
        <v>13089</v>
      </c>
      <c r="W90" s="507"/>
      <c r="X90" s="406" t="s">
        <v>677</v>
      </c>
      <c r="Y90" s="342">
        <v>1837.3165404118233</v>
      </c>
      <c r="Z90" s="342">
        <v>1914.9496336686611</v>
      </c>
      <c r="AA90" s="342">
        <v>2070.2158201823368</v>
      </c>
      <c r="AB90" s="342">
        <v>2225.4820066960119</v>
      </c>
      <c r="AC90" s="342">
        <v>2328.9927977051284</v>
      </c>
      <c r="AD90" s="342">
        <v>2277.2374022005702</v>
      </c>
      <c r="AE90" s="342">
        <v>2251.3597044482908</v>
      </c>
      <c r="AF90" s="342">
        <v>2070.2158201823368</v>
      </c>
      <c r="AG90" s="342">
        <v>2328.9927977051284</v>
      </c>
      <c r="AH90" s="342">
        <v>2380.7481932096866</v>
      </c>
      <c r="AI90" s="342">
        <v>2173.7266111914532</v>
      </c>
      <c r="AJ90" s="342">
        <v>2018.4604246777783</v>
      </c>
      <c r="AK90" s="343">
        <v>25877.6977522792</v>
      </c>
      <c r="AM90" s="457"/>
      <c r="AN90" s="513">
        <f t="shared" si="6"/>
        <v>196819.41999999998</v>
      </c>
      <c r="AO90" s="513">
        <f t="shared" si="7"/>
        <v>129980.8366525642</v>
      </c>
      <c r="AP90" s="515">
        <f>AN90/BDPPTO!BH90</f>
        <v>5.0773764317407899</v>
      </c>
    </row>
    <row r="91" spans="2:44" x14ac:dyDescent="0.25">
      <c r="B91" s="339">
        <v>13015</v>
      </c>
      <c r="C91" s="502" t="s">
        <v>103</v>
      </c>
      <c r="D91" s="406" t="s">
        <v>104</v>
      </c>
      <c r="E91" s="342">
        <f>IFERROR(VLOOKUP(B91,BDFDUSD!$B:$BJ,41,FALSE),0)</f>
        <v>142.91999999999999</v>
      </c>
      <c r="F91" s="342">
        <f>IFERROR(VLOOKUP(B91,BDFDUSD!$B:$BJ,44,FALSE),0)</f>
        <v>5954.35</v>
      </c>
      <c r="G91" s="342">
        <f>IFERROR(VLOOKUP(B91,BDFDUSD!$B:$BJ,47,FALSE),0)</f>
        <v>2823.13</v>
      </c>
      <c r="H91" s="342">
        <f>IFERROR(VLOOKUP(B91,BDFDUSD!$B:$BJ,50,FALSE),0)</f>
        <v>4936.6400000000003</v>
      </c>
      <c r="I91" s="342">
        <f>IFERROR(VLOOKUP(B91,BDFDUSD!$B:$BJ,53,FALSE),0)</f>
        <v>4456.26</v>
      </c>
      <c r="J91" s="342">
        <f>IFERROR(VLOOKUP(B91,BDFDUSD!$B:$BJ,56,FALSE),0)</f>
        <v>4091.47</v>
      </c>
      <c r="K91" s="342">
        <f>IFERROR(VLOOKUP(B91,BDFDUSD!$B:$BJ,59,FALSE),0)</f>
        <v>4258.8100000000004</v>
      </c>
      <c r="L91" s="516">
        <f>BDPPTO!L91*BDPPTOUSD!$AP91</f>
        <v>4113.3393897840251</v>
      </c>
      <c r="M91" s="516">
        <f>BDPPTO!M91*BDPPTOUSD!$AP91</f>
        <v>4113.3393897840251</v>
      </c>
      <c r="N91" s="516">
        <f>BDPPTO!N91*BDPPTOUSD!$AP91</f>
        <v>4113.3393897840251</v>
      </c>
      <c r="O91" s="516">
        <f>BDPPTO!O91*BDPPTOUSD!$AP91</f>
        <v>4570.3770997600286</v>
      </c>
      <c r="P91" s="516">
        <f>BDPPTO!P91*BDPPTOUSD!$AP91</f>
        <v>3656.3016798080225</v>
      </c>
      <c r="Q91" s="343">
        <f t="shared" si="8"/>
        <v>47230.276948920138</v>
      </c>
      <c r="R91" s="346">
        <v>48845.642463067838</v>
      </c>
      <c r="S91" s="346">
        <v>52391.502637384867</v>
      </c>
      <c r="T91" s="346"/>
      <c r="U91" s="346"/>
      <c r="V91" s="339">
        <v>13015</v>
      </c>
      <c r="W91" s="502" t="s">
        <v>103</v>
      </c>
      <c r="X91" s="406" t="s">
        <v>104</v>
      </c>
      <c r="Y91" s="342">
        <v>319.02652976478902</v>
      </c>
      <c r="Z91" s="342">
        <v>332.50652398020264</v>
      </c>
      <c r="AA91" s="342">
        <v>359.4665124110299</v>
      </c>
      <c r="AB91" s="342">
        <v>386.42650084185715</v>
      </c>
      <c r="AC91" s="342">
        <v>404.39982646240861</v>
      </c>
      <c r="AD91" s="342">
        <v>395.41316365213294</v>
      </c>
      <c r="AE91" s="342">
        <v>390.91983224699504</v>
      </c>
      <c r="AF91" s="342">
        <v>359.4665124110299</v>
      </c>
      <c r="AG91" s="342">
        <v>404.39982646240861</v>
      </c>
      <c r="AH91" s="342">
        <v>413.3864892726844</v>
      </c>
      <c r="AI91" s="342">
        <v>377.43983803158142</v>
      </c>
      <c r="AJ91" s="342">
        <v>350.47984960075416</v>
      </c>
      <c r="AK91" s="343">
        <v>4493.3314051378738</v>
      </c>
      <c r="AM91" s="457"/>
      <c r="AN91" s="513">
        <f t="shared" si="6"/>
        <v>26663.580000000005</v>
      </c>
      <c r="AO91" s="513">
        <f t="shared" si="7"/>
        <v>20566.696948920129</v>
      </c>
      <c r="AP91" s="515">
        <f>AN91/BDPPTO!BH91</f>
        <v>4.5703770997600284</v>
      </c>
      <c r="AR91" s="346">
        <f>SUM(Q91:Q92)</f>
        <v>108351.3782867601</v>
      </c>
    </row>
    <row r="92" spans="2:44" x14ac:dyDescent="0.25">
      <c r="B92" s="339">
        <v>13023</v>
      </c>
      <c r="C92" s="503"/>
      <c r="D92" s="408" t="s">
        <v>105</v>
      </c>
      <c r="E92" s="342">
        <f>IFERROR(VLOOKUP(B92,BDFDUSD!$B:$BJ,41,FALSE),0)</f>
        <v>1965.78</v>
      </c>
      <c r="F92" s="342">
        <f>IFERROR(VLOOKUP(B92,BDFDUSD!$B:$BJ,44,FALSE),0)</f>
        <v>-1022.5</v>
      </c>
      <c r="G92" s="342">
        <f>IFERROR(VLOOKUP(B92,BDFDUSD!$B:$BJ,47,FALSE),0)</f>
        <v>-1316.48</v>
      </c>
      <c r="H92" s="342">
        <f>IFERROR(VLOOKUP(B92,BDFDUSD!$B:$BJ,50,FALSE),0)</f>
        <v>-553.27</v>
      </c>
      <c r="I92" s="342">
        <f>IFERROR(VLOOKUP(B92,BDFDUSD!$B:$BJ,53,FALSE),0)</f>
        <v>10656.32</v>
      </c>
      <c r="J92" s="342">
        <f>IFERROR(VLOOKUP(B92,BDFDUSD!$B:$BJ,56,FALSE),0)</f>
        <v>11612.84</v>
      </c>
      <c r="K92" s="342">
        <f>IFERROR(VLOOKUP(B92,BDFDUSD!$B:$BJ,59,FALSE),0)</f>
        <v>14454.32</v>
      </c>
      <c r="L92" s="516">
        <f>BDPPTO!L92*BDPPTOUSD!$AP92</f>
        <v>0</v>
      </c>
      <c r="M92" s="516">
        <f>BDPPTO!M92*BDPPTOUSD!$AP92</f>
        <v>0</v>
      </c>
      <c r="N92" s="516">
        <f>BDPPTO!N92*BDPPTOUSD!$AP92</f>
        <v>0</v>
      </c>
      <c r="O92" s="516">
        <f>BDPPTO!O92*BDPPTOUSD!$AP92</f>
        <v>16882.727558559975</v>
      </c>
      <c r="P92" s="516">
        <f>BDPPTO!P92*BDPPTOUSD!$AP92</f>
        <v>8441.3637792799873</v>
      </c>
      <c r="Q92" s="343">
        <f t="shared" si="8"/>
        <v>61121.101337839966</v>
      </c>
      <c r="R92" s="346">
        <v>0</v>
      </c>
      <c r="S92" s="346">
        <v>0</v>
      </c>
      <c r="T92" s="346"/>
      <c r="U92" s="346"/>
      <c r="V92" s="339">
        <v>13023</v>
      </c>
      <c r="W92" s="503"/>
      <c r="X92" s="408" t="s">
        <v>105</v>
      </c>
      <c r="Y92" s="342">
        <v>0</v>
      </c>
      <c r="Z92" s="342">
        <v>0</v>
      </c>
      <c r="AA92" s="342">
        <v>0</v>
      </c>
      <c r="AB92" s="342">
        <v>0</v>
      </c>
      <c r="AC92" s="342">
        <v>0</v>
      </c>
      <c r="AD92" s="342">
        <v>0</v>
      </c>
      <c r="AE92" s="342">
        <v>0</v>
      </c>
      <c r="AF92" s="342">
        <v>0</v>
      </c>
      <c r="AG92" s="342">
        <v>0</v>
      </c>
      <c r="AH92" s="342">
        <v>0</v>
      </c>
      <c r="AI92" s="342">
        <v>0</v>
      </c>
      <c r="AJ92" s="342">
        <v>0</v>
      </c>
      <c r="AK92" s="343">
        <v>0</v>
      </c>
      <c r="AM92" s="457"/>
      <c r="AN92" s="513">
        <f t="shared" si="6"/>
        <v>35797.01</v>
      </c>
      <c r="AO92" s="513">
        <f t="shared" si="7"/>
        <v>25324.091337839964</v>
      </c>
      <c r="AP92" s="515">
        <f>AN92/BDPPTO!BH92</f>
        <v>5.6275758528533251</v>
      </c>
    </row>
    <row r="93" spans="2:44" x14ac:dyDescent="0.25">
      <c r="B93" s="339">
        <v>13145</v>
      </c>
      <c r="C93" s="340" t="s">
        <v>106</v>
      </c>
      <c r="D93" s="409" t="s">
        <v>107</v>
      </c>
      <c r="E93" s="342">
        <f>IFERROR(VLOOKUP(B93,BDFDUSD!$B:$BJ,41,FALSE),0)</f>
        <v>595.39</v>
      </c>
      <c r="F93" s="342">
        <f>IFERROR(VLOOKUP(B93,BDFDUSD!$B:$BJ,44,FALSE),0)</f>
        <v>20788.13</v>
      </c>
      <c r="G93" s="342">
        <f>IFERROR(VLOOKUP(B93,BDFDUSD!$B:$BJ,47,FALSE),0)</f>
        <v>8921.57</v>
      </c>
      <c r="H93" s="342">
        <f>IFERROR(VLOOKUP(B93,BDFDUSD!$B:$BJ,50,FALSE),0)</f>
        <v>27859</v>
      </c>
      <c r="I93" s="342">
        <f>IFERROR(VLOOKUP(B93,BDFDUSD!$B:$BJ,53,FALSE),0)</f>
        <v>-1137.3399999999999</v>
      </c>
      <c r="J93" s="342">
        <f>IFERROR(VLOOKUP(B93,BDFDUSD!$B:$BJ,56,FALSE),0)</f>
        <v>6925.8</v>
      </c>
      <c r="K93" s="342">
        <f>IFERROR(VLOOKUP(B93,BDFDUSD!$B:$BJ,59,FALSE),0)</f>
        <v>16147.33</v>
      </c>
      <c r="L93" s="516">
        <f>BDPPTO!L93*BDPPTOUSD!$AP93</f>
        <v>13874.809760506101</v>
      </c>
      <c r="M93" s="516">
        <f>BDPPTO!M93*BDPPTOUSD!$AP93</f>
        <v>13874.809760506101</v>
      </c>
      <c r="N93" s="516">
        <f>BDPPTO!N93*BDPPTOUSD!$AP93</f>
        <v>13874.809760506101</v>
      </c>
      <c r="O93" s="516">
        <f>BDPPTO!O93*BDPPTOUSD!$AP93</f>
        <v>19907.335743334843</v>
      </c>
      <c r="P93" s="516">
        <f>BDPPTO!P93*BDPPTOUSD!$AP93</f>
        <v>10858.546769091732</v>
      </c>
      <c r="Q93" s="343">
        <f t="shared" si="8"/>
        <v>152490.19179394492</v>
      </c>
      <c r="R93" s="346">
        <v>373261.14118563349</v>
      </c>
      <c r="S93" s="346">
        <v>348863.39358292375</v>
      </c>
      <c r="T93" s="346"/>
      <c r="U93" s="346"/>
      <c r="V93" s="339">
        <v>13145</v>
      </c>
      <c r="W93" s="340" t="s">
        <v>106</v>
      </c>
      <c r="X93" s="409" t="s">
        <v>107</v>
      </c>
      <c r="Y93" s="342">
        <v>4213.3061192797295</v>
      </c>
      <c r="Z93" s="342">
        <v>4391.3331384042258</v>
      </c>
      <c r="AA93" s="342">
        <v>4747.3871766532166</v>
      </c>
      <c r="AB93" s="342">
        <v>5103.4412149022073</v>
      </c>
      <c r="AC93" s="342">
        <v>5340.8105737348687</v>
      </c>
      <c r="AD93" s="342">
        <v>5222.1258943185376</v>
      </c>
      <c r="AE93" s="342">
        <v>5162.7835546103734</v>
      </c>
      <c r="AF93" s="342">
        <v>4747.3871766532166</v>
      </c>
      <c r="AG93" s="342">
        <v>5340.8105737348687</v>
      </c>
      <c r="AH93" s="342">
        <v>5459.495253151199</v>
      </c>
      <c r="AI93" s="342">
        <v>4984.756535485878</v>
      </c>
      <c r="AJ93" s="342">
        <v>4628.7024972368863</v>
      </c>
      <c r="AK93" s="343">
        <v>59342.339708165215</v>
      </c>
      <c r="AM93" s="457"/>
      <c r="AN93" s="513">
        <f t="shared" si="6"/>
        <v>80099.88</v>
      </c>
      <c r="AO93" s="513">
        <f t="shared" si="7"/>
        <v>72390.311793944871</v>
      </c>
      <c r="AP93" s="515">
        <f>AN93/BDPPTO!BH93</f>
        <v>6.0325259828287399</v>
      </c>
      <c r="AR93" s="346">
        <f>+Q93</f>
        <v>152490.19179394492</v>
      </c>
    </row>
    <row r="94" spans="2:44" x14ac:dyDescent="0.25">
      <c r="B94" s="339">
        <v>13087</v>
      </c>
      <c r="C94" s="351" t="s">
        <v>108</v>
      </c>
      <c r="D94" s="409" t="s">
        <v>678</v>
      </c>
      <c r="E94" s="342">
        <f>IFERROR(VLOOKUP(B94,BDFDUSD!$B:$BJ,41,FALSE),0)</f>
        <v>-2152.1799999999998</v>
      </c>
      <c r="F94" s="342">
        <f>IFERROR(VLOOKUP(B94,BDFDUSD!$B:$BJ,44,FALSE),0)</f>
        <v>-454.78</v>
      </c>
      <c r="G94" s="342">
        <f>IFERROR(VLOOKUP(B94,BDFDUSD!$B:$BJ,47,FALSE),0)</f>
        <v>-568.21</v>
      </c>
      <c r="H94" s="342">
        <f>IFERROR(VLOOKUP(B94,BDFDUSD!$B:$BJ,50,FALSE),0)</f>
        <v>-1147.96</v>
      </c>
      <c r="I94" s="342">
        <f>IFERROR(VLOOKUP(B94,BDFDUSD!$B:$BJ,53,FALSE),0)</f>
        <v>11537.53</v>
      </c>
      <c r="J94" s="342">
        <f>IFERROR(VLOOKUP(B94,BDFDUSD!$B:$BJ,56,FALSE),0)</f>
        <v>9511.33</v>
      </c>
      <c r="K94" s="342">
        <f>IFERROR(VLOOKUP(B94,BDFDUSD!$B:$BJ,59,FALSE),0)</f>
        <v>7852.71</v>
      </c>
      <c r="L94" s="516">
        <f>BDPPTO!L94*BDPPTOUSD!$AP94</f>
        <v>7395.1257672403417</v>
      </c>
      <c r="M94" s="516">
        <f>BDPPTO!M94*BDPPTOUSD!$AP94</f>
        <v>7395.1257672403417</v>
      </c>
      <c r="N94" s="516">
        <f>BDPPTO!N94*BDPPTOUSD!$AP94</f>
        <v>7395.1257672403417</v>
      </c>
      <c r="O94" s="516">
        <f>BDPPTO!O94*BDPPTOUSD!$AP94</f>
        <v>7395.1257672403417</v>
      </c>
      <c r="P94" s="516">
        <f>BDPPTO!P94*BDPPTOUSD!$AP94</f>
        <v>5916.1006137922732</v>
      </c>
      <c r="Q94" s="343">
        <f t="shared" si="8"/>
        <v>60075.043682753647</v>
      </c>
      <c r="R94" s="346">
        <v>78142.744004683846</v>
      </c>
      <c r="S94" s="346">
        <v>82349.129931873569</v>
      </c>
      <c r="T94" s="346"/>
      <c r="U94" s="346"/>
      <c r="V94" s="339">
        <v>13087</v>
      </c>
      <c r="W94" s="351" t="s">
        <v>108</v>
      </c>
      <c r="X94" s="409" t="s">
        <v>678</v>
      </c>
      <c r="Y94" s="342">
        <v>459.30686247681507</v>
      </c>
      <c r="Z94" s="342">
        <v>478.71419469414525</v>
      </c>
      <c r="AA94" s="342">
        <v>517.52885912880561</v>
      </c>
      <c r="AB94" s="342">
        <v>556.34352356346608</v>
      </c>
      <c r="AC94" s="342">
        <v>582.21996651990639</v>
      </c>
      <c r="AD94" s="342">
        <v>569.28174504168624</v>
      </c>
      <c r="AE94" s="342">
        <v>562.81263430257616</v>
      </c>
      <c r="AF94" s="342">
        <v>517.52885912880561</v>
      </c>
      <c r="AG94" s="342">
        <v>582.21996651990639</v>
      </c>
      <c r="AH94" s="342">
        <v>595.15818799812655</v>
      </c>
      <c r="AI94" s="342">
        <v>543.40530208524592</v>
      </c>
      <c r="AJ94" s="342">
        <v>504.59063765058556</v>
      </c>
      <c r="AK94" s="343">
        <v>6469.1107391100704</v>
      </c>
      <c r="AM94" s="457"/>
      <c r="AN94" s="513">
        <f t="shared" si="6"/>
        <v>24578.44</v>
      </c>
      <c r="AO94" s="513">
        <f t="shared" si="7"/>
        <v>35496.603682753637</v>
      </c>
      <c r="AP94" s="515">
        <f>AN94/BDPPTO!BH94</f>
        <v>2.9580503068961366</v>
      </c>
      <c r="AR94" s="346">
        <f>SUM(Q94:Q95)</f>
        <v>107537.71303759236</v>
      </c>
    </row>
    <row r="95" spans="2:44" ht="15.75" thickBot="1" x14ac:dyDescent="0.3">
      <c r="B95" s="339">
        <v>13085</v>
      </c>
      <c r="C95" s="352"/>
      <c r="D95" s="410" t="s">
        <v>110</v>
      </c>
      <c r="E95" s="342">
        <f>IFERROR(VLOOKUP(B95,BDFDUSD!$B:$BJ,41,FALSE),0)</f>
        <v>-865.17</v>
      </c>
      <c r="F95" s="342">
        <f>IFERROR(VLOOKUP(B95,BDFDUSD!$B:$BJ,44,FALSE),0)</f>
        <v>-239.98</v>
      </c>
      <c r="G95" s="342">
        <f>IFERROR(VLOOKUP(B95,BDFDUSD!$B:$BJ,47,FALSE),0)</f>
        <v>-1243.5899999999999</v>
      </c>
      <c r="H95" s="342">
        <f>IFERROR(VLOOKUP(B95,BDFDUSD!$B:$BJ,50,FALSE),0)</f>
        <v>-535.61</v>
      </c>
      <c r="I95" s="342">
        <f>IFERROR(VLOOKUP(B95,BDFDUSD!$B:$BJ,53,FALSE),0)</f>
        <v>-607.16</v>
      </c>
      <c r="J95" s="342">
        <f>IFERROR(VLOOKUP(B95,BDFDUSD!$B:$BJ,56,FALSE),0)</f>
        <v>7513.42</v>
      </c>
      <c r="K95" s="342">
        <f>IFERROR(VLOOKUP(B95,BDFDUSD!$B:$BJ,59,FALSE),0)</f>
        <v>10545.84</v>
      </c>
      <c r="L95" s="516">
        <f>BDPPTO!L95*BDPPTOUSD!$AP95</f>
        <v>6265.6989247311831</v>
      </c>
      <c r="M95" s="516">
        <f>BDPPTO!M95*BDPPTOUSD!$AP95</f>
        <v>6657.3051075268813</v>
      </c>
      <c r="N95" s="516">
        <f>BDPPTO!N95*BDPPTOUSD!$AP95</f>
        <v>6657.3051075268813</v>
      </c>
      <c r="O95" s="516">
        <f>BDPPTO!O95*BDPPTOUSD!$AP95</f>
        <v>6657.3051075268813</v>
      </c>
      <c r="P95" s="516">
        <f>BDPPTO!P95*BDPPTOUSD!$AP95</f>
        <v>6657.3051075268813</v>
      </c>
      <c r="Q95" s="343">
        <f t="shared" si="8"/>
        <v>47462.669354838712</v>
      </c>
      <c r="R95" s="346">
        <v>71742.199803827272</v>
      </c>
      <c r="S95" s="346">
        <v>96916.502205543715</v>
      </c>
      <c r="T95" s="346"/>
      <c r="U95" s="346"/>
      <c r="V95" s="339">
        <v>13085</v>
      </c>
      <c r="W95" s="352"/>
      <c r="X95" s="410" t="s">
        <v>110</v>
      </c>
      <c r="Y95" s="342">
        <v>386.330423491283</v>
      </c>
      <c r="Z95" s="342">
        <v>402.65424420218227</v>
      </c>
      <c r="AA95" s="342">
        <v>435.30188562398081</v>
      </c>
      <c r="AB95" s="342">
        <v>467.9495270457794</v>
      </c>
      <c r="AC95" s="342">
        <v>489.71462132697837</v>
      </c>
      <c r="AD95" s="342">
        <v>478.83207418637886</v>
      </c>
      <c r="AE95" s="342">
        <v>473.39080061607916</v>
      </c>
      <c r="AF95" s="342">
        <v>435.30188562398081</v>
      </c>
      <c r="AG95" s="342">
        <v>489.71462132697837</v>
      </c>
      <c r="AH95" s="342">
        <v>500.59716846757794</v>
      </c>
      <c r="AI95" s="342">
        <v>457.06697990517995</v>
      </c>
      <c r="AJ95" s="342">
        <v>424.4193384833813</v>
      </c>
      <c r="AK95" s="343">
        <v>5441.2735702997616</v>
      </c>
      <c r="AM95" s="457"/>
      <c r="AN95" s="513">
        <f t="shared" si="6"/>
        <v>14567.75</v>
      </c>
      <c r="AO95" s="513">
        <f t="shared" si="7"/>
        <v>32894.919354838712</v>
      </c>
      <c r="AP95" s="515">
        <f>AN95/BDPPTO!BH95</f>
        <v>7.8321236559139784</v>
      </c>
    </row>
    <row r="96" spans="2:44" x14ac:dyDescent="0.25">
      <c r="B96" s="339"/>
      <c r="C96" s="376"/>
      <c r="D96" s="377"/>
      <c r="E96" s="381"/>
      <c r="F96" s="379"/>
      <c r="G96" s="379"/>
      <c r="H96" s="379"/>
      <c r="I96" s="379"/>
      <c r="J96" s="379"/>
      <c r="K96" s="379"/>
      <c r="L96" s="379"/>
      <c r="M96" s="379"/>
      <c r="N96" s="379"/>
      <c r="O96" s="379"/>
      <c r="P96" s="379"/>
      <c r="Q96" s="379"/>
      <c r="R96" s="346"/>
      <c r="S96" s="346"/>
      <c r="T96" s="346"/>
      <c r="U96" s="346"/>
      <c r="V96" s="339"/>
      <c r="W96" s="376"/>
      <c r="X96" s="377"/>
      <c r="Y96" s="381"/>
      <c r="Z96" s="379"/>
      <c r="AA96" s="379"/>
      <c r="AB96" s="379"/>
      <c r="AC96" s="379"/>
      <c r="AD96" s="379"/>
      <c r="AE96" s="379"/>
      <c r="AF96" s="379"/>
      <c r="AG96" s="379"/>
      <c r="AH96" s="379"/>
      <c r="AI96" s="379"/>
      <c r="AJ96" s="379"/>
      <c r="AK96" s="379"/>
      <c r="AM96" s="457"/>
      <c r="AN96" s="513"/>
      <c r="AO96" s="513"/>
      <c r="AP96" s="515"/>
      <c r="AQ96" s="379"/>
      <c r="AR96" s="379"/>
    </row>
    <row r="97" spans="2:45" x14ac:dyDescent="0.25">
      <c r="B97" s="339"/>
      <c r="C97" s="382"/>
      <c r="D97" s="383" t="s">
        <v>150</v>
      </c>
      <c r="E97" s="380">
        <f>SUM(E57:E95)</f>
        <v>597003.34000000008</v>
      </c>
      <c r="F97" s="380">
        <f t="shared" ref="F97:P97" si="9">SUM(F57:F95)</f>
        <v>592346.08999999985</v>
      </c>
      <c r="G97" s="380">
        <f t="shared" si="9"/>
        <v>770203.03000000026</v>
      </c>
      <c r="H97" s="380">
        <f t="shared" si="9"/>
        <v>893378.59</v>
      </c>
      <c r="I97" s="380">
        <f t="shared" si="9"/>
        <v>999695.43999999983</v>
      </c>
      <c r="J97" s="380">
        <f t="shared" si="9"/>
        <v>733410.47</v>
      </c>
      <c r="K97" s="380">
        <f t="shared" si="9"/>
        <v>693737.13999999978</v>
      </c>
      <c r="L97" s="380">
        <f t="shared" si="9"/>
        <v>729759.51065012557</v>
      </c>
      <c r="M97" s="380">
        <f t="shared" si="9"/>
        <v>774018.05556081724</v>
      </c>
      <c r="N97" s="380">
        <f t="shared" si="9"/>
        <v>779543.33773626888</v>
      </c>
      <c r="O97" s="380">
        <f t="shared" si="9"/>
        <v>849730.33547594456</v>
      </c>
      <c r="P97" s="380">
        <f t="shared" si="9"/>
        <v>732778.52740888565</v>
      </c>
      <c r="Q97" s="380">
        <f>SUM(Q57:Q95)</f>
        <v>9145603.866832044</v>
      </c>
      <c r="R97" s="346">
        <v>8931763.5739213955</v>
      </c>
      <c r="S97" s="346">
        <v>8943527.2506585605</v>
      </c>
      <c r="T97" s="346"/>
      <c r="U97" s="346"/>
      <c r="V97" s="339"/>
      <c r="W97" s="382"/>
      <c r="X97" s="383" t="s">
        <v>150</v>
      </c>
      <c r="Y97" s="380">
        <v>77904.187610122201</v>
      </c>
      <c r="Z97" s="380">
        <v>81195.913847169621</v>
      </c>
      <c r="AA97" s="380">
        <v>87779.366321264461</v>
      </c>
      <c r="AB97" s="380">
        <v>94362.818795359301</v>
      </c>
      <c r="AC97" s="380">
        <v>101129.7906437225</v>
      </c>
      <c r="AD97" s="380">
        <v>98936.771675790864</v>
      </c>
      <c r="AE97" s="380">
        <v>86760.561227256345</v>
      </c>
      <c r="AF97" s="380">
        <v>79883.778097235874</v>
      </c>
      <c r="AG97" s="380">
        <v>89815.809582721369</v>
      </c>
      <c r="AH97" s="380">
        <v>92212.065905269526</v>
      </c>
      <c r="AI97" s="380">
        <v>84719.182710246067</v>
      </c>
      <c r="AJ97" s="380">
        <v>78508.316108628467</v>
      </c>
      <c r="AK97" s="380">
        <v>1053208.5625247869</v>
      </c>
      <c r="AM97" s="457"/>
      <c r="AN97" s="513">
        <f t="shared" ref="AN78:AN102" si="10">SUM(E97:K97)</f>
        <v>5279774.0999999996</v>
      </c>
      <c r="AO97" s="513">
        <f t="shared" ref="AO78:AO102" si="11">SUM(L97:P97)</f>
        <v>3865829.766832042</v>
      </c>
      <c r="AP97" s="515">
        <f>AN97/BDPPTO!BH97</f>
        <v>7.6168641413565803</v>
      </c>
      <c r="AQ97" s="380">
        <f>SUM(AQ57:AQ95)</f>
        <v>0</v>
      </c>
      <c r="AR97" s="380">
        <f>SUM(AR57:AR95)</f>
        <v>9145603.866832044</v>
      </c>
    </row>
    <row r="98" spans="2:45" ht="15.75" thickBot="1" x14ac:dyDescent="0.3">
      <c r="B98" s="339"/>
      <c r="C98" s="384"/>
      <c r="D98" s="385"/>
      <c r="E98" s="387"/>
      <c r="F98" s="387"/>
      <c r="G98" s="387"/>
      <c r="H98" s="387"/>
      <c r="I98" s="387"/>
      <c r="J98" s="387"/>
      <c r="K98" s="387"/>
      <c r="L98" s="387"/>
      <c r="M98" s="387"/>
      <c r="N98" s="387"/>
      <c r="O98" s="387"/>
      <c r="P98" s="387"/>
      <c r="Q98" s="387"/>
      <c r="R98" s="346"/>
      <c r="S98" s="346"/>
      <c r="T98" s="346"/>
      <c r="U98" s="346"/>
      <c r="V98" s="339"/>
      <c r="W98" s="384"/>
      <c r="X98" s="385"/>
      <c r="Y98" s="387"/>
      <c r="Z98" s="387"/>
      <c r="AA98" s="387"/>
      <c r="AB98" s="387"/>
      <c r="AC98" s="387"/>
      <c r="AD98" s="387"/>
      <c r="AE98" s="387"/>
      <c r="AF98" s="387"/>
      <c r="AG98" s="387"/>
      <c r="AH98" s="387"/>
      <c r="AI98" s="387"/>
      <c r="AJ98" s="387"/>
      <c r="AK98" s="387"/>
      <c r="AM98" s="457"/>
      <c r="AN98" s="513"/>
      <c r="AO98" s="513"/>
      <c r="AP98" s="515"/>
      <c r="AQ98" s="387"/>
      <c r="AR98" s="387"/>
    </row>
    <row r="99" spans="2:45" x14ac:dyDescent="0.25">
      <c r="B99" s="339"/>
      <c r="C99" s="411"/>
      <c r="D99" s="412"/>
      <c r="E99" s="392"/>
      <c r="F99" s="392"/>
      <c r="G99" s="392"/>
      <c r="H99" s="392"/>
      <c r="I99" s="392"/>
      <c r="J99" s="392"/>
      <c r="K99" s="392"/>
      <c r="L99" s="392"/>
      <c r="M99" s="392"/>
      <c r="N99" s="392"/>
      <c r="O99" s="392"/>
      <c r="P99" s="392"/>
      <c r="Q99" s="392"/>
      <c r="R99" s="346"/>
      <c r="S99" s="346"/>
      <c r="T99" s="346"/>
      <c r="U99" s="346"/>
      <c r="V99" s="339"/>
      <c r="W99" s="411"/>
      <c r="X99" s="412"/>
      <c r="Y99" s="392"/>
      <c r="Z99" s="392"/>
      <c r="AA99" s="392"/>
      <c r="AB99" s="392"/>
      <c r="AC99" s="392"/>
      <c r="AD99" s="392"/>
      <c r="AE99" s="392"/>
      <c r="AF99" s="392"/>
      <c r="AG99" s="392"/>
      <c r="AH99" s="392"/>
      <c r="AI99" s="392"/>
      <c r="AJ99" s="392"/>
      <c r="AK99" s="392"/>
      <c r="AM99" s="457"/>
      <c r="AN99" s="513"/>
      <c r="AO99" s="513"/>
      <c r="AP99" s="515"/>
      <c r="AQ99" s="392"/>
      <c r="AR99" s="392"/>
    </row>
    <row r="100" spans="2:45" ht="15.75" thickBot="1" x14ac:dyDescent="0.3">
      <c r="B100" s="339"/>
      <c r="C100" s="411"/>
      <c r="D100" s="412"/>
      <c r="E100" s="392"/>
      <c r="F100" s="392"/>
      <c r="G100" s="392"/>
      <c r="H100" s="392"/>
      <c r="I100" s="392"/>
      <c r="J100" s="392"/>
      <c r="K100" s="392"/>
      <c r="L100" s="392"/>
      <c r="M100" s="392"/>
      <c r="N100" s="392"/>
      <c r="O100" s="392"/>
      <c r="P100" s="392"/>
      <c r="Q100" s="392"/>
      <c r="R100" s="346"/>
      <c r="S100" s="346"/>
      <c r="T100" s="346"/>
      <c r="U100" s="346"/>
      <c r="V100" s="339"/>
      <c r="W100" s="411"/>
      <c r="X100" s="412"/>
      <c r="Y100" s="392"/>
      <c r="Z100" s="392"/>
      <c r="AA100" s="392"/>
      <c r="AB100" s="392"/>
      <c r="AC100" s="392"/>
      <c r="AD100" s="392"/>
      <c r="AE100" s="392"/>
      <c r="AF100" s="392"/>
      <c r="AG100" s="392"/>
      <c r="AH100" s="392"/>
      <c r="AI100" s="392"/>
      <c r="AJ100" s="392"/>
      <c r="AK100" s="392"/>
      <c r="AM100" s="457"/>
      <c r="AN100" s="513"/>
      <c r="AO100" s="513"/>
      <c r="AP100" s="515"/>
      <c r="AQ100" s="392"/>
      <c r="AR100" s="392"/>
    </row>
    <row r="101" spans="2:45" x14ac:dyDescent="0.25">
      <c r="B101" s="339"/>
      <c r="C101" s="376"/>
      <c r="D101" s="377"/>
      <c r="E101" s="413"/>
      <c r="F101" s="414"/>
      <c r="G101" s="414"/>
      <c r="H101" s="414"/>
      <c r="I101" s="414"/>
      <c r="J101" s="414"/>
      <c r="K101" s="414"/>
      <c r="L101" s="414"/>
      <c r="M101" s="414"/>
      <c r="N101" s="414"/>
      <c r="O101" s="414"/>
      <c r="P101" s="414"/>
      <c r="Q101" s="414"/>
      <c r="R101" s="346"/>
      <c r="S101" s="346"/>
      <c r="T101" s="346"/>
      <c r="U101" s="346"/>
      <c r="V101" s="339"/>
      <c r="W101" s="376"/>
      <c r="X101" s="377"/>
      <c r="Y101" s="413"/>
      <c r="Z101" s="414"/>
      <c r="AA101" s="414"/>
      <c r="AB101" s="414"/>
      <c r="AC101" s="414"/>
      <c r="AD101" s="414"/>
      <c r="AE101" s="414"/>
      <c r="AF101" s="414"/>
      <c r="AG101" s="414"/>
      <c r="AH101" s="414"/>
      <c r="AI101" s="414"/>
      <c r="AJ101" s="414"/>
      <c r="AK101" s="414"/>
      <c r="AM101" s="457"/>
      <c r="AN101" s="513"/>
      <c r="AO101" s="513"/>
      <c r="AP101" s="515"/>
      <c r="AQ101" s="414"/>
      <c r="AR101" s="414"/>
    </row>
    <row r="102" spans="2:45" x14ac:dyDescent="0.25">
      <c r="B102" s="339"/>
      <c r="C102" s="415" t="s">
        <v>151</v>
      </c>
      <c r="D102" s="383"/>
      <c r="E102" s="380">
        <f>SUM(E97,E52)</f>
        <v>1192612.9000000001</v>
      </c>
      <c r="F102" s="380">
        <f t="shared" ref="F102:AL102" si="12">SUM(F97,F52)</f>
        <v>1256244.9099999999</v>
      </c>
      <c r="G102" s="380">
        <f t="shared" si="12"/>
        <v>1381926.1400000001</v>
      </c>
      <c r="H102" s="380">
        <f t="shared" si="12"/>
        <v>1471586.13</v>
      </c>
      <c r="I102" s="380">
        <f t="shared" si="12"/>
        <v>1608427.0899999999</v>
      </c>
      <c r="J102" s="380">
        <f t="shared" si="12"/>
        <v>1588190.4499999997</v>
      </c>
      <c r="K102" s="380">
        <f t="shared" si="12"/>
        <v>1507518.0499999998</v>
      </c>
      <c r="L102" s="380">
        <f t="shared" si="12"/>
        <v>1412004.5433202623</v>
      </c>
      <c r="M102" s="380">
        <f t="shared" si="12"/>
        <v>1440762.6690197729</v>
      </c>
      <c r="N102" s="380">
        <f t="shared" si="12"/>
        <v>1473509.9645984641</v>
      </c>
      <c r="O102" s="380">
        <f t="shared" si="12"/>
        <v>1574624.1306568459</v>
      </c>
      <c r="P102" s="380">
        <f t="shared" si="12"/>
        <v>1358676.3500002315</v>
      </c>
      <c r="Q102" s="380">
        <f t="shared" si="12"/>
        <v>17266083.32759558</v>
      </c>
      <c r="R102" s="380">
        <f t="shared" si="12"/>
        <v>16715725.666143259</v>
      </c>
      <c r="S102" s="380">
        <f t="shared" si="12"/>
        <v>16508798.800120855</v>
      </c>
      <c r="T102" s="380">
        <f t="shared" si="12"/>
        <v>0</v>
      </c>
      <c r="U102" s="380">
        <f t="shared" si="12"/>
        <v>0</v>
      </c>
      <c r="V102" s="380">
        <f t="shared" si="12"/>
        <v>0</v>
      </c>
      <c r="W102" s="380">
        <f t="shared" si="12"/>
        <v>0</v>
      </c>
      <c r="X102" s="380">
        <f t="shared" si="12"/>
        <v>0</v>
      </c>
      <c r="Y102" s="380">
        <f t="shared" si="12"/>
        <v>151897.24663893942</v>
      </c>
      <c r="Z102" s="380">
        <f t="shared" si="12"/>
        <v>158315.44015889463</v>
      </c>
      <c r="AA102" s="380">
        <f t="shared" si="12"/>
        <v>171151.827198805</v>
      </c>
      <c r="AB102" s="380">
        <f t="shared" si="12"/>
        <v>184240.87355121539</v>
      </c>
      <c r="AC102" s="380">
        <f t="shared" si="12"/>
        <v>195107.04205845564</v>
      </c>
      <c r="AD102" s="380">
        <f t="shared" si="12"/>
        <v>190833.22682858544</v>
      </c>
      <c r="AE102" s="380">
        <f t="shared" si="12"/>
        <v>176626.14073803122</v>
      </c>
      <c r="AF102" s="380">
        <f t="shared" si="12"/>
        <v>162542.78437869553</v>
      </c>
      <c r="AG102" s="380">
        <f t="shared" si="12"/>
        <v>185521.36041915516</v>
      </c>
      <c r="AH102" s="380">
        <f t="shared" si="12"/>
        <v>189056.49175603146</v>
      </c>
      <c r="AI102" s="380">
        <f t="shared" si="12"/>
        <v>173567.16035786204</v>
      </c>
      <c r="AJ102" s="380">
        <f t="shared" si="12"/>
        <v>161400.24377159329</v>
      </c>
      <c r="AK102" s="380">
        <f t="shared" si="12"/>
        <v>2100259.8378562643</v>
      </c>
      <c r="AL102" s="380">
        <f t="shared" si="12"/>
        <v>0</v>
      </c>
      <c r="AM102" s="457"/>
      <c r="AN102" s="513">
        <f t="shared" si="10"/>
        <v>10006505.669999998</v>
      </c>
      <c r="AO102" s="513">
        <f t="shared" si="11"/>
        <v>7259577.6575955767</v>
      </c>
      <c r="AP102" s="515">
        <f>AN102/BDPPTO!BH102</f>
        <v>7.4140222631704109</v>
      </c>
      <c r="AQ102" s="380">
        <f t="shared" ref="AQ102:AR102" si="13">SUM(AQ97,AQ52)</f>
        <v>6659939.545774078</v>
      </c>
      <c r="AR102" s="380">
        <f t="shared" si="13"/>
        <v>10606143.781821502</v>
      </c>
      <c r="AS102" s="346">
        <f>+AR102+AQ102</f>
        <v>17266083.32759558</v>
      </c>
    </row>
    <row r="103" spans="2:45" ht="15.75" thickBot="1" x14ac:dyDescent="0.3">
      <c r="B103" s="339"/>
      <c r="C103" s="384"/>
      <c r="D103" s="385"/>
      <c r="E103" s="387"/>
      <c r="F103" s="387"/>
      <c r="G103" s="387"/>
      <c r="H103" s="387"/>
      <c r="I103" s="387"/>
      <c r="J103" s="387"/>
      <c r="K103" s="387"/>
      <c r="L103" s="387"/>
      <c r="M103" s="387"/>
      <c r="N103" s="387"/>
      <c r="O103" s="387"/>
      <c r="P103" s="387"/>
      <c r="Q103" s="387"/>
      <c r="R103" s="346"/>
      <c r="S103" s="346"/>
      <c r="T103" s="346"/>
      <c r="U103" s="346"/>
      <c r="V103" s="339"/>
      <c r="W103" s="384"/>
      <c r="X103" s="385"/>
      <c r="Y103" s="387"/>
      <c r="Z103" s="387"/>
      <c r="AA103" s="387"/>
      <c r="AB103" s="387"/>
      <c r="AC103" s="387"/>
      <c r="AD103" s="387"/>
      <c r="AE103" s="387"/>
      <c r="AF103" s="387"/>
      <c r="AG103" s="387"/>
      <c r="AH103" s="387"/>
      <c r="AI103" s="387"/>
      <c r="AJ103" s="387"/>
      <c r="AK103" s="387"/>
      <c r="AM103" s="457"/>
      <c r="AQ103" s="387"/>
      <c r="AR103" s="387"/>
    </row>
    <row r="104" spans="2:45" x14ac:dyDescent="0.25">
      <c r="E104" s="346"/>
      <c r="F104" s="346"/>
      <c r="G104" s="346"/>
      <c r="H104" s="346"/>
      <c r="I104" s="346"/>
      <c r="J104" s="346"/>
      <c r="K104" s="346"/>
      <c r="L104" s="346"/>
      <c r="M104" s="346"/>
      <c r="N104" s="346"/>
      <c r="O104" s="346"/>
      <c r="P104" s="346"/>
      <c r="Q104" s="346">
        <f>+Q102-17325000</f>
        <v>-58916.672404419631</v>
      </c>
      <c r="AK104" s="459"/>
    </row>
    <row r="105" spans="2:45" x14ac:dyDescent="0.25">
      <c r="E105" s="346">
        <v>1189969</v>
      </c>
      <c r="F105" s="346">
        <v>1254142</v>
      </c>
      <c r="G105" s="346">
        <v>1375814</v>
      </c>
      <c r="H105" s="346">
        <v>1470062</v>
      </c>
      <c r="I105" s="346">
        <v>1607460</v>
      </c>
      <c r="J105" s="346">
        <v>1586973</v>
      </c>
      <c r="K105" s="346">
        <v>1506579</v>
      </c>
      <c r="L105" s="346"/>
      <c r="M105" s="346"/>
      <c r="N105" s="346"/>
      <c r="O105" s="346"/>
      <c r="P105" s="346"/>
      <c r="Q105" s="346"/>
      <c r="AK105" s="459"/>
      <c r="AQ105" s="521">
        <v>6199035</v>
      </c>
      <c r="AR105" s="521">
        <v>11125880</v>
      </c>
      <c r="AS105" s="346">
        <f>+AR105+AQ105</f>
        <v>17324915</v>
      </c>
    </row>
    <row r="106" spans="2:45" ht="22.5" customHeight="1" x14ac:dyDescent="0.25">
      <c r="E106" s="346"/>
      <c r="F106" s="346"/>
      <c r="G106" s="346"/>
      <c r="H106" s="346"/>
      <c r="I106" s="346"/>
      <c r="J106" s="346"/>
      <c r="K106" s="346"/>
      <c r="L106" s="346">
        <v>1382771</v>
      </c>
      <c r="M106" s="346">
        <v>1576558</v>
      </c>
      <c r="N106" s="346">
        <v>1610624</v>
      </c>
      <c r="O106" s="346">
        <v>1483174</v>
      </c>
      <c r="P106" s="346">
        <v>1377592</v>
      </c>
      <c r="Q106" s="346"/>
      <c r="AQ106" s="522">
        <f>+AQ102-AQ105</f>
        <v>460904.545774078</v>
      </c>
      <c r="AR106" s="522">
        <f>+AR102-AR105</f>
        <v>-519736.21817849763</v>
      </c>
      <c r="AS106" s="522">
        <f>+AS102-AS105</f>
        <v>-58831.672404419631</v>
      </c>
    </row>
    <row r="107" spans="2:45" x14ac:dyDescent="0.25">
      <c r="E107" s="346">
        <f>E102-E105</f>
        <v>2643.9000000001397</v>
      </c>
      <c r="F107" s="346">
        <f t="shared" ref="F107:K107" si="14">F102-F105</f>
        <v>2102.9099999999162</v>
      </c>
      <c r="G107" s="346">
        <f t="shared" si="14"/>
        <v>6112.1400000001304</v>
      </c>
      <c r="H107" s="346">
        <f t="shared" si="14"/>
        <v>1524.1299999998882</v>
      </c>
      <c r="I107" s="346">
        <f t="shared" si="14"/>
        <v>967.08999999985099</v>
      </c>
      <c r="J107" s="346">
        <f t="shared" si="14"/>
        <v>1217.4499999997206</v>
      </c>
      <c r="K107" s="346">
        <f t="shared" si="14"/>
        <v>939.04999999981374</v>
      </c>
      <c r="L107" s="346">
        <f>+L106-L102</f>
        <v>-29233.543320262339</v>
      </c>
      <c r="M107" s="346">
        <f t="shared" ref="M107:P107" si="15">+M106-M102</f>
        <v>135795.3309802271</v>
      </c>
      <c r="N107" s="346">
        <f t="shared" si="15"/>
        <v>137114.03540153592</v>
      </c>
      <c r="O107" s="346">
        <f t="shared" si="15"/>
        <v>-91450.130656845868</v>
      </c>
      <c r="P107" s="346">
        <f t="shared" si="15"/>
        <v>18915.649999768473</v>
      </c>
      <c r="AS107" s="521">
        <f>+AS106/4.97</f>
        <v>-11837.358632680007</v>
      </c>
    </row>
    <row r="110" spans="2:45" x14ac:dyDescent="0.25">
      <c r="C110">
        <v>13117</v>
      </c>
      <c r="D110" s="453" t="s">
        <v>703</v>
      </c>
    </row>
    <row r="111" spans="2:45" x14ac:dyDescent="0.25">
      <c r="C111">
        <v>13115</v>
      </c>
      <c r="D111" s="453" t="s">
        <v>704</v>
      </c>
    </row>
    <row r="112" spans="2:45" x14ac:dyDescent="0.25">
      <c r="C112">
        <v>13049</v>
      </c>
      <c r="D112" s="453" t="s">
        <v>705</v>
      </c>
    </row>
    <row r="113" spans="3:4" x14ac:dyDescent="0.25">
      <c r="C113">
        <v>13159</v>
      </c>
      <c r="D113" s="453" t="s">
        <v>706</v>
      </c>
    </row>
    <row r="114" spans="3:4" x14ac:dyDescent="0.25">
      <c r="C114">
        <v>13166</v>
      </c>
      <c r="D114" s="453" t="s">
        <v>707</v>
      </c>
    </row>
    <row r="115" spans="3:4" x14ac:dyDescent="0.25">
      <c r="C115">
        <v>13165</v>
      </c>
      <c r="D115" s="453" t="s">
        <v>708</v>
      </c>
    </row>
  </sheetData>
  <mergeCells count="8">
    <mergeCell ref="C91:C92"/>
    <mergeCell ref="W91:W92"/>
    <mergeCell ref="C29:C30"/>
    <mergeCell ref="W29:W30"/>
    <mergeCell ref="C34:C38"/>
    <mergeCell ref="W34:W38"/>
    <mergeCell ref="C79:C90"/>
    <mergeCell ref="W79:W90"/>
  </mergeCell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/>
  <dimension ref="B1:BW117"/>
  <sheetViews>
    <sheetView topLeftCell="B1" zoomScale="70" zoomScaleNormal="70" workbookViewId="0">
      <pane xSplit="3" ySplit="6" topLeftCell="E7" activePane="bottomRight" state="frozen"/>
      <selection activeCell="B1" sqref="B1"/>
      <selection pane="topRight" activeCell="E1" sqref="E1"/>
      <selection pane="bottomLeft" activeCell="B7" sqref="B7"/>
      <selection pane="bottomRight" activeCell="J9" sqref="J9"/>
    </sheetView>
  </sheetViews>
  <sheetFormatPr baseColWidth="10" defaultRowHeight="15" x14ac:dyDescent="0.25"/>
  <cols>
    <col min="1" max="1" width="2.42578125" customWidth="1"/>
    <col min="2" max="2" width="13.85546875" style="326" customWidth="1"/>
    <col min="3" max="3" width="15.5703125" customWidth="1"/>
    <col min="4" max="4" width="30.5703125" customWidth="1"/>
    <col min="5" max="9" width="9.85546875" customWidth="1"/>
    <col min="10" max="10" width="10.42578125" customWidth="1"/>
    <col min="11" max="16" width="9.85546875" customWidth="1"/>
    <col min="17" max="17" width="13.28515625" bestFit="1" customWidth="1"/>
    <col min="19" max="24" width="0" hidden="1" customWidth="1"/>
    <col min="25" max="25" width="13.42578125" style="326" hidden="1" customWidth="1"/>
    <col min="26" max="26" width="0" hidden="1" customWidth="1"/>
    <col min="27" max="27" width="17.7109375" hidden="1" customWidth="1"/>
    <col min="28" max="28" width="35.7109375" hidden="1" customWidth="1"/>
    <col min="29" max="45" width="0" hidden="1" customWidth="1"/>
    <col min="46" max="46" width="35.7109375" hidden="1" customWidth="1"/>
    <col min="47" max="47" width="13.28515625" hidden="1" customWidth="1"/>
    <col min="48" max="59" width="0" hidden="1" customWidth="1"/>
    <col min="60" max="60" width="13.85546875" style="326" bestFit="1" customWidth="1"/>
    <col min="61" max="61" width="11.42578125" style="326"/>
  </cols>
  <sheetData>
    <row r="1" spans="2:61" x14ac:dyDescent="0.25">
      <c r="D1" s="327"/>
      <c r="E1" s="328"/>
      <c r="F1" s="328"/>
      <c r="G1" s="328"/>
      <c r="H1" s="328"/>
      <c r="I1" s="328"/>
      <c r="J1" s="328"/>
      <c r="K1" s="328"/>
      <c r="L1" s="328"/>
      <c r="M1" s="328"/>
      <c r="N1" s="328"/>
      <c r="O1" s="328"/>
      <c r="P1" s="328"/>
    </row>
    <row r="3" spans="2:61" s="330" customFormat="1" x14ac:dyDescent="0.25">
      <c r="B3" s="329">
        <v>1</v>
      </c>
      <c r="C3" s="330">
        <v>2</v>
      </c>
      <c r="D3" s="330">
        <v>3</v>
      </c>
      <c r="E3" s="330">
        <v>4</v>
      </c>
      <c r="F3" s="330">
        <v>5</v>
      </c>
      <c r="G3" s="330">
        <v>6</v>
      </c>
      <c r="H3" s="330">
        <v>7</v>
      </c>
      <c r="I3" s="330">
        <v>8</v>
      </c>
      <c r="J3" s="330">
        <v>9</v>
      </c>
      <c r="K3" s="330">
        <v>10</v>
      </c>
      <c r="L3" s="330">
        <v>11</v>
      </c>
      <c r="M3" s="330">
        <v>12</v>
      </c>
      <c r="N3" s="330">
        <v>13</v>
      </c>
      <c r="O3" s="330">
        <v>14</v>
      </c>
      <c r="P3" s="330">
        <v>15</v>
      </c>
      <c r="Q3" s="330">
        <v>16</v>
      </c>
      <c r="Y3" s="329"/>
      <c r="Z3" s="330">
        <v>1</v>
      </c>
      <c r="AA3" s="330">
        <v>2</v>
      </c>
      <c r="AB3" s="330">
        <v>3</v>
      </c>
      <c r="AC3" s="330">
        <v>4</v>
      </c>
      <c r="AD3" s="330">
        <v>5</v>
      </c>
      <c r="AE3" s="330">
        <v>6</v>
      </c>
      <c r="AF3" s="330">
        <v>7</v>
      </c>
      <c r="AG3" s="330">
        <v>8</v>
      </c>
      <c r="AH3" s="330">
        <v>9</v>
      </c>
      <c r="AI3" s="330">
        <v>10</v>
      </c>
      <c r="AJ3" s="330">
        <v>11</v>
      </c>
      <c r="AK3" s="330">
        <v>12</v>
      </c>
      <c r="AL3" s="330">
        <v>13</v>
      </c>
      <c r="AM3" s="330">
        <v>14</v>
      </c>
      <c r="AN3" s="330">
        <v>15</v>
      </c>
      <c r="AO3" s="330">
        <v>16</v>
      </c>
      <c r="BH3" s="329"/>
      <c r="BI3" s="329"/>
    </row>
    <row r="4" spans="2:61" x14ac:dyDescent="0.25">
      <c r="E4" s="331" t="s">
        <v>147</v>
      </c>
      <c r="R4" s="331"/>
      <c r="S4" s="331"/>
      <c r="T4" s="331"/>
      <c r="U4" s="331"/>
      <c r="AC4" s="332" t="s">
        <v>649</v>
      </c>
      <c r="AD4" s="333"/>
      <c r="AU4" s="331" t="s">
        <v>650</v>
      </c>
    </row>
    <row r="5" spans="2:61" ht="29.25" customHeight="1" x14ac:dyDescent="0.25">
      <c r="E5" s="334" t="s">
        <v>133</v>
      </c>
      <c r="F5" s="334" t="s">
        <v>134</v>
      </c>
      <c r="G5" s="334" t="s">
        <v>135</v>
      </c>
      <c r="H5" s="334" t="s">
        <v>136</v>
      </c>
      <c r="I5" s="334" t="s">
        <v>137</v>
      </c>
      <c r="J5" s="334" t="s">
        <v>138</v>
      </c>
      <c r="K5" s="334" t="s">
        <v>139</v>
      </c>
      <c r="L5" s="334" t="s">
        <v>140</v>
      </c>
      <c r="M5" s="334" t="s">
        <v>141</v>
      </c>
      <c r="N5" s="334" t="s">
        <v>142</v>
      </c>
      <c r="O5" s="334" t="s">
        <v>143</v>
      </c>
      <c r="P5" s="334" t="s">
        <v>144</v>
      </c>
      <c r="Q5" s="334" t="s">
        <v>146</v>
      </c>
      <c r="R5" s="331"/>
      <c r="S5" s="335" t="s">
        <v>651</v>
      </c>
      <c r="T5" s="335" t="s">
        <v>652</v>
      </c>
      <c r="U5" s="335" t="s">
        <v>653</v>
      </c>
      <c r="V5" s="331" t="s">
        <v>654</v>
      </c>
      <c r="W5" s="336" t="s">
        <v>655</v>
      </c>
      <c r="X5" s="337" t="s">
        <v>656</v>
      </c>
      <c r="Y5" s="335" t="s">
        <v>657</v>
      </c>
      <c r="AC5" s="334" t="s">
        <v>133</v>
      </c>
      <c r="AD5" s="334" t="s">
        <v>134</v>
      </c>
      <c r="AE5" s="334" t="s">
        <v>135</v>
      </c>
      <c r="AF5" s="334" t="s">
        <v>136</v>
      </c>
      <c r="AG5" s="334" t="s">
        <v>137</v>
      </c>
      <c r="AH5" s="334" t="s">
        <v>138</v>
      </c>
      <c r="AI5" s="334" t="s">
        <v>139</v>
      </c>
      <c r="AJ5" s="334" t="s">
        <v>140</v>
      </c>
      <c r="AK5" s="334" t="s">
        <v>141</v>
      </c>
      <c r="AL5" s="334" t="s">
        <v>142</v>
      </c>
      <c r="AM5" s="334" t="s">
        <v>143</v>
      </c>
      <c r="AN5" s="334" t="s">
        <v>144</v>
      </c>
      <c r="AO5" s="334" t="s">
        <v>146</v>
      </c>
      <c r="AP5" s="331"/>
      <c r="AQ5" s="331"/>
      <c r="AR5" s="331"/>
      <c r="AS5" s="331"/>
      <c r="AU5" s="334" t="s">
        <v>133</v>
      </c>
      <c r="AV5" s="334" t="s">
        <v>134</v>
      </c>
      <c r="AW5" s="334" t="s">
        <v>135</v>
      </c>
      <c r="AX5" s="334" t="s">
        <v>136</v>
      </c>
      <c r="AY5" s="334" t="s">
        <v>137</v>
      </c>
      <c r="AZ5" s="334" t="s">
        <v>138</v>
      </c>
      <c r="BA5" s="334" t="s">
        <v>139</v>
      </c>
      <c r="BB5" s="334" t="s">
        <v>140</v>
      </c>
      <c r="BC5" s="334" t="s">
        <v>141</v>
      </c>
      <c r="BD5" s="334" t="s">
        <v>142</v>
      </c>
      <c r="BE5" s="334" t="s">
        <v>143</v>
      </c>
      <c r="BF5" s="334" t="s">
        <v>144</v>
      </c>
      <c r="BG5" s="334" t="s">
        <v>146</v>
      </c>
      <c r="BH5" s="512" t="s">
        <v>709</v>
      </c>
      <c r="BI5" s="512" t="s">
        <v>710</v>
      </c>
    </row>
    <row r="6" spans="2:61" x14ac:dyDescent="0.25">
      <c r="V6" s="338"/>
      <c r="W6" s="338"/>
      <c r="X6" s="331"/>
    </row>
    <row r="7" spans="2:61" x14ac:dyDescent="0.25">
      <c r="B7" s="339">
        <v>13017</v>
      </c>
      <c r="C7" s="340" t="s">
        <v>5</v>
      </c>
      <c r="D7" s="341" t="s">
        <v>6</v>
      </c>
      <c r="E7" s="342">
        <f>IFERROR(VLOOKUP(B7,BDFD!$B:$BG,38,FALSE),0)</f>
        <v>0</v>
      </c>
      <c r="F7" s="342">
        <f>IFERROR(VLOOKUP(B7,BDFD!$B:$BG,41,FALSE),0)</f>
        <v>-1</v>
      </c>
      <c r="G7" s="342">
        <f>IFERROR(VLOOKUP(B7,BDFD!$B:$BG,44,FALSE),0)</f>
        <v>-1556</v>
      </c>
      <c r="H7" s="342">
        <f>IFERROR(VLOOKUP(B7,BDFD!$B:$BG,47,FALSE),0)</f>
        <v>-279</v>
      </c>
      <c r="I7" s="342">
        <f>IFERROR(VLOOKUP(B7,BDFD!$B:$BG,50,FALSE),0)</f>
        <v>-642</v>
      </c>
      <c r="J7" s="342">
        <f>IFERROR(VLOOKUP(B7,BDFD!$B:$BG,53,FALSE),0)</f>
        <v>-115</v>
      </c>
      <c r="K7" s="342">
        <f>IFERROR(VLOOKUP(B7,BDFD!$B:$BG,56,FALSE),0)</f>
        <v>-245</v>
      </c>
      <c r="L7" s="342">
        <v>0</v>
      </c>
      <c r="M7" s="342">
        <v>0</v>
      </c>
      <c r="N7" s="342">
        <v>0</v>
      </c>
      <c r="O7" s="342">
        <v>0</v>
      </c>
      <c r="P7" s="342">
        <v>0</v>
      </c>
      <c r="Q7" s="343">
        <f>SUM(E7:P7)</f>
        <v>-2838</v>
      </c>
      <c r="R7" s="344"/>
      <c r="S7" s="344">
        <v>2.5259999999999998</v>
      </c>
      <c r="T7" s="344">
        <v>2.5259999999999998</v>
      </c>
      <c r="U7" s="344">
        <v>2.5447200000000003</v>
      </c>
      <c r="V7" s="345">
        <v>0.625</v>
      </c>
      <c r="W7" s="345"/>
      <c r="X7" s="346">
        <v>1267.5852521310467</v>
      </c>
      <c r="Y7" s="347">
        <v>0.2</v>
      </c>
      <c r="Z7" s="339">
        <v>13017</v>
      </c>
      <c r="AA7" s="340" t="s">
        <v>5</v>
      </c>
      <c r="AB7" s="341" t="s">
        <v>6</v>
      </c>
      <c r="AC7" s="348">
        <v>89.998552901304308</v>
      </c>
      <c r="AD7" s="342">
        <v>93.801308657697447</v>
      </c>
      <c r="AE7" s="342">
        <v>101.40682017048374</v>
      </c>
      <c r="AF7" s="342">
        <v>109.01233168327002</v>
      </c>
      <c r="AG7" s="342">
        <v>114.08267269179419</v>
      </c>
      <c r="AH7" s="342">
        <v>111.54750218753209</v>
      </c>
      <c r="AI7" s="342">
        <v>110.27991693540105</v>
      </c>
      <c r="AJ7" s="342">
        <v>101.40682017048374</v>
      </c>
      <c r="AK7" s="342">
        <v>114.08267269179419</v>
      </c>
      <c r="AL7" s="342">
        <v>116.6178431960563</v>
      </c>
      <c r="AM7" s="342">
        <v>106.47716117900794</v>
      </c>
      <c r="AN7" s="342">
        <v>98.871649666221629</v>
      </c>
      <c r="AO7" s="343">
        <v>1267.5852521310467</v>
      </c>
      <c r="AP7" s="346">
        <v>0</v>
      </c>
      <c r="AQ7" s="346"/>
      <c r="AR7" s="339">
        <v>13017</v>
      </c>
      <c r="AS7" s="340" t="s">
        <v>5</v>
      </c>
      <c r="AT7" s="341" t="s">
        <v>6</v>
      </c>
      <c r="AU7" s="342">
        <v>539.99131740782582</v>
      </c>
      <c r="AV7" s="342">
        <v>562.80785194618466</v>
      </c>
      <c r="AW7" s="342">
        <v>608.44092102290233</v>
      </c>
      <c r="AX7" s="342">
        <v>654.07399009962</v>
      </c>
      <c r="AY7" s="342">
        <v>684.49603615076512</v>
      </c>
      <c r="AZ7" s="342">
        <v>669.28501312519256</v>
      </c>
      <c r="BA7" s="342">
        <v>661.67950161240628</v>
      </c>
      <c r="BB7" s="342">
        <v>608.44092102290233</v>
      </c>
      <c r="BC7" s="342">
        <v>684.49603615076512</v>
      </c>
      <c r="BD7" s="342">
        <v>699.70705917633768</v>
      </c>
      <c r="BE7" s="342">
        <v>638.86296707404756</v>
      </c>
      <c r="BF7" s="342">
        <v>593.22989799732977</v>
      </c>
      <c r="BG7" s="343">
        <v>7605.5115127862791</v>
      </c>
      <c r="BH7" s="513">
        <f>SUM(E7:K7)</f>
        <v>-2838</v>
      </c>
      <c r="BI7" s="513">
        <f>SUM(L7:P7)</f>
        <v>0</v>
      </c>
    </row>
    <row r="8" spans="2:61" x14ac:dyDescent="0.25">
      <c r="B8" s="339">
        <v>13016</v>
      </c>
      <c r="C8" s="349"/>
      <c r="D8" s="341" t="s">
        <v>7</v>
      </c>
      <c r="E8" s="342">
        <f>IFERROR(VLOOKUP(B8,BDFD!$B:$BG,38,FALSE),0)</f>
        <v>-8</v>
      </c>
      <c r="F8" s="342">
        <f>IFERROR(VLOOKUP(B8,BDFD!$B:$BG,41,FALSE),0)</f>
        <v>0</v>
      </c>
      <c r="G8" s="342">
        <f>IFERROR(VLOOKUP(B8,BDFD!$B:$BG,44,FALSE),0)</f>
        <v>-7</v>
      </c>
      <c r="H8" s="342">
        <f>IFERROR(VLOOKUP(B8,BDFD!$B:$BG,47,FALSE),0)</f>
        <v>-234</v>
      </c>
      <c r="I8" s="342">
        <f>IFERROR(VLOOKUP(B8,BDFD!$B:$BG,50,FALSE),0)</f>
        <v>-491</v>
      </c>
      <c r="J8" s="342">
        <f>IFERROR(VLOOKUP(B8,BDFD!$B:$BG,53,FALSE),0)</f>
        <v>-78</v>
      </c>
      <c r="K8" s="342">
        <f>IFERROR(VLOOKUP(B8,BDFD!$B:$BG,56,FALSE),0)</f>
        <v>927</v>
      </c>
      <c r="L8" s="342">
        <v>200</v>
      </c>
      <c r="M8" s="342">
        <v>300</v>
      </c>
      <c r="N8" s="342">
        <v>300</v>
      </c>
      <c r="O8" s="342">
        <v>300</v>
      </c>
      <c r="P8" s="342">
        <v>200</v>
      </c>
      <c r="Q8" s="343">
        <f t="shared" ref="Q8:Q50" si="0">SUM(E8:P8)</f>
        <v>1409</v>
      </c>
      <c r="R8" s="344"/>
      <c r="S8" s="344">
        <v>2.1751666666666671</v>
      </c>
      <c r="T8" s="344">
        <v>11.587241379310345</v>
      </c>
      <c r="U8" s="344">
        <v>2.191286666666667</v>
      </c>
      <c r="V8" s="345">
        <v>7.75</v>
      </c>
      <c r="W8" s="344">
        <v>0.72</v>
      </c>
      <c r="X8" s="346">
        <v>1620.1777579674617</v>
      </c>
      <c r="Y8" s="347">
        <v>0.2</v>
      </c>
      <c r="Z8" s="339">
        <v>13016</v>
      </c>
      <c r="AA8" s="349"/>
      <c r="AB8" s="341" t="s">
        <v>7</v>
      </c>
      <c r="AC8" s="348">
        <v>115.03262081568978</v>
      </c>
      <c r="AD8" s="342">
        <v>119.89315408959217</v>
      </c>
      <c r="AE8" s="342">
        <v>129.61422063739695</v>
      </c>
      <c r="AF8" s="342">
        <v>139.33528718520171</v>
      </c>
      <c r="AG8" s="342">
        <v>145.81599821707155</v>
      </c>
      <c r="AH8" s="342">
        <v>142.57564270113662</v>
      </c>
      <c r="AI8" s="342">
        <v>140.95546494316918</v>
      </c>
      <c r="AJ8" s="342">
        <v>129.61422063739695</v>
      </c>
      <c r="AK8" s="342">
        <v>145.81599821707155</v>
      </c>
      <c r="AL8" s="342">
        <v>149.05635373300649</v>
      </c>
      <c r="AM8" s="342">
        <v>136.0949316692668</v>
      </c>
      <c r="AN8" s="342">
        <v>126.37386512146202</v>
      </c>
      <c r="AO8" s="343">
        <v>1620.1777579674617</v>
      </c>
      <c r="AP8" s="346">
        <v>0</v>
      </c>
      <c r="AQ8" s="346"/>
      <c r="AR8" s="339">
        <v>13016</v>
      </c>
      <c r="AS8" s="349"/>
      <c r="AT8" s="341" t="s">
        <v>7</v>
      </c>
      <c r="AU8" s="342">
        <v>690.19572489413872</v>
      </c>
      <c r="AV8" s="342">
        <v>719.35892453755298</v>
      </c>
      <c r="AW8" s="342">
        <v>777.68532382438161</v>
      </c>
      <c r="AX8" s="342">
        <v>836.01172311121013</v>
      </c>
      <c r="AY8" s="342">
        <v>874.89598930242926</v>
      </c>
      <c r="AZ8" s="342">
        <v>855.45385620681975</v>
      </c>
      <c r="BA8" s="342">
        <v>845.732789659015</v>
      </c>
      <c r="BB8" s="342">
        <v>777.68532382438161</v>
      </c>
      <c r="BC8" s="342">
        <v>874.89598930242926</v>
      </c>
      <c r="BD8" s="342">
        <v>894.33812239803888</v>
      </c>
      <c r="BE8" s="342">
        <v>816.56959001560074</v>
      </c>
      <c r="BF8" s="342">
        <v>758.24319072877211</v>
      </c>
      <c r="BG8" s="343">
        <v>9721.0665478047704</v>
      </c>
      <c r="BH8" s="513">
        <f t="shared" ref="BH8:BH77" si="1">SUM(E8:K8)</f>
        <v>109</v>
      </c>
      <c r="BI8" s="513">
        <f t="shared" ref="BI8:BI77" si="2">SUM(L8:P8)</f>
        <v>1300</v>
      </c>
    </row>
    <row r="9" spans="2:61" x14ac:dyDescent="0.25">
      <c r="B9" s="350">
        <v>13078</v>
      </c>
      <c r="C9" s="351" t="s">
        <v>8</v>
      </c>
      <c r="D9" s="341" t="s">
        <v>9</v>
      </c>
      <c r="E9" s="342">
        <f>IFERROR(VLOOKUP(B9,BDFD!$B:$BG,38,FALSE),0)</f>
        <v>766</v>
      </c>
      <c r="F9" s="342">
        <f>IFERROR(VLOOKUP(B9,BDFD!$B:$BG,41,FALSE),0)</f>
        <v>1284</v>
      </c>
      <c r="G9" s="342">
        <f>IFERROR(VLOOKUP(B9,BDFD!$B:$BG,44,FALSE),0)</f>
        <v>744</v>
      </c>
      <c r="H9" s="342">
        <f>IFERROR(VLOOKUP(B9,BDFD!$B:$BG,47,FALSE),0)</f>
        <v>86</v>
      </c>
      <c r="I9" s="342">
        <f>IFERROR(VLOOKUP(B9,BDFD!$B:$BG,50,FALSE),0)</f>
        <v>-62</v>
      </c>
      <c r="J9" s="342">
        <f>IFERROR(VLOOKUP(B9,BDFD!$B:$BG,53,FALSE),0)</f>
        <v>-25</v>
      </c>
      <c r="K9" s="342">
        <f>IFERROR(VLOOKUP(B9,BDFD!$B:$BG,56,FALSE),0)</f>
        <v>2277</v>
      </c>
      <c r="L9" s="342">
        <v>700</v>
      </c>
      <c r="M9" s="342">
        <v>700</v>
      </c>
      <c r="N9" s="342">
        <v>900</v>
      </c>
      <c r="O9" s="342">
        <v>800</v>
      </c>
      <c r="P9" s="342">
        <v>500</v>
      </c>
      <c r="Q9" s="343">
        <f t="shared" si="0"/>
        <v>8670</v>
      </c>
      <c r="R9" s="344"/>
      <c r="S9" s="344">
        <v>22.971242407509664</v>
      </c>
      <c r="T9" s="344">
        <v>21.894794871794868</v>
      </c>
      <c r="U9" s="344">
        <v>22.690420000000003</v>
      </c>
      <c r="V9" s="344">
        <v>13.49</v>
      </c>
      <c r="W9" s="344"/>
      <c r="X9" s="346">
        <v>1162.5141754091485</v>
      </c>
      <c r="Y9" s="347">
        <v>0.1</v>
      </c>
      <c r="Z9" s="350">
        <v>13078</v>
      </c>
      <c r="AA9" s="351" t="s">
        <v>8</v>
      </c>
      <c r="AB9" s="341" t="s">
        <v>9</v>
      </c>
      <c r="AC9" s="348">
        <v>82.538506454049525</v>
      </c>
      <c r="AD9" s="342">
        <v>86.026048980276983</v>
      </c>
      <c r="AE9" s="342">
        <v>93.001134032731869</v>
      </c>
      <c r="AF9" s="342">
        <v>99.976219085186756</v>
      </c>
      <c r="AG9" s="342">
        <v>104.62627578682334</v>
      </c>
      <c r="AH9" s="342">
        <v>102.30124743600504</v>
      </c>
      <c r="AI9" s="342">
        <v>101.1387332605959</v>
      </c>
      <c r="AJ9" s="342">
        <v>93.001134032731869</v>
      </c>
      <c r="AK9" s="342">
        <v>104.62627578682334</v>
      </c>
      <c r="AL9" s="342">
        <v>106.95130413764164</v>
      </c>
      <c r="AM9" s="342">
        <v>97.65119073436847</v>
      </c>
      <c r="AN9" s="342">
        <v>90.676105681913569</v>
      </c>
      <c r="AO9" s="343">
        <v>1162.5141754091485</v>
      </c>
      <c r="AP9" s="346">
        <v>0</v>
      </c>
      <c r="AQ9" s="346"/>
      <c r="AR9" s="350">
        <v>13078</v>
      </c>
      <c r="AS9" s="351" t="s">
        <v>8</v>
      </c>
      <c r="AT9" s="341" t="s">
        <v>9</v>
      </c>
      <c r="AU9" s="342">
        <v>907.92357099454478</v>
      </c>
      <c r="AV9" s="342">
        <v>946.28653878304669</v>
      </c>
      <c r="AW9" s="342">
        <v>1023.0124743600505</v>
      </c>
      <c r="AX9" s="342">
        <v>1099.7384099370543</v>
      </c>
      <c r="AY9" s="342">
        <v>1150.8890336550567</v>
      </c>
      <c r="AZ9" s="342">
        <v>1125.3137217960555</v>
      </c>
      <c r="BA9" s="342">
        <v>1112.5260658665547</v>
      </c>
      <c r="BB9" s="342">
        <v>1023.0124743600505</v>
      </c>
      <c r="BC9" s="342">
        <v>1150.8890336550567</v>
      </c>
      <c r="BD9" s="342">
        <v>1176.4643455140581</v>
      </c>
      <c r="BE9" s="342">
        <v>1074.1630980780531</v>
      </c>
      <c r="BF9" s="342">
        <v>997.43716250104922</v>
      </c>
      <c r="BG9" s="343">
        <v>12787.655929500634</v>
      </c>
      <c r="BH9" s="513">
        <f t="shared" si="1"/>
        <v>5070</v>
      </c>
      <c r="BI9" s="513">
        <f t="shared" si="2"/>
        <v>3600</v>
      </c>
    </row>
    <row r="10" spans="2:61" x14ac:dyDescent="0.25">
      <c r="B10" s="339">
        <v>13120</v>
      </c>
      <c r="C10" s="352"/>
      <c r="D10" s="341" t="s">
        <v>10</v>
      </c>
      <c r="E10" s="342">
        <f>IFERROR(VLOOKUP(B10,BDFD!$B:$BG,38,FALSE),0)</f>
        <v>0</v>
      </c>
      <c r="F10" s="342">
        <f>IFERROR(VLOOKUP(B10,BDFD!$B:$BG,41,FALSE),0)</f>
        <v>350</v>
      </c>
      <c r="G10" s="342">
        <f>IFERROR(VLOOKUP(B10,BDFD!$B:$BG,44,FALSE),0)</f>
        <v>415</v>
      </c>
      <c r="H10" s="342">
        <f>IFERROR(VLOOKUP(B10,BDFD!$B:$BG,47,FALSE),0)</f>
        <v>750</v>
      </c>
      <c r="I10" s="342">
        <f>IFERROR(VLOOKUP(B10,BDFD!$B:$BG,50,FALSE),0)</f>
        <v>-466</v>
      </c>
      <c r="J10" s="342">
        <f>IFERROR(VLOOKUP(B10,BDFD!$B:$BG,53,FALSE),0)</f>
        <v>-9</v>
      </c>
      <c r="K10" s="342">
        <f>IFERROR(VLOOKUP(B10,BDFD!$B:$BG,56,FALSE),0)</f>
        <v>568</v>
      </c>
      <c r="L10" s="342">
        <v>230</v>
      </c>
      <c r="M10" s="342">
        <v>230</v>
      </c>
      <c r="N10" s="342">
        <v>250</v>
      </c>
      <c r="O10" s="342">
        <v>250</v>
      </c>
      <c r="P10" s="342">
        <v>200</v>
      </c>
      <c r="Q10" s="343">
        <f t="shared" si="0"/>
        <v>2768</v>
      </c>
      <c r="R10" s="344"/>
      <c r="S10" s="344">
        <v>23.25704</v>
      </c>
      <c r="T10" s="344">
        <v>25.46975903614458</v>
      </c>
      <c r="U10" s="344">
        <v>23.439698666666668</v>
      </c>
      <c r="V10" s="344">
        <v>19.559999999999999</v>
      </c>
      <c r="W10" s="344"/>
      <c r="X10" s="346">
        <v>346.4012750291821</v>
      </c>
      <c r="Y10" s="347">
        <v>0.1</v>
      </c>
      <c r="Z10" s="339">
        <v>13120</v>
      </c>
      <c r="AA10" s="352"/>
      <c r="AB10" s="341" t="s">
        <v>10</v>
      </c>
      <c r="AC10" s="348">
        <v>24.594490527071926</v>
      </c>
      <c r="AD10" s="342">
        <v>25.633694352159473</v>
      </c>
      <c r="AE10" s="342">
        <v>27.712102002334564</v>
      </c>
      <c r="AF10" s="342">
        <v>29.790509652509655</v>
      </c>
      <c r="AG10" s="342">
        <v>31.176114752626383</v>
      </c>
      <c r="AH10" s="342">
        <v>30.483312202568015</v>
      </c>
      <c r="AI10" s="342">
        <v>30.136910927538835</v>
      </c>
      <c r="AJ10" s="342">
        <v>27.712102002334564</v>
      </c>
      <c r="AK10" s="342">
        <v>31.176114752626383</v>
      </c>
      <c r="AL10" s="342">
        <v>31.86891730268475</v>
      </c>
      <c r="AM10" s="342">
        <v>29.097707102451295</v>
      </c>
      <c r="AN10" s="342">
        <v>27.019299452276201</v>
      </c>
      <c r="AO10" s="343">
        <v>346.40127502918205</v>
      </c>
      <c r="AP10" s="346">
        <v>0</v>
      </c>
      <c r="AQ10" s="346"/>
      <c r="AR10" s="339">
        <v>13120</v>
      </c>
      <c r="AS10" s="352"/>
      <c r="AT10" s="341" t="s">
        <v>10</v>
      </c>
      <c r="AU10" s="342">
        <v>270.53939579779114</v>
      </c>
      <c r="AV10" s="342">
        <v>281.97063787375419</v>
      </c>
      <c r="AW10" s="342">
        <v>304.83312202568021</v>
      </c>
      <c r="AX10" s="342">
        <v>327.69560617760624</v>
      </c>
      <c r="AY10" s="342">
        <v>342.93726227889022</v>
      </c>
      <c r="AZ10" s="342">
        <v>335.31643422824817</v>
      </c>
      <c r="BA10" s="342">
        <v>331.50602020292717</v>
      </c>
      <c r="BB10" s="342">
        <v>304.83312202568021</v>
      </c>
      <c r="BC10" s="342">
        <v>342.93726227889022</v>
      </c>
      <c r="BD10" s="342">
        <v>350.55809032953221</v>
      </c>
      <c r="BE10" s="342">
        <v>320.07477812696425</v>
      </c>
      <c r="BF10" s="342">
        <v>297.21229397503816</v>
      </c>
      <c r="BG10" s="343">
        <v>3810.4140253210026</v>
      </c>
      <c r="BH10" s="513">
        <f t="shared" si="1"/>
        <v>1608</v>
      </c>
      <c r="BI10" s="513">
        <f t="shared" si="2"/>
        <v>1160</v>
      </c>
    </row>
    <row r="11" spans="2:61" x14ac:dyDescent="0.25">
      <c r="B11" s="339">
        <v>13053</v>
      </c>
      <c r="C11" s="353"/>
      <c r="D11" s="341" t="s">
        <v>11</v>
      </c>
      <c r="E11" s="342">
        <f>IFERROR(VLOOKUP(B11,BDFD!$B:$BG,38,FALSE),0)</f>
        <v>987</v>
      </c>
      <c r="F11" s="342">
        <f>IFERROR(VLOOKUP(B11,BDFD!$B:$BG,41,FALSE),0)</f>
        <v>2032</v>
      </c>
      <c r="G11" s="342">
        <f>IFERROR(VLOOKUP(B11,BDFD!$B:$BG,44,FALSE),0)</f>
        <v>1293</v>
      </c>
      <c r="H11" s="342">
        <f>IFERROR(VLOOKUP(B11,BDFD!$B:$BG,47,FALSE),0)</f>
        <v>684</v>
      </c>
      <c r="I11" s="342">
        <f>IFERROR(VLOOKUP(B11,BDFD!$B:$BG,50,FALSE),0)</f>
        <v>83</v>
      </c>
      <c r="J11" s="342">
        <f>IFERROR(VLOOKUP(B11,BDFD!$B:$BG,53,FALSE),0)</f>
        <v>4226</v>
      </c>
      <c r="K11" s="342">
        <f>IFERROR(VLOOKUP(B11,BDFD!$B:$BG,56,FALSE),0)</f>
        <v>1909</v>
      </c>
      <c r="L11" s="342">
        <v>1404</v>
      </c>
      <c r="M11" s="342">
        <v>1579</v>
      </c>
      <c r="N11" s="342">
        <v>1600</v>
      </c>
      <c r="O11" s="342">
        <v>1450</v>
      </c>
      <c r="P11" s="342">
        <v>1369</v>
      </c>
      <c r="Q11" s="343">
        <f t="shared" si="0"/>
        <v>18616</v>
      </c>
      <c r="R11" s="344"/>
      <c r="S11" s="344">
        <v>29.925235769876394</v>
      </c>
      <c r="T11" s="344">
        <v>30.801124818577648</v>
      </c>
      <c r="U11" s="344">
        <v>30.812318000000008</v>
      </c>
      <c r="V11" s="344">
        <v>18.07</v>
      </c>
      <c r="W11" s="344"/>
      <c r="X11" s="346">
        <v>2807.7764574189659</v>
      </c>
      <c r="Y11" s="347">
        <v>0.16</v>
      </c>
      <c r="Z11" s="339">
        <v>13053</v>
      </c>
      <c r="AA11" s="353"/>
      <c r="AB11" s="341" t="s">
        <v>11</v>
      </c>
      <c r="AC11" s="348">
        <v>199.35212847674654</v>
      </c>
      <c r="AD11" s="342">
        <v>207.77545784900349</v>
      </c>
      <c r="AE11" s="342">
        <v>224.62211659351729</v>
      </c>
      <c r="AF11" s="342">
        <v>241.46877533803104</v>
      </c>
      <c r="AG11" s="342">
        <v>252.69988116770693</v>
      </c>
      <c r="AH11" s="342">
        <v>247.084328252869</v>
      </c>
      <c r="AI11" s="342">
        <v>244.27655179545005</v>
      </c>
      <c r="AJ11" s="342">
        <v>224.62211659351729</v>
      </c>
      <c r="AK11" s="342">
        <v>252.69988116770693</v>
      </c>
      <c r="AL11" s="342">
        <v>258.31543408254487</v>
      </c>
      <c r="AM11" s="342">
        <v>235.85322242319316</v>
      </c>
      <c r="AN11" s="342">
        <v>219.00656367867936</v>
      </c>
      <c r="AO11" s="343">
        <v>2807.7764574189659</v>
      </c>
      <c r="AP11" s="346">
        <v>0</v>
      </c>
      <c r="AQ11" s="346"/>
      <c r="AR11" s="339">
        <v>13053</v>
      </c>
      <c r="AS11" s="353"/>
      <c r="AT11" s="341" t="s">
        <v>11</v>
      </c>
      <c r="AU11" s="342">
        <v>1445.3029314564124</v>
      </c>
      <c r="AV11" s="342">
        <v>1506.3720694052752</v>
      </c>
      <c r="AW11" s="342">
        <v>1628.5103453030003</v>
      </c>
      <c r="AX11" s="342">
        <v>1750.6486212007251</v>
      </c>
      <c r="AY11" s="342">
        <v>1832.0741384658752</v>
      </c>
      <c r="AZ11" s="342">
        <v>1791.3613798333001</v>
      </c>
      <c r="BA11" s="342">
        <v>1771.0050005170128</v>
      </c>
      <c r="BB11" s="342">
        <v>1628.5103453030003</v>
      </c>
      <c r="BC11" s="342">
        <v>1832.0741384658752</v>
      </c>
      <c r="BD11" s="342">
        <v>1872.7868970984503</v>
      </c>
      <c r="BE11" s="342">
        <v>1709.9358625681502</v>
      </c>
      <c r="BF11" s="342">
        <v>1587.7975866704253</v>
      </c>
      <c r="BG11" s="343">
        <v>20356.379316287501</v>
      </c>
      <c r="BH11" s="513">
        <f t="shared" ref="BH11:BH50" si="3">SUM(E11:K11)</f>
        <v>11214</v>
      </c>
      <c r="BI11" s="513">
        <f t="shared" ref="BI11:BI50" si="4">SUM(L11:P11)</f>
        <v>7402</v>
      </c>
    </row>
    <row r="12" spans="2:61" x14ac:dyDescent="0.25">
      <c r="B12" s="339">
        <v>13022</v>
      </c>
      <c r="C12" s="340" t="s">
        <v>12</v>
      </c>
      <c r="D12" s="341" t="s">
        <v>13</v>
      </c>
      <c r="E12" s="342">
        <f>IFERROR(VLOOKUP(B12,BDFD!$B:$BG,38,FALSE),0)</f>
        <v>59029</v>
      </c>
      <c r="F12" s="342">
        <f>IFERROR(VLOOKUP(B12,BDFD!$B:$BG,41,FALSE),0)</f>
        <v>39496</v>
      </c>
      <c r="G12" s="342">
        <f>IFERROR(VLOOKUP(B12,BDFD!$B:$BG,44,FALSE),0)</f>
        <v>33607</v>
      </c>
      <c r="H12" s="342">
        <f>IFERROR(VLOOKUP(B12,BDFD!$B:$BG,47,FALSE),0)</f>
        <v>51635</v>
      </c>
      <c r="I12" s="342">
        <f>IFERROR(VLOOKUP(B12,BDFD!$B:$BG,50,FALSE),0)</f>
        <v>46769</v>
      </c>
      <c r="J12" s="342">
        <f>IFERROR(VLOOKUP(B12,BDFD!$B:$BG,53,FALSE),0)</f>
        <v>52729</v>
      </c>
      <c r="K12" s="342">
        <f>IFERROR(VLOOKUP(B12,BDFD!$B:$BG,56,FALSE),0)</f>
        <v>47641</v>
      </c>
      <c r="L12" s="342">
        <v>45000</v>
      </c>
      <c r="M12" s="342">
        <v>45000</v>
      </c>
      <c r="N12" s="342">
        <v>45000</v>
      </c>
      <c r="O12" s="342">
        <v>50000</v>
      </c>
      <c r="P12" s="342">
        <v>45000</v>
      </c>
      <c r="Q12" s="343">
        <f t="shared" si="0"/>
        <v>560906</v>
      </c>
      <c r="R12" s="344"/>
      <c r="S12" s="344">
        <v>5.072983693495039</v>
      </c>
      <c r="T12" s="344">
        <v>5.03385934786803</v>
      </c>
      <c r="U12" s="344">
        <v>4.8137620000000005</v>
      </c>
      <c r="V12" s="344">
        <v>2.29</v>
      </c>
      <c r="W12" s="344"/>
      <c r="X12" s="346">
        <v>255503.3577721137</v>
      </c>
      <c r="Y12" s="347">
        <v>0.6</v>
      </c>
      <c r="Z12" s="339">
        <v>13022</v>
      </c>
      <c r="AA12" s="340" t="s">
        <v>12</v>
      </c>
      <c r="AB12" s="341" t="s">
        <v>13</v>
      </c>
      <c r="AC12" s="348">
        <v>18140.738401820076</v>
      </c>
      <c r="AD12" s="342">
        <v>18907.248475136417</v>
      </c>
      <c r="AE12" s="342">
        <v>20440.268621769101</v>
      </c>
      <c r="AF12" s="342">
        <v>21973.288768401781</v>
      </c>
      <c r="AG12" s="342">
        <v>22995.302199490237</v>
      </c>
      <c r="AH12" s="342">
        <v>22484.295483946007</v>
      </c>
      <c r="AI12" s="342">
        <v>22228.792126173896</v>
      </c>
      <c r="AJ12" s="342">
        <v>20440.268621769101</v>
      </c>
      <c r="AK12" s="342">
        <v>22995.302199490237</v>
      </c>
      <c r="AL12" s="342">
        <v>23506.308915034464</v>
      </c>
      <c r="AM12" s="342">
        <v>21462.282052857558</v>
      </c>
      <c r="AN12" s="342">
        <v>19929.261906224874</v>
      </c>
      <c r="AO12" s="343">
        <v>255503.35777211376</v>
      </c>
      <c r="AP12" s="346">
        <v>0</v>
      </c>
      <c r="AQ12" s="346"/>
      <c r="AR12" s="339">
        <v>13022</v>
      </c>
      <c r="AS12" s="340" t="s">
        <v>12</v>
      </c>
      <c r="AT12" s="341" t="s">
        <v>13</v>
      </c>
      <c r="AU12" s="342">
        <v>48375.30240485353</v>
      </c>
      <c r="AV12" s="342">
        <v>50419.329267030451</v>
      </c>
      <c r="AW12" s="342">
        <v>54507.382991384271</v>
      </c>
      <c r="AX12" s="342">
        <v>58595.436715738077</v>
      </c>
      <c r="AY12" s="342">
        <v>61320.805865307302</v>
      </c>
      <c r="AZ12" s="342">
        <v>59958.121290522686</v>
      </c>
      <c r="BA12" s="342">
        <v>59276.779003130388</v>
      </c>
      <c r="BB12" s="342">
        <v>54507.382991384271</v>
      </c>
      <c r="BC12" s="342">
        <v>61320.805865307302</v>
      </c>
      <c r="BD12" s="342">
        <v>62683.490440091904</v>
      </c>
      <c r="BE12" s="342">
        <v>57232.752140953482</v>
      </c>
      <c r="BF12" s="342">
        <v>53144.698416599669</v>
      </c>
      <c r="BG12" s="343">
        <v>681342.28739230323</v>
      </c>
      <c r="BH12" s="513">
        <f t="shared" si="3"/>
        <v>330906</v>
      </c>
      <c r="BI12" s="513">
        <f t="shared" si="4"/>
        <v>230000</v>
      </c>
    </row>
    <row r="13" spans="2:61" x14ac:dyDescent="0.25">
      <c r="B13" s="339">
        <v>13141</v>
      </c>
      <c r="C13" s="354" t="s">
        <v>18</v>
      </c>
      <c r="D13" s="355" t="s">
        <v>20</v>
      </c>
      <c r="E13" s="342">
        <f>IFERROR(VLOOKUP(B13,BDFD!$B:$BG,38,FALSE),0)</f>
        <v>230</v>
      </c>
      <c r="F13" s="342">
        <f>IFERROR(VLOOKUP(B13,BDFD!$B:$BG,41,FALSE),0)</f>
        <v>1660</v>
      </c>
      <c r="G13" s="342">
        <f>IFERROR(VLOOKUP(B13,BDFD!$B:$BG,44,FALSE),0)</f>
        <v>1200</v>
      </c>
      <c r="H13" s="342">
        <f>IFERROR(VLOOKUP(B13,BDFD!$B:$BG,47,FALSE),0)</f>
        <v>1792</v>
      </c>
      <c r="I13" s="342">
        <f>IFERROR(VLOOKUP(B13,BDFD!$B:$BG,50,FALSE),0)</f>
        <v>1308</v>
      </c>
      <c r="J13" s="342">
        <f>IFERROR(VLOOKUP(B13,BDFD!$B:$BG,53,FALSE),0)</f>
        <v>2356</v>
      </c>
      <c r="K13" s="342">
        <f>IFERROR(VLOOKUP(B13,BDFD!$B:$BG,56,FALSE),0)</f>
        <v>1680</v>
      </c>
      <c r="L13" s="342">
        <v>1500</v>
      </c>
      <c r="M13" s="342">
        <v>1800</v>
      </c>
      <c r="N13" s="342">
        <v>1800</v>
      </c>
      <c r="O13" s="342">
        <v>1800</v>
      </c>
      <c r="P13" s="342">
        <v>1800</v>
      </c>
      <c r="Q13" s="343">
        <f t="shared" si="0"/>
        <v>18926</v>
      </c>
      <c r="R13" s="344"/>
      <c r="S13" s="344">
        <v>11.227674048956237</v>
      </c>
      <c r="T13" s="344">
        <v>10.6520826446281</v>
      </c>
      <c r="U13" s="344">
        <v>10.857472000000001</v>
      </c>
      <c r="V13" s="344">
        <v>2.27</v>
      </c>
      <c r="W13" s="344"/>
      <c r="X13" s="346">
        <v>4013.6644684385378</v>
      </c>
      <c r="Y13" s="347">
        <v>0.19</v>
      </c>
      <c r="Z13" s="339">
        <v>13141</v>
      </c>
      <c r="AA13" s="354" t="s">
        <v>18</v>
      </c>
      <c r="AB13" s="355" t="s">
        <v>20</v>
      </c>
      <c r="AC13" s="348">
        <v>284.97017725913616</v>
      </c>
      <c r="AD13" s="342">
        <v>297.01117066445181</v>
      </c>
      <c r="AE13" s="342">
        <v>321.09315747508305</v>
      </c>
      <c r="AF13" s="342">
        <v>345.17514428571423</v>
      </c>
      <c r="AG13" s="342">
        <v>361.22980215946842</v>
      </c>
      <c r="AH13" s="342">
        <v>353.20247322259132</v>
      </c>
      <c r="AI13" s="342">
        <v>349.18880875415277</v>
      </c>
      <c r="AJ13" s="342">
        <v>321.09315747508305</v>
      </c>
      <c r="AK13" s="342">
        <v>361.22980215946842</v>
      </c>
      <c r="AL13" s="342">
        <v>369.25713109634552</v>
      </c>
      <c r="AM13" s="342">
        <v>337.14781534883718</v>
      </c>
      <c r="AN13" s="342">
        <v>313.06582853820595</v>
      </c>
      <c r="AO13" s="343">
        <v>4013.6644684385374</v>
      </c>
      <c r="AP13" s="346">
        <v>0</v>
      </c>
      <c r="AQ13" s="346"/>
      <c r="AR13" s="339">
        <v>13141</v>
      </c>
      <c r="AS13" s="354" t="s">
        <v>18</v>
      </c>
      <c r="AT13" s="355" t="s">
        <v>20</v>
      </c>
      <c r="AU13" s="342">
        <v>1784.8132154651159</v>
      </c>
      <c r="AV13" s="342">
        <v>1860.2278583720929</v>
      </c>
      <c r="AW13" s="342">
        <v>2011.0571441860463</v>
      </c>
      <c r="AX13" s="342">
        <v>2161.8864299999996</v>
      </c>
      <c r="AY13" s="342">
        <v>2262.4392872093022</v>
      </c>
      <c r="AZ13" s="342">
        <v>2212.1628586046509</v>
      </c>
      <c r="BA13" s="342">
        <v>2187.0246443023252</v>
      </c>
      <c r="BB13" s="342">
        <v>2011.0571441860463</v>
      </c>
      <c r="BC13" s="342">
        <v>2262.4392872093022</v>
      </c>
      <c r="BD13" s="342">
        <v>2312.7157158139535</v>
      </c>
      <c r="BE13" s="342">
        <v>2111.6100013953487</v>
      </c>
      <c r="BF13" s="342">
        <v>1960.7807155813953</v>
      </c>
      <c r="BG13" s="343">
        <v>25138.21430232557</v>
      </c>
      <c r="BH13" s="513">
        <f t="shared" si="3"/>
        <v>10226</v>
      </c>
      <c r="BI13" s="513">
        <f t="shared" si="4"/>
        <v>8700</v>
      </c>
    </row>
    <row r="14" spans="2:61" x14ac:dyDescent="0.25">
      <c r="B14" s="339">
        <v>13142</v>
      </c>
      <c r="C14" s="356"/>
      <c r="D14" s="355" t="s">
        <v>19</v>
      </c>
      <c r="E14" s="342">
        <f>IFERROR(VLOOKUP(B14,BDFD!$B:$BG,38,FALSE),0)</f>
        <v>730</v>
      </c>
      <c r="F14" s="342">
        <f>IFERROR(VLOOKUP(B14,BDFD!$B:$BG,41,FALSE),0)</f>
        <v>1440</v>
      </c>
      <c r="G14" s="342">
        <f>IFERROR(VLOOKUP(B14,BDFD!$B:$BG,44,FALSE),0)</f>
        <v>0</v>
      </c>
      <c r="H14" s="342">
        <f>IFERROR(VLOOKUP(B14,BDFD!$B:$BG,47,FALSE),0)</f>
        <v>1023</v>
      </c>
      <c r="I14" s="342">
        <f>IFERROR(VLOOKUP(B14,BDFD!$B:$BG,50,FALSE),0)</f>
        <v>1666</v>
      </c>
      <c r="J14" s="342">
        <f>IFERROR(VLOOKUP(B14,BDFD!$B:$BG,53,FALSE),0)</f>
        <v>1046</v>
      </c>
      <c r="K14" s="342">
        <f>IFERROR(VLOOKUP(B14,BDFD!$B:$BG,56,FALSE),0)</f>
        <v>1407</v>
      </c>
      <c r="L14" s="342">
        <v>1100</v>
      </c>
      <c r="M14" s="342">
        <v>1400</v>
      </c>
      <c r="N14" s="342">
        <v>1400</v>
      </c>
      <c r="O14" s="342">
        <v>1400</v>
      </c>
      <c r="P14" s="342">
        <v>1400</v>
      </c>
      <c r="Q14" s="343">
        <f t="shared" si="0"/>
        <v>14012</v>
      </c>
      <c r="R14" s="344"/>
      <c r="S14" s="344">
        <v>11.444164356435643</v>
      </c>
      <c r="T14" s="344">
        <v>11.444164356435643</v>
      </c>
      <c r="U14" s="344">
        <v>10.857472000000001</v>
      </c>
      <c r="V14" s="344">
        <v>2.4500000000000002</v>
      </c>
      <c r="W14" s="344"/>
      <c r="X14" s="346">
        <v>2128.4196345112396</v>
      </c>
      <c r="Y14" s="347">
        <v>0.2</v>
      </c>
      <c r="Z14" s="339">
        <v>13142</v>
      </c>
      <c r="AA14" s="356"/>
      <c r="AB14" s="355" t="s">
        <v>19</v>
      </c>
      <c r="AC14" s="348">
        <v>151.11779405029799</v>
      </c>
      <c r="AD14" s="342">
        <v>157.50305295383174</v>
      </c>
      <c r="AE14" s="342">
        <v>170.27357076089919</v>
      </c>
      <c r="AF14" s="342">
        <v>183.04408856796658</v>
      </c>
      <c r="AG14" s="342">
        <v>191.55776710601157</v>
      </c>
      <c r="AH14" s="342">
        <v>187.3009278369891</v>
      </c>
      <c r="AI14" s="342">
        <v>185.17250820247784</v>
      </c>
      <c r="AJ14" s="342">
        <v>170.27357076089919</v>
      </c>
      <c r="AK14" s="342">
        <v>191.55776710601157</v>
      </c>
      <c r="AL14" s="342">
        <v>195.81460637503403</v>
      </c>
      <c r="AM14" s="342">
        <v>178.78724929894415</v>
      </c>
      <c r="AN14" s="342">
        <v>166.0167314918767</v>
      </c>
      <c r="AO14" s="343">
        <v>2128.41963451124</v>
      </c>
      <c r="AP14" s="346">
        <v>0</v>
      </c>
      <c r="AQ14" s="346"/>
      <c r="AR14" s="339">
        <v>13142</v>
      </c>
      <c r="AS14" s="356"/>
      <c r="AT14" s="355" t="s">
        <v>19</v>
      </c>
      <c r="AU14" s="342">
        <v>906.70676430178798</v>
      </c>
      <c r="AV14" s="342">
        <v>945.01831772299033</v>
      </c>
      <c r="AW14" s="342">
        <v>1021.641424565395</v>
      </c>
      <c r="AX14" s="342">
        <v>1098.2645314077995</v>
      </c>
      <c r="AY14" s="342">
        <v>1149.3466026360693</v>
      </c>
      <c r="AZ14" s="342">
        <v>1123.8055670219346</v>
      </c>
      <c r="BA14" s="342">
        <v>1111.0350492148668</v>
      </c>
      <c r="BB14" s="342">
        <v>1021.641424565395</v>
      </c>
      <c r="BC14" s="342">
        <v>1149.3466026360693</v>
      </c>
      <c r="BD14" s="342">
        <v>1174.8876382502042</v>
      </c>
      <c r="BE14" s="342">
        <v>1072.7234957936648</v>
      </c>
      <c r="BF14" s="342">
        <v>996.10038895126013</v>
      </c>
      <c r="BG14" s="343">
        <v>12770.517807067436</v>
      </c>
      <c r="BH14" s="513">
        <f t="shared" si="3"/>
        <v>7312</v>
      </c>
      <c r="BI14" s="513">
        <f t="shared" si="4"/>
        <v>6700</v>
      </c>
    </row>
    <row r="15" spans="2:61" x14ac:dyDescent="0.25">
      <c r="B15" s="339">
        <v>13117</v>
      </c>
      <c r="C15" s="356"/>
      <c r="D15" s="355" t="s">
        <v>703</v>
      </c>
      <c r="E15" s="342">
        <f>IFERROR(VLOOKUP(B15,BDFD!$B:$BG,38,FALSE),0)</f>
        <v>-113</v>
      </c>
      <c r="F15" s="342">
        <f>IFERROR(VLOOKUP(B15,BDFD!$B:$BG,41,FALSE),0)</f>
        <v>-66</v>
      </c>
      <c r="G15" s="342">
        <f>IFERROR(VLOOKUP(B15,BDFD!$B:$BG,44,FALSE),0)</f>
        <v>-30</v>
      </c>
      <c r="H15" s="342">
        <f>IFERROR(VLOOKUP(B15,BDFD!$B:$BG,47,FALSE),0)</f>
        <v>-8</v>
      </c>
      <c r="I15" s="342">
        <f>IFERROR(VLOOKUP(B15,BDFD!$B:$BG,50,FALSE),0)</f>
        <v>-32</v>
      </c>
      <c r="J15" s="342">
        <f>IFERROR(VLOOKUP(B15,BDFD!$B:$BG,53,FALSE),0)</f>
        <v>-254</v>
      </c>
      <c r="K15" s="342">
        <f>IFERROR(VLOOKUP(B15,BDFD!$B:$BG,56,FALSE),0)</f>
        <v>-40</v>
      </c>
      <c r="L15" s="342"/>
      <c r="M15" s="342"/>
      <c r="N15" s="342"/>
      <c r="O15" s="342"/>
      <c r="P15" s="342"/>
      <c r="Q15" s="343">
        <f t="shared" si="0"/>
        <v>-543</v>
      </c>
      <c r="R15" s="344"/>
      <c r="S15" s="344"/>
      <c r="T15" s="344"/>
      <c r="U15" s="344"/>
      <c r="V15" s="344"/>
      <c r="W15" s="344"/>
      <c r="X15" s="346"/>
      <c r="Y15" s="347"/>
      <c r="Z15" s="339"/>
      <c r="AA15" s="356"/>
      <c r="AB15" s="355"/>
      <c r="AC15" s="348"/>
      <c r="AD15" s="342"/>
      <c r="AE15" s="342"/>
      <c r="AF15" s="342"/>
      <c r="AG15" s="342"/>
      <c r="AH15" s="342"/>
      <c r="AI15" s="342"/>
      <c r="AJ15" s="342"/>
      <c r="AK15" s="342"/>
      <c r="AL15" s="342"/>
      <c r="AM15" s="342"/>
      <c r="AN15" s="342"/>
      <c r="AO15" s="343"/>
      <c r="AP15" s="346"/>
      <c r="AQ15" s="346"/>
      <c r="AR15" s="339"/>
      <c r="AS15" s="356"/>
      <c r="AT15" s="355"/>
      <c r="AU15" s="342"/>
      <c r="AV15" s="342"/>
      <c r="AW15" s="342"/>
      <c r="AX15" s="342"/>
      <c r="AY15" s="342"/>
      <c r="AZ15" s="342"/>
      <c r="BA15" s="342"/>
      <c r="BB15" s="342"/>
      <c r="BC15" s="342"/>
      <c r="BD15" s="342"/>
      <c r="BE15" s="342"/>
      <c r="BF15" s="342"/>
      <c r="BG15" s="343"/>
      <c r="BH15" s="513">
        <f t="shared" si="3"/>
        <v>-543</v>
      </c>
      <c r="BI15" s="513">
        <f t="shared" si="4"/>
        <v>0</v>
      </c>
    </row>
    <row r="16" spans="2:61" x14ac:dyDescent="0.25">
      <c r="B16" s="339">
        <v>13115</v>
      </c>
      <c r="C16" s="356"/>
      <c r="D16" s="355" t="s">
        <v>704</v>
      </c>
      <c r="E16" s="342">
        <f>IFERROR(VLOOKUP(B16,BDFD!$B:$BG,38,FALSE),0)</f>
        <v>-52</v>
      </c>
      <c r="F16" s="342">
        <f>IFERROR(VLOOKUP(B16,BDFD!$B:$BG,41,FALSE),0)</f>
        <v>-192</v>
      </c>
      <c r="G16" s="342">
        <f>IFERROR(VLOOKUP(B16,BDFD!$B:$BG,44,FALSE),0)</f>
        <v>-34</v>
      </c>
      <c r="H16" s="342">
        <f>IFERROR(VLOOKUP(B16,BDFD!$B:$BG,47,FALSE),0)</f>
        <v>-11</v>
      </c>
      <c r="I16" s="342">
        <f>IFERROR(VLOOKUP(B16,BDFD!$B:$BG,50,FALSE),0)</f>
        <v>0</v>
      </c>
      <c r="J16" s="342">
        <f>IFERROR(VLOOKUP(B16,BDFD!$B:$BG,53,FALSE),0)</f>
        <v>0</v>
      </c>
      <c r="K16" s="342">
        <f>IFERROR(VLOOKUP(B16,BDFD!$B:$BG,56,FALSE),0)</f>
        <v>-1</v>
      </c>
      <c r="L16" s="342"/>
      <c r="M16" s="342"/>
      <c r="N16" s="342"/>
      <c r="O16" s="342"/>
      <c r="P16" s="342"/>
      <c r="Q16" s="343">
        <f t="shared" si="0"/>
        <v>-290</v>
      </c>
      <c r="R16" s="344"/>
      <c r="S16" s="344"/>
      <c r="T16" s="344"/>
      <c r="U16" s="344"/>
      <c r="V16" s="344"/>
      <c r="W16" s="344"/>
      <c r="X16" s="346"/>
      <c r="Y16" s="347"/>
      <c r="Z16" s="339"/>
      <c r="AA16" s="356"/>
      <c r="AB16" s="355"/>
      <c r="AC16" s="348"/>
      <c r="AD16" s="342"/>
      <c r="AE16" s="342"/>
      <c r="AF16" s="342"/>
      <c r="AG16" s="342"/>
      <c r="AH16" s="342"/>
      <c r="AI16" s="342"/>
      <c r="AJ16" s="342"/>
      <c r="AK16" s="342"/>
      <c r="AL16" s="342"/>
      <c r="AM16" s="342"/>
      <c r="AN16" s="342"/>
      <c r="AO16" s="343"/>
      <c r="AP16" s="346"/>
      <c r="AQ16" s="346"/>
      <c r="AR16" s="339"/>
      <c r="AS16" s="356"/>
      <c r="AT16" s="355"/>
      <c r="AU16" s="342"/>
      <c r="AV16" s="342"/>
      <c r="AW16" s="342"/>
      <c r="AX16" s="342"/>
      <c r="AY16" s="342"/>
      <c r="AZ16" s="342"/>
      <c r="BA16" s="342"/>
      <c r="BB16" s="342"/>
      <c r="BC16" s="342"/>
      <c r="BD16" s="342"/>
      <c r="BE16" s="342"/>
      <c r="BF16" s="342"/>
      <c r="BG16" s="343"/>
      <c r="BH16" s="513">
        <f t="shared" si="3"/>
        <v>-290</v>
      </c>
      <c r="BI16" s="513">
        <f t="shared" si="4"/>
        <v>0</v>
      </c>
    </row>
    <row r="17" spans="2:61" x14ac:dyDescent="0.25">
      <c r="B17" s="339">
        <v>13160</v>
      </c>
      <c r="C17" s="354" t="s">
        <v>437</v>
      </c>
      <c r="D17" s="355" t="s">
        <v>658</v>
      </c>
      <c r="E17" s="342">
        <f>IFERROR(VLOOKUP(B17,BDFD!$B:$BG,38,FALSE),0)</f>
        <v>0</v>
      </c>
      <c r="F17" s="342">
        <f>IFERROR(VLOOKUP(B17,BDFD!$B:$BG,41,FALSE),0)</f>
        <v>0</v>
      </c>
      <c r="G17" s="342">
        <f>IFERROR(VLOOKUP(B17,BDFD!$B:$BG,44,FALSE),0)</f>
        <v>0</v>
      </c>
      <c r="H17" s="342">
        <f>IFERROR(VLOOKUP(B17,BDFD!$B:$BG,47,FALSE),0)</f>
        <v>0</v>
      </c>
      <c r="I17" s="342">
        <f>IFERROR(VLOOKUP(B17,BDFD!$B:$BG,50,FALSE),0)</f>
        <v>0</v>
      </c>
      <c r="J17" s="342">
        <f>IFERROR(VLOOKUP(B17,BDFD!$B:$BG,53,FALSE),0)</f>
        <v>0</v>
      </c>
      <c r="K17" s="342">
        <f>IFERROR(VLOOKUP(B17,BDFD!$B:$BG,56,FALSE),0)</f>
        <v>0</v>
      </c>
      <c r="L17" s="342">
        <v>0</v>
      </c>
      <c r="M17" s="342">
        <v>0</v>
      </c>
      <c r="N17" s="342">
        <v>0</v>
      </c>
      <c r="O17" s="342">
        <v>0</v>
      </c>
      <c r="P17" s="342">
        <v>0</v>
      </c>
      <c r="Q17" s="343">
        <f t="shared" si="0"/>
        <v>0</v>
      </c>
      <c r="R17" s="344"/>
      <c r="S17" s="344">
        <v>10.037506666666667</v>
      </c>
      <c r="T17" s="344"/>
      <c r="U17" s="344"/>
      <c r="V17" s="344">
        <v>4.9818333333333333</v>
      </c>
      <c r="W17" s="344"/>
      <c r="X17" s="346">
        <v>686.25</v>
      </c>
      <c r="Y17" s="347">
        <v>0.25</v>
      </c>
      <c r="Z17" s="357">
        <v>13160</v>
      </c>
      <c r="AA17" s="354" t="s">
        <v>437</v>
      </c>
      <c r="AB17" s="355" t="s">
        <v>658</v>
      </c>
      <c r="AC17" s="342">
        <v>0</v>
      </c>
      <c r="AD17" s="342">
        <v>0</v>
      </c>
      <c r="AE17" s="342">
        <v>0</v>
      </c>
      <c r="AF17" s="342">
        <v>0</v>
      </c>
      <c r="AG17" s="342">
        <v>0</v>
      </c>
      <c r="AH17" s="342">
        <v>0</v>
      </c>
      <c r="AI17" s="342">
        <v>0</v>
      </c>
      <c r="AJ17" s="342">
        <v>0</v>
      </c>
      <c r="AK17" s="342">
        <v>212.5</v>
      </c>
      <c r="AL17" s="342">
        <v>140</v>
      </c>
      <c r="AM17" s="342">
        <v>158.75</v>
      </c>
      <c r="AN17" s="342">
        <v>175</v>
      </c>
      <c r="AO17" s="343">
        <v>686.25</v>
      </c>
      <c r="AP17" s="346">
        <v>0</v>
      </c>
      <c r="AQ17" s="346"/>
      <c r="AR17" s="339" t="s">
        <v>659</v>
      </c>
      <c r="AS17" s="354" t="s">
        <v>437</v>
      </c>
      <c r="AT17" s="355" t="s">
        <v>658</v>
      </c>
      <c r="AU17" s="342">
        <v>0</v>
      </c>
      <c r="AV17" s="342">
        <v>0</v>
      </c>
      <c r="AW17" s="342">
        <v>0</v>
      </c>
      <c r="AX17" s="342">
        <v>0</v>
      </c>
      <c r="AY17" s="342">
        <v>0</v>
      </c>
      <c r="AZ17" s="342">
        <v>0</v>
      </c>
      <c r="BA17" s="342">
        <v>0</v>
      </c>
      <c r="BB17" s="342">
        <v>0</v>
      </c>
      <c r="BC17" s="342">
        <v>1062.5</v>
      </c>
      <c r="BD17" s="342">
        <v>700</v>
      </c>
      <c r="BE17" s="342">
        <v>793.75</v>
      </c>
      <c r="BF17" s="342">
        <v>875</v>
      </c>
      <c r="BG17" s="343">
        <v>3431.25</v>
      </c>
      <c r="BH17" s="513">
        <f t="shared" si="3"/>
        <v>0</v>
      </c>
      <c r="BI17" s="513">
        <f t="shared" si="4"/>
        <v>0</v>
      </c>
    </row>
    <row r="18" spans="2:61" x14ac:dyDescent="0.25">
      <c r="B18" s="339">
        <v>13161</v>
      </c>
      <c r="C18" s="356"/>
      <c r="D18" s="355" t="s">
        <v>660</v>
      </c>
      <c r="E18" s="342">
        <f>IFERROR(VLOOKUP(B18,BDFD!$B:$BG,38,FALSE),0)</f>
        <v>0</v>
      </c>
      <c r="F18" s="342">
        <f>IFERROR(VLOOKUP(B18,BDFD!$B:$BG,41,FALSE),0)</f>
        <v>0</v>
      </c>
      <c r="G18" s="342">
        <f>IFERROR(VLOOKUP(B18,BDFD!$B:$BG,44,FALSE),0)</f>
        <v>0</v>
      </c>
      <c r="H18" s="342">
        <f>IFERROR(VLOOKUP(B18,BDFD!$B:$BG,47,FALSE),0)</f>
        <v>0</v>
      </c>
      <c r="I18" s="342">
        <f>IFERROR(VLOOKUP(B18,BDFD!$B:$BG,50,FALSE),0)</f>
        <v>0</v>
      </c>
      <c r="J18" s="342">
        <f>IFERROR(VLOOKUP(B18,BDFD!$B:$BG,53,FALSE),0)</f>
        <v>0</v>
      </c>
      <c r="K18" s="342">
        <f>IFERROR(VLOOKUP(B18,BDFD!$B:$BG,56,FALSE),0)</f>
        <v>0</v>
      </c>
      <c r="L18" s="342">
        <v>0</v>
      </c>
      <c r="M18" s="342">
        <v>0</v>
      </c>
      <c r="N18" s="342">
        <v>0</v>
      </c>
      <c r="O18" s="342">
        <v>0</v>
      </c>
      <c r="P18" s="342">
        <v>0</v>
      </c>
      <c r="Q18" s="343">
        <f t="shared" si="0"/>
        <v>0</v>
      </c>
      <c r="R18" s="344"/>
      <c r="S18" s="344">
        <v>14.490766666666669</v>
      </c>
      <c r="T18" s="344"/>
      <c r="U18" s="344"/>
      <c r="V18" s="344">
        <v>7.1920833333333345</v>
      </c>
      <c r="W18" s="344"/>
      <c r="X18" s="346">
        <v>274.5</v>
      </c>
      <c r="Y18" s="347">
        <v>0.25</v>
      </c>
      <c r="Z18" s="357">
        <v>13161</v>
      </c>
      <c r="AA18" s="356"/>
      <c r="AB18" s="355" t="s">
        <v>660</v>
      </c>
      <c r="AC18" s="342">
        <v>0</v>
      </c>
      <c r="AD18" s="342">
        <v>0</v>
      </c>
      <c r="AE18" s="342">
        <v>0</v>
      </c>
      <c r="AF18" s="342">
        <v>0</v>
      </c>
      <c r="AG18" s="342">
        <v>0</v>
      </c>
      <c r="AH18" s="342">
        <v>0</v>
      </c>
      <c r="AI18" s="342">
        <v>0</v>
      </c>
      <c r="AJ18" s="342">
        <v>0</v>
      </c>
      <c r="AK18" s="342">
        <v>85</v>
      </c>
      <c r="AL18" s="342">
        <v>56</v>
      </c>
      <c r="AM18" s="342">
        <v>63.5</v>
      </c>
      <c r="AN18" s="342">
        <v>70</v>
      </c>
      <c r="AO18" s="343">
        <v>274.5</v>
      </c>
      <c r="AP18" s="346">
        <v>0</v>
      </c>
      <c r="AQ18" s="346"/>
      <c r="AR18" s="339" t="s">
        <v>661</v>
      </c>
      <c r="AS18" s="356"/>
      <c r="AT18" s="355" t="s">
        <v>660</v>
      </c>
      <c r="AU18" s="342">
        <v>0</v>
      </c>
      <c r="AV18" s="342">
        <v>0</v>
      </c>
      <c r="AW18" s="342">
        <v>0</v>
      </c>
      <c r="AX18" s="342">
        <v>0</v>
      </c>
      <c r="AY18" s="342">
        <v>0</v>
      </c>
      <c r="AZ18" s="342">
        <v>0</v>
      </c>
      <c r="BA18" s="342">
        <v>0</v>
      </c>
      <c r="BB18" s="342">
        <v>0</v>
      </c>
      <c r="BC18" s="342">
        <v>425</v>
      </c>
      <c r="BD18" s="342">
        <v>280</v>
      </c>
      <c r="BE18" s="342">
        <v>317.5</v>
      </c>
      <c r="BF18" s="342">
        <v>350</v>
      </c>
      <c r="BG18" s="343">
        <v>1372.5</v>
      </c>
      <c r="BH18" s="513">
        <f t="shared" si="3"/>
        <v>0</v>
      </c>
      <c r="BI18" s="513">
        <f t="shared" si="4"/>
        <v>0</v>
      </c>
    </row>
    <row r="19" spans="2:61" x14ac:dyDescent="0.25">
      <c r="B19" s="339">
        <v>13162</v>
      </c>
      <c r="C19" s="356"/>
      <c r="D19" s="355" t="s">
        <v>662</v>
      </c>
      <c r="E19" s="342">
        <f>IFERROR(VLOOKUP(B19,BDFD!$B:$BG,38,FALSE),0)</f>
        <v>0</v>
      </c>
      <c r="F19" s="342">
        <f>IFERROR(VLOOKUP(B19,BDFD!$B:$BG,41,FALSE),0)</f>
        <v>0</v>
      </c>
      <c r="G19" s="342">
        <f>IFERROR(VLOOKUP(B19,BDFD!$B:$BG,44,FALSE),0)</f>
        <v>0</v>
      </c>
      <c r="H19" s="342">
        <f>IFERROR(VLOOKUP(B19,BDFD!$B:$BG,47,FALSE),0)</f>
        <v>0</v>
      </c>
      <c r="I19" s="342">
        <f>IFERROR(VLOOKUP(B19,BDFD!$B:$BG,50,FALSE),0)</f>
        <v>0</v>
      </c>
      <c r="J19" s="342">
        <f>IFERROR(VLOOKUP(B19,BDFD!$B:$BG,53,FALSE),0)</f>
        <v>0</v>
      </c>
      <c r="K19" s="342">
        <f>IFERROR(VLOOKUP(B19,BDFD!$B:$BG,56,FALSE),0)</f>
        <v>0</v>
      </c>
      <c r="L19" s="342">
        <v>0</v>
      </c>
      <c r="M19" s="342">
        <v>0</v>
      </c>
      <c r="N19" s="342">
        <v>0</v>
      </c>
      <c r="O19" s="342">
        <v>0</v>
      </c>
      <c r="P19" s="342">
        <v>0</v>
      </c>
      <c r="Q19" s="343">
        <f t="shared" si="0"/>
        <v>0</v>
      </c>
      <c r="R19" s="344"/>
      <c r="S19" s="344">
        <v>16.752740000000003</v>
      </c>
      <c r="T19" s="344"/>
      <c r="U19" s="344"/>
      <c r="V19" s="344">
        <v>8.3147500000000001</v>
      </c>
      <c r="W19" s="344"/>
      <c r="X19" s="346">
        <v>411.75</v>
      </c>
      <c r="Y19" s="347">
        <v>0.25</v>
      </c>
      <c r="Z19" s="357">
        <v>13162</v>
      </c>
      <c r="AA19" s="356"/>
      <c r="AB19" s="355" t="s">
        <v>662</v>
      </c>
      <c r="AC19" s="342">
        <v>0</v>
      </c>
      <c r="AD19" s="342">
        <v>0</v>
      </c>
      <c r="AE19" s="342">
        <v>0</v>
      </c>
      <c r="AF19" s="342">
        <v>0</v>
      </c>
      <c r="AG19" s="342">
        <v>0</v>
      </c>
      <c r="AH19" s="342">
        <v>0</v>
      </c>
      <c r="AI19" s="342">
        <v>0</v>
      </c>
      <c r="AJ19" s="342">
        <v>0</v>
      </c>
      <c r="AK19" s="342">
        <v>127.5</v>
      </c>
      <c r="AL19" s="342">
        <v>84</v>
      </c>
      <c r="AM19" s="342">
        <v>95.25</v>
      </c>
      <c r="AN19" s="342">
        <v>105</v>
      </c>
      <c r="AO19" s="343">
        <v>411.75</v>
      </c>
      <c r="AP19" s="346">
        <v>0</v>
      </c>
      <c r="AQ19" s="346"/>
      <c r="AR19" s="339">
        <v>13162</v>
      </c>
      <c r="AS19" s="356"/>
      <c r="AT19" s="355" t="s">
        <v>662</v>
      </c>
      <c r="AU19" s="342">
        <v>0</v>
      </c>
      <c r="AV19" s="342">
        <v>0</v>
      </c>
      <c r="AW19" s="342">
        <v>0</v>
      </c>
      <c r="AX19" s="342">
        <v>0</v>
      </c>
      <c r="AY19" s="342">
        <v>0</v>
      </c>
      <c r="AZ19" s="342">
        <v>0</v>
      </c>
      <c r="BA19" s="342">
        <v>0</v>
      </c>
      <c r="BB19" s="342">
        <v>0</v>
      </c>
      <c r="BC19" s="342">
        <v>637.5</v>
      </c>
      <c r="BD19" s="342">
        <v>420</v>
      </c>
      <c r="BE19" s="342">
        <v>476.25</v>
      </c>
      <c r="BF19" s="342">
        <v>525</v>
      </c>
      <c r="BG19" s="343">
        <v>2058.75</v>
      </c>
      <c r="BH19" s="513">
        <f t="shared" si="3"/>
        <v>0</v>
      </c>
      <c r="BI19" s="513">
        <f t="shared" si="4"/>
        <v>0</v>
      </c>
    </row>
    <row r="20" spans="2:61" x14ac:dyDescent="0.25">
      <c r="B20" s="339">
        <v>13081</v>
      </c>
      <c r="C20" s="358" t="s">
        <v>58</v>
      </c>
      <c r="D20" s="341" t="s">
        <v>59</v>
      </c>
      <c r="E20" s="342">
        <f>IFERROR(VLOOKUP(B20,BDFD!$B:$BG,38,FALSE),0)</f>
        <v>225</v>
      </c>
      <c r="F20" s="342">
        <f>IFERROR(VLOOKUP(B20,BDFD!$B:$BG,41,FALSE),0)</f>
        <v>283</v>
      </c>
      <c r="G20" s="342">
        <f>IFERROR(VLOOKUP(B20,BDFD!$B:$BG,44,FALSE),0)</f>
        <v>309</v>
      </c>
      <c r="H20" s="342">
        <f>IFERROR(VLOOKUP(B20,BDFD!$B:$BG,47,FALSE),0)</f>
        <v>153</v>
      </c>
      <c r="I20" s="342">
        <f>IFERROR(VLOOKUP(B20,BDFD!$B:$BG,50,FALSE),0)</f>
        <v>165</v>
      </c>
      <c r="J20" s="342">
        <f>IFERROR(VLOOKUP(B20,BDFD!$B:$BG,53,FALSE),0)</f>
        <v>596</v>
      </c>
      <c r="K20" s="342">
        <f>IFERROR(VLOOKUP(B20,BDFD!$B:$BG,56,FALSE),0)</f>
        <v>348</v>
      </c>
      <c r="L20" s="342">
        <v>0</v>
      </c>
      <c r="M20" s="342">
        <v>0</v>
      </c>
      <c r="N20" s="342">
        <v>400</v>
      </c>
      <c r="O20" s="342">
        <v>450</v>
      </c>
      <c r="P20" s="342">
        <v>306</v>
      </c>
      <c r="Q20" s="343">
        <f t="shared" si="0"/>
        <v>3235</v>
      </c>
      <c r="R20" s="344"/>
      <c r="S20" s="344">
        <v>17.887911931818184</v>
      </c>
      <c r="T20" s="344">
        <v>16.957911931818185</v>
      </c>
      <c r="U20" s="344">
        <v>19.672099333333335</v>
      </c>
      <c r="V20" s="344">
        <v>4.625</v>
      </c>
      <c r="W20" s="344"/>
      <c r="X20" s="346">
        <v>981.44285714285695</v>
      </c>
      <c r="Y20" s="347">
        <v>0.25</v>
      </c>
      <c r="Z20" s="339">
        <v>13081</v>
      </c>
      <c r="AA20" s="358" t="s">
        <v>58</v>
      </c>
      <c r="AB20" s="341" t="s">
        <v>59</v>
      </c>
      <c r="AC20" s="348">
        <v>69.682442857142846</v>
      </c>
      <c r="AD20" s="342">
        <v>72.626771428571416</v>
      </c>
      <c r="AE20" s="342">
        <v>78.515428571428572</v>
      </c>
      <c r="AF20" s="342">
        <v>84.404085714285699</v>
      </c>
      <c r="AG20" s="342">
        <v>88.329857142857136</v>
      </c>
      <c r="AH20" s="342">
        <v>86.366971428571418</v>
      </c>
      <c r="AI20" s="342">
        <v>85.385528571428566</v>
      </c>
      <c r="AJ20" s="342">
        <v>78.515428571428572</v>
      </c>
      <c r="AK20" s="342">
        <v>88.329857142857136</v>
      </c>
      <c r="AL20" s="342">
        <v>90.292742857142855</v>
      </c>
      <c r="AM20" s="342">
        <v>82.441199999999995</v>
      </c>
      <c r="AN20" s="342">
        <v>76.552542857142853</v>
      </c>
      <c r="AO20" s="343">
        <v>981.44285714285695</v>
      </c>
      <c r="AP20" s="346">
        <v>0</v>
      </c>
      <c r="AQ20" s="346"/>
      <c r="AR20" s="339">
        <v>13081</v>
      </c>
      <c r="AS20" s="358" t="s">
        <v>58</v>
      </c>
      <c r="AT20" s="341" t="s">
        <v>59</v>
      </c>
      <c r="AU20" s="342">
        <v>348.41221428571424</v>
      </c>
      <c r="AV20" s="342">
        <v>363.1338571428571</v>
      </c>
      <c r="AW20" s="342">
        <v>392.57714285714286</v>
      </c>
      <c r="AX20" s="342">
        <v>422.02042857142851</v>
      </c>
      <c r="AY20" s="342">
        <v>441.64928571428567</v>
      </c>
      <c r="AZ20" s="342">
        <v>431.83485714285712</v>
      </c>
      <c r="BA20" s="342">
        <v>426.92764285714281</v>
      </c>
      <c r="BB20" s="342">
        <v>392.57714285714286</v>
      </c>
      <c r="BC20" s="342">
        <v>441.64928571428567</v>
      </c>
      <c r="BD20" s="342">
        <v>451.46371428571427</v>
      </c>
      <c r="BE20" s="342">
        <v>412.20599999999996</v>
      </c>
      <c r="BF20" s="342">
        <v>382.76271428571425</v>
      </c>
      <c r="BG20" s="343">
        <v>4907.2142857142862</v>
      </c>
      <c r="BH20" s="513">
        <f t="shared" si="3"/>
        <v>2079</v>
      </c>
      <c r="BI20" s="513">
        <f t="shared" si="4"/>
        <v>1156</v>
      </c>
    </row>
    <row r="21" spans="2:61" x14ac:dyDescent="0.25">
      <c r="B21" s="339">
        <v>13068</v>
      </c>
      <c r="C21" s="359" t="s">
        <v>21</v>
      </c>
      <c r="D21" s="341" t="s">
        <v>22</v>
      </c>
      <c r="E21" s="342">
        <f>IFERROR(VLOOKUP(B21,BDFD!$B:$BG,38,FALSE),0)</f>
        <v>720</v>
      </c>
      <c r="F21" s="342">
        <f>IFERROR(VLOOKUP(B21,BDFD!$B:$BG,41,FALSE),0)</f>
        <v>880</v>
      </c>
      <c r="G21" s="342">
        <f>IFERROR(VLOOKUP(B21,BDFD!$B:$BG,44,FALSE),0)</f>
        <v>867</v>
      </c>
      <c r="H21" s="342">
        <f>IFERROR(VLOOKUP(B21,BDFD!$B:$BG,47,FALSE),0)</f>
        <v>1317</v>
      </c>
      <c r="I21" s="342">
        <f>IFERROR(VLOOKUP(B21,BDFD!$B:$BG,50,FALSE),0)</f>
        <v>1646</v>
      </c>
      <c r="J21" s="342">
        <f>IFERROR(VLOOKUP(B21,BDFD!$B:$BG,53,FALSE),0)</f>
        <v>660</v>
      </c>
      <c r="K21" s="342">
        <f>IFERROR(VLOOKUP(B21,BDFD!$B:$BG,56,FALSE),0)</f>
        <v>1252</v>
      </c>
      <c r="L21" s="342">
        <v>1000</v>
      </c>
      <c r="M21" s="342">
        <v>940</v>
      </c>
      <c r="N21" s="342">
        <v>950</v>
      </c>
      <c r="O21" s="342">
        <v>1000</v>
      </c>
      <c r="P21" s="342">
        <v>800</v>
      </c>
      <c r="Q21" s="343">
        <f t="shared" si="0"/>
        <v>12032</v>
      </c>
      <c r="R21" s="344"/>
      <c r="S21" s="344">
        <v>9.7774086004187453</v>
      </c>
      <c r="T21" s="344">
        <v>10.199158553546592</v>
      </c>
      <c r="U21" s="344">
        <v>10.143536666666668</v>
      </c>
      <c r="V21" s="344">
        <v>8.1</v>
      </c>
      <c r="W21" s="344"/>
      <c r="X21" s="346">
        <v>1517.9812092471846</v>
      </c>
      <c r="Y21" s="347">
        <v>0.15</v>
      </c>
      <c r="Z21" s="339">
        <v>13068</v>
      </c>
      <c r="AA21" s="359" t="s">
        <v>21</v>
      </c>
      <c r="AB21" s="341" t="s">
        <v>22</v>
      </c>
      <c r="AC21" s="348">
        <v>107.77666585655008</v>
      </c>
      <c r="AD21" s="342">
        <v>112.33060948429166</v>
      </c>
      <c r="AE21" s="342">
        <v>121.43849673977476</v>
      </c>
      <c r="AF21" s="342">
        <v>130.54638399525786</v>
      </c>
      <c r="AG21" s="342">
        <v>136.61830883224661</v>
      </c>
      <c r="AH21" s="342">
        <v>133.58234641375222</v>
      </c>
      <c r="AI21" s="342">
        <v>132.06436520450504</v>
      </c>
      <c r="AJ21" s="342">
        <v>121.43849673977476</v>
      </c>
      <c r="AK21" s="342">
        <v>136.61830883224661</v>
      </c>
      <c r="AL21" s="342">
        <v>139.65427125074098</v>
      </c>
      <c r="AM21" s="342">
        <v>127.51042157676351</v>
      </c>
      <c r="AN21" s="342">
        <v>118.4025343212804</v>
      </c>
      <c r="AO21" s="343">
        <v>1517.9812092471846</v>
      </c>
      <c r="AP21" s="346">
        <v>0</v>
      </c>
      <c r="AQ21" s="346"/>
      <c r="AR21" s="339">
        <v>13068</v>
      </c>
      <c r="AS21" s="359" t="s">
        <v>21</v>
      </c>
      <c r="AT21" s="341" t="s">
        <v>22</v>
      </c>
      <c r="AU21" s="342">
        <v>826.28777156688398</v>
      </c>
      <c r="AV21" s="342">
        <v>861.20133937956939</v>
      </c>
      <c r="AW21" s="342">
        <v>931.02847500493988</v>
      </c>
      <c r="AX21" s="342">
        <v>1000.8556106303104</v>
      </c>
      <c r="AY21" s="342">
        <v>1047.4070343805574</v>
      </c>
      <c r="AZ21" s="342">
        <v>1024.1313225054337</v>
      </c>
      <c r="BA21" s="342">
        <v>1012.493466567872</v>
      </c>
      <c r="BB21" s="342">
        <v>931.02847500493988</v>
      </c>
      <c r="BC21" s="342">
        <v>1047.4070343805574</v>
      </c>
      <c r="BD21" s="342">
        <v>1070.6827462556807</v>
      </c>
      <c r="BE21" s="342">
        <v>977.57989875518695</v>
      </c>
      <c r="BF21" s="342">
        <v>907.75276312981646</v>
      </c>
      <c r="BG21" s="343">
        <v>11637.855937561748</v>
      </c>
      <c r="BH21" s="513">
        <f t="shared" si="3"/>
        <v>7342</v>
      </c>
      <c r="BI21" s="513">
        <f t="shared" si="4"/>
        <v>4690</v>
      </c>
    </row>
    <row r="22" spans="2:61" x14ac:dyDescent="0.25">
      <c r="B22" s="339">
        <v>13067</v>
      </c>
      <c r="C22" s="349"/>
      <c r="D22" s="341" t="s">
        <v>23</v>
      </c>
      <c r="E22" s="342">
        <f>IFERROR(VLOOKUP(B22,BDFD!$B:$BG,38,FALSE),0)</f>
        <v>1238</v>
      </c>
      <c r="F22" s="342">
        <f>IFERROR(VLOOKUP(B22,BDFD!$B:$BG,41,FALSE),0)</f>
        <v>2255</v>
      </c>
      <c r="G22" s="342">
        <f>IFERROR(VLOOKUP(B22,BDFD!$B:$BG,44,FALSE),0)</f>
        <v>2247</v>
      </c>
      <c r="H22" s="342">
        <f>IFERROR(VLOOKUP(B22,BDFD!$B:$BG,47,FALSE),0)</f>
        <v>2450</v>
      </c>
      <c r="I22" s="342">
        <f>IFERROR(VLOOKUP(B22,BDFD!$B:$BG,50,FALSE),0)</f>
        <v>3006</v>
      </c>
      <c r="J22" s="342">
        <f>IFERROR(VLOOKUP(B22,BDFD!$B:$BG,53,FALSE),0)</f>
        <v>1778</v>
      </c>
      <c r="K22" s="342">
        <f>IFERROR(VLOOKUP(B22,BDFD!$B:$BG,56,FALSE),0)</f>
        <v>2210</v>
      </c>
      <c r="L22" s="342">
        <v>1923</v>
      </c>
      <c r="M22" s="342">
        <v>2163</v>
      </c>
      <c r="N22" s="342">
        <v>2211</v>
      </c>
      <c r="O22" s="342">
        <v>2019</v>
      </c>
      <c r="P22" s="342">
        <v>1875</v>
      </c>
      <c r="Q22" s="343">
        <f t="shared" si="0"/>
        <v>25375</v>
      </c>
      <c r="R22" s="344"/>
      <c r="S22" s="344">
        <v>9.8238376305135322</v>
      </c>
      <c r="T22" s="344">
        <v>10.243585626911315</v>
      </c>
      <c r="U22" s="344">
        <v>10.143536666666668</v>
      </c>
      <c r="V22" s="344">
        <v>6.13</v>
      </c>
      <c r="W22" s="344"/>
      <c r="X22" s="346">
        <v>3605.3528095920833</v>
      </c>
      <c r="Y22" s="347">
        <v>0.15</v>
      </c>
      <c r="Z22" s="339">
        <v>13067</v>
      </c>
      <c r="AA22" s="349"/>
      <c r="AB22" s="341" t="s">
        <v>23</v>
      </c>
      <c r="AC22" s="348">
        <v>255.9800494810379</v>
      </c>
      <c r="AD22" s="342">
        <v>266.79610790981411</v>
      </c>
      <c r="AE22" s="342">
        <v>288.42822476736666</v>
      </c>
      <c r="AF22" s="342">
        <v>310.06034162491909</v>
      </c>
      <c r="AG22" s="342">
        <v>324.48175286328751</v>
      </c>
      <c r="AH22" s="342">
        <v>317.27104724410327</v>
      </c>
      <c r="AI22" s="342">
        <v>313.66569443451124</v>
      </c>
      <c r="AJ22" s="342">
        <v>288.42822476736666</v>
      </c>
      <c r="AK22" s="342">
        <v>324.48175286328751</v>
      </c>
      <c r="AL22" s="342">
        <v>331.69245848247164</v>
      </c>
      <c r="AM22" s="342">
        <v>302.84963600573496</v>
      </c>
      <c r="AN22" s="342">
        <v>281.21751914818248</v>
      </c>
      <c r="AO22" s="343">
        <v>3605.3528095920833</v>
      </c>
      <c r="AP22" s="346">
        <v>0</v>
      </c>
      <c r="AQ22" s="346"/>
      <c r="AR22" s="339">
        <v>13067</v>
      </c>
      <c r="AS22" s="349"/>
      <c r="AT22" s="341" t="s">
        <v>23</v>
      </c>
      <c r="AU22" s="342">
        <v>1962.5137126879572</v>
      </c>
      <c r="AV22" s="342">
        <v>2045.4368273085749</v>
      </c>
      <c r="AW22" s="342">
        <v>2211.2830565498111</v>
      </c>
      <c r="AX22" s="342">
        <v>2377.1292857910466</v>
      </c>
      <c r="AY22" s="342">
        <v>2487.6934386185376</v>
      </c>
      <c r="AZ22" s="342">
        <v>2432.4113622047917</v>
      </c>
      <c r="BA22" s="342">
        <v>2404.7703239979196</v>
      </c>
      <c r="BB22" s="342">
        <v>2211.2830565498111</v>
      </c>
      <c r="BC22" s="342">
        <v>2487.6934386185376</v>
      </c>
      <c r="BD22" s="342">
        <v>2542.9755150322826</v>
      </c>
      <c r="BE22" s="342">
        <v>2321.8472093773016</v>
      </c>
      <c r="BF22" s="342">
        <v>2156.0009801360657</v>
      </c>
      <c r="BG22" s="343">
        <v>27641.038206872636</v>
      </c>
      <c r="BH22" s="513">
        <f t="shared" si="3"/>
        <v>15184</v>
      </c>
      <c r="BI22" s="513">
        <f t="shared" si="4"/>
        <v>10191</v>
      </c>
    </row>
    <row r="23" spans="2:61" x14ac:dyDescent="0.25">
      <c r="B23" s="339">
        <v>13146</v>
      </c>
      <c r="C23" s="349"/>
      <c r="D23" s="341" t="s">
        <v>24</v>
      </c>
      <c r="E23" s="342">
        <f>IFERROR(VLOOKUP(B23,BDFD!$B:$BG,38,FALSE),0)</f>
        <v>1644</v>
      </c>
      <c r="F23" s="342">
        <f>IFERROR(VLOOKUP(B23,BDFD!$B:$BG,41,FALSE),0)</f>
        <v>0</v>
      </c>
      <c r="G23" s="342">
        <f>IFERROR(VLOOKUP(B23,BDFD!$B:$BG,44,FALSE),0)</f>
        <v>3383</v>
      </c>
      <c r="H23" s="342">
        <f>IFERROR(VLOOKUP(B23,BDFD!$B:$BG,47,FALSE),0)</f>
        <v>0</v>
      </c>
      <c r="I23" s="342">
        <f>IFERROR(VLOOKUP(B23,BDFD!$B:$BG,50,FALSE),0)</f>
        <v>0</v>
      </c>
      <c r="J23" s="342">
        <f>IFERROR(VLOOKUP(B23,BDFD!$B:$BG,53,FALSE),0)</f>
        <v>3700</v>
      </c>
      <c r="K23" s="342">
        <f>IFERROR(VLOOKUP(B23,BDFD!$B:$BG,56,FALSE),0)</f>
        <v>420</v>
      </c>
      <c r="L23" s="342">
        <v>4898</v>
      </c>
      <c r="M23" s="342">
        <v>1000</v>
      </c>
      <c r="N23" s="342">
        <v>1300</v>
      </c>
      <c r="O23" s="342">
        <v>1900</v>
      </c>
      <c r="P23" s="342">
        <v>1100</v>
      </c>
      <c r="Q23" s="343">
        <f t="shared" si="0"/>
        <v>19345</v>
      </c>
      <c r="R23" s="344"/>
      <c r="S23" s="344">
        <v>12.68</v>
      </c>
      <c r="T23" s="344">
        <v>11.153879999999999</v>
      </c>
      <c r="U23" s="344">
        <v>11.663300000000001</v>
      </c>
      <c r="V23" s="344">
        <v>6.8</v>
      </c>
      <c r="W23" s="344"/>
      <c r="X23" s="346">
        <v>3750</v>
      </c>
      <c r="Y23" s="347">
        <v>0.25</v>
      </c>
      <c r="Z23" s="339">
        <v>13146</v>
      </c>
      <c r="AA23" s="349"/>
      <c r="AB23" s="341" t="s">
        <v>24</v>
      </c>
      <c r="AC23" s="348">
        <v>266.25</v>
      </c>
      <c r="AD23" s="342">
        <v>277.5</v>
      </c>
      <c r="AE23" s="342">
        <v>300</v>
      </c>
      <c r="AF23" s="342">
        <v>322.5</v>
      </c>
      <c r="AG23" s="342">
        <v>337.5</v>
      </c>
      <c r="AH23" s="342">
        <v>330</v>
      </c>
      <c r="AI23" s="342">
        <v>326.25</v>
      </c>
      <c r="AJ23" s="342">
        <v>300</v>
      </c>
      <c r="AK23" s="342">
        <v>337.5</v>
      </c>
      <c r="AL23" s="342">
        <v>345</v>
      </c>
      <c r="AM23" s="342">
        <v>315</v>
      </c>
      <c r="AN23" s="342">
        <v>292.5</v>
      </c>
      <c r="AO23" s="343">
        <v>3750</v>
      </c>
      <c r="AP23" s="346">
        <v>0</v>
      </c>
      <c r="AQ23" s="346"/>
      <c r="AR23" s="339">
        <v>13146</v>
      </c>
      <c r="AS23" s="349"/>
      <c r="AT23" s="341" t="s">
        <v>24</v>
      </c>
      <c r="AU23" s="342">
        <v>1331.25</v>
      </c>
      <c r="AV23" s="342">
        <v>1387.5</v>
      </c>
      <c r="AW23" s="342">
        <v>1500</v>
      </c>
      <c r="AX23" s="342">
        <v>1612.5</v>
      </c>
      <c r="AY23" s="342">
        <v>1687.5</v>
      </c>
      <c r="AZ23" s="342">
        <v>1650</v>
      </c>
      <c r="BA23" s="342">
        <v>1631.25</v>
      </c>
      <c r="BB23" s="342">
        <v>1500</v>
      </c>
      <c r="BC23" s="342">
        <v>1687.5</v>
      </c>
      <c r="BD23" s="342">
        <v>1725</v>
      </c>
      <c r="BE23" s="342">
        <v>1575</v>
      </c>
      <c r="BF23" s="342">
        <v>1462.5</v>
      </c>
      <c r="BG23" s="343">
        <v>18750</v>
      </c>
      <c r="BH23" s="513">
        <f t="shared" si="3"/>
        <v>9147</v>
      </c>
      <c r="BI23" s="513">
        <f t="shared" si="4"/>
        <v>10198</v>
      </c>
    </row>
    <row r="24" spans="2:61" x14ac:dyDescent="0.25">
      <c r="B24" s="339">
        <v>13054</v>
      </c>
      <c r="C24" s="360"/>
      <c r="D24" s="341" t="s">
        <v>25</v>
      </c>
      <c r="E24" s="342">
        <f>IFERROR(VLOOKUP(B24,BDFD!$B:$BG,38,FALSE),0)</f>
        <v>1185</v>
      </c>
      <c r="F24" s="342">
        <f>IFERROR(VLOOKUP(B24,BDFD!$B:$BG,41,FALSE),0)</f>
        <v>889</v>
      </c>
      <c r="G24" s="342">
        <f>IFERROR(VLOOKUP(B24,BDFD!$B:$BG,44,FALSE),0)</f>
        <v>1620</v>
      </c>
      <c r="H24" s="342">
        <f>IFERROR(VLOOKUP(B24,BDFD!$B:$BG,47,FALSE),0)</f>
        <v>830</v>
      </c>
      <c r="I24" s="342">
        <f>IFERROR(VLOOKUP(B24,BDFD!$B:$BG,50,FALSE),0)</f>
        <v>139</v>
      </c>
      <c r="J24" s="342">
        <f>IFERROR(VLOOKUP(B24,BDFD!$B:$BG,53,FALSE),0)</f>
        <v>0</v>
      </c>
      <c r="K24" s="342">
        <f>IFERROR(VLOOKUP(B24,BDFD!$B:$BG,56,FALSE),0)</f>
        <v>0</v>
      </c>
      <c r="L24" s="342">
        <v>0</v>
      </c>
      <c r="M24" s="342">
        <v>0</v>
      </c>
      <c r="N24" s="342">
        <v>0</v>
      </c>
      <c r="O24" s="342">
        <v>0</v>
      </c>
      <c r="P24" s="342">
        <v>0</v>
      </c>
      <c r="Q24" s="343">
        <f t="shared" si="0"/>
        <v>4663</v>
      </c>
      <c r="R24" s="344"/>
      <c r="S24" s="344">
        <v>12.906508924865088</v>
      </c>
      <c r="T24" s="344">
        <v>13.492890625000001</v>
      </c>
      <c r="U24" s="344">
        <v>13.084102000000003</v>
      </c>
      <c r="V24" s="344">
        <v>8.23</v>
      </c>
      <c r="W24" s="344"/>
      <c r="X24" s="346">
        <v>603.55843914112882</v>
      </c>
      <c r="Y24" s="347">
        <v>0.1</v>
      </c>
      <c r="Z24" s="339">
        <v>13054</v>
      </c>
      <c r="AA24" s="360"/>
      <c r="AB24" s="341" t="s">
        <v>25</v>
      </c>
      <c r="AC24" s="348">
        <v>42.852649179020148</v>
      </c>
      <c r="AD24" s="342">
        <v>44.663324496443536</v>
      </c>
      <c r="AE24" s="342">
        <v>48.284675131290307</v>
      </c>
      <c r="AF24" s="342">
        <v>51.906025766137077</v>
      </c>
      <c r="AG24" s="342">
        <v>54.320259522701605</v>
      </c>
      <c r="AH24" s="342">
        <v>53.113142644419341</v>
      </c>
      <c r="AI24" s="342">
        <v>52.509584205278202</v>
      </c>
      <c r="AJ24" s="342">
        <v>48.284675131290307</v>
      </c>
      <c r="AK24" s="342">
        <v>54.320259522701605</v>
      </c>
      <c r="AL24" s="342">
        <v>55.527376400983854</v>
      </c>
      <c r="AM24" s="342">
        <v>50.698908887854827</v>
      </c>
      <c r="AN24" s="342">
        <v>47.07755825300805</v>
      </c>
      <c r="AO24" s="343">
        <v>603.55843914112893</v>
      </c>
      <c r="AP24" s="346">
        <v>0</v>
      </c>
      <c r="AQ24" s="346"/>
      <c r="AR24" s="339">
        <v>13054</v>
      </c>
      <c r="AS24" s="360"/>
      <c r="AT24" s="341" t="s">
        <v>25</v>
      </c>
      <c r="AU24" s="342">
        <v>471.37914096922157</v>
      </c>
      <c r="AV24" s="342">
        <v>491.29656946087886</v>
      </c>
      <c r="AW24" s="342">
        <v>531.13142644419338</v>
      </c>
      <c r="AX24" s="342">
        <v>570.96628342750785</v>
      </c>
      <c r="AY24" s="342">
        <v>597.52285474971757</v>
      </c>
      <c r="AZ24" s="342">
        <v>584.24456908861271</v>
      </c>
      <c r="BA24" s="342">
        <v>577.60542625806022</v>
      </c>
      <c r="BB24" s="342">
        <v>531.13142644419338</v>
      </c>
      <c r="BC24" s="342">
        <v>597.52285474971757</v>
      </c>
      <c r="BD24" s="342">
        <v>610.80114041082231</v>
      </c>
      <c r="BE24" s="342">
        <v>557.6879977664031</v>
      </c>
      <c r="BF24" s="342">
        <v>517.85314078308852</v>
      </c>
      <c r="BG24" s="343">
        <v>6639.1428305524169</v>
      </c>
      <c r="BH24" s="513">
        <f t="shared" si="3"/>
        <v>4663</v>
      </c>
      <c r="BI24" s="513">
        <f t="shared" si="4"/>
        <v>0</v>
      </c>
    </row>
    <row r="25" spans="2:61" x14ac:dyDescent="0.25">
      <c r="B25" s="339">
        <v>13009</v>
      </c>
      <c r="C25" s="361" t="s">
        <v>26</v>
      </c>
      <c r="D25" s="341" t="s">
        <v>28</v>
      </c>
      <c r="E25" s="342">
        <f>IFERROR(VLOOKUP(B25,BDFD!$B:$BG,38,FALSE),0)</f>
        <v>0</v>
      </c>
      <c r="F25" s="342">
        <f>IFERROR(VLOOKUP(B25,BDFD!$B:$BG,41,FALSE),0)</f>
        <v>-38</v>
      </c>
      <c r="G25" s="342">
        <f>IFERROR(VLOOKUP(B25,BDFD!$B:$BG,44,FALSE),0)</f>
        <v>-31</v>
      </c>
      <c r="H25" s="342">
        <f>IFERROR(VLOOKUP(B25,BDFD!$B:$BG,47,FALSE),0)</f>
        <v>-38</v>
      </c>
      <c r="I25" s="342">
        <f>IFERROR(VLOOKUP(B25,BDFD!$B:$BG,50,FALSE),0)</f>
        <v>-82</v>
      </c>
      <c r="J25" s="342">
        <f>IFERROR(VLOOKUP(B25,BDFD!$B:$BG,53,FALSE),0)</f>
        <v>0</v>
      </c>
      <c r="K25" s="342">
        <f>IFERROR(VLOOKUP(B25,BDFD!$B:$BG,56,FALSE),0)</f>
        <v>-2</v>
      </c>
      <c r="L25" s="342">
        <v>0</v>
      </c>
      <c r="M25" s="342">
        <v>0</v>
      </c>
      <c r="N25" s="342">
        <v>0</v>
      </c>
      <c r="O25" s="342">
        <v>0</v>
      </c>
      <c r="P25" s="342">
        <v>0</v>
      </c>
      <c r="Q25" s="343">
        <f t="shared" si="0"/>
        <v>-191</v>
      </c>
      <c r="R25" s="344"/>
      <c r="S25" s="344">
        <v>7.2271666666666672</v>
      </c>
      <c r="T25" s="344">
        <v>7.2271666666666672</v>
      </c>
      <c r="U25" s="344">
        <v>7.2807266666666681</v>
      </c>
      <c r="V25" s="344">
        <v>8.48</v>
      </c>
      <c r="W25" s="344"/>
      <c r="X25" s="346">
        <v>0</v>
      </c>
      <c r="Y25" s="347">
        <v>1</v>
      </c>
      <c r="Z25" s="339">
        <v>13009</v>
      </c>
      <c r="AA25" s="361" t="s">
        <v>26</v>
      </c>
      <c r="AB25" s="341" t="s">
        <v>28</v>
      </c>
      <c r="AC25" s="342">
        <v>0</v>
      </c>
      <c r="AD25" s="342">
        <v>0</v>
      </c>
      <c r="AE25" s="342">
        <v>0</v>
      </c>
      <c r="AF25" s="342">
        <v>0</v>
      </c>
      <c r="AG25" s="342">
        <v>0</v>
      </c>
      <c r="AH25" s="342">
        <v>0</v>
      </c>
      <c r="AI25" s="342">
        <v>0</v>
      </c>
      <c r="AJ25" s="342">
        <v>0</v>
      </c>
      <c r="AK25" s="342">
        <v>0</v>
      </c>
      <c r="AL25" s="342">
        <v>0</v>
      </c>
      <c r="AM25" s="342">
        <v>0</v>
      </c>
      <c r="AN25" s="342">
        <v>0</v>
      </c>
      <c r="AO25" s="343">
        <v>0</v>
      </c>
      <c r="AP25" s="346">
        <v>0</v>
      </c>
      <c r="AQ25" s="346"/>
      <c r="AR25" s="339">
        <v>13009</v>
      </c>
      <c r="AS25" s="361" t="s">
        <v>26</v>
      </c>
      <c r="AT25" s="341" t="s">
        <v>28</v>
      </c>
      <c r="AU25" s="342">
        <v>0</v>
      </c>
      <c r="AV25" s="342">
        <v>0</v>
      </c>
      <c r="AW25" s="342">
        <v>0</v>
      </c>
      <c r="AX25" s="342">
        <v>0</v>
      </c>
      <c r="AY25" s="342">
        <v>0</v>
      </c>
      <c r="AZ25" s="342">
        <v>0</v>
      </c>
      <c r="BA25" s="342">
        <v>0</v>
      </c>
      <c r="BB25" s="342">
        <v>0</v>
      </c>
      <c r="BC25" s="342">
        <v>0</v>
      </c>
      <c r="BD25" s="342">
        <v>0</v>
      </c>
      <c r="BE25" s="342">
        <v>0</v>
      </c>
      <c r="BF25" s="342">
        <v>0</v>
      </c>
      <c r="BG25" s="343">
        <v>0</v>
      </c>
      <c r="BH25" s="513">
        <f t="shared" si="3"/>
        <v>-191</v>
      </c>
      <c r="BI25" s="513">
        <f t="shared" si="4"/>
        <v>0</v>
      </c>
    </row>
    <row r="26" spans="2:61" x14ac:dyDescent="0.25">
      <c r="B26" s="339">
        <v>13112</v>
      </c>
      <c r="C26" s="362" t="s">
        <v>56</v>
      </c>
      <c r="D26" s="341" t="s">
        <v>57</v>
      </c>
      <c r="E26" s="342">
        <f>IFERROR(VLOOKUP(B26,BDFD!$B:$BG,38,FALSE),0)</f>
        <v>2418</v>
      </c>
      <c r="F26" s="342">
        <f>IFERROR(VLOOKUP(B26,BDFD!$B:$BG,41,FALSE),0)</f>
        <v>2658</v>
      </c>
      <c r="G26" s="342">
        <f>IFERROR(VLOOKUP(B26,BDFD!$B:$BG,44,FALSE),0)</f>
        <v>2806</v>
      </c>
      <c r="H26" s="342">
        <f>IFERROR(VLOOKUP(B26,BDFD!$B:$BG,47,FALSE),0)</f>
        <v>3161</v>
      </c>
      <c r="I26" s="342">
        <f>IFERROR(VLOOKUP(B26,BDFD!$B:$BG,50,FALSE),0)</f>
        <v>3234</v>
      </c>
      <c r="J26" s="342">
        <f>IFERROR(VLOOKUP(B26,BDFD!$B:$BG,53,FALSE),0)</f>
        <v>3597</v>
      </c>
      <c r="K26" s="342">
        <f>IFERROR(VLOOKUP(B26,BDFD!$B:$BG,56,FALSE),0)</f>
        <v>2460</v>
      </c>
      <c r="L26" s="342">
        <v>2900</v>
      </c>
      <c r="M26" s="342">
        <v>2900</v>
      </c>
      <c r="N26" s="342">
        <v>2900</v>
      </c>
      <c r="O26" s="342">
        <v>2900</v>
      </c>
      <c r="P26" s="342">
        <v>2900</v>
      </c>
      <c r="Q26" s="343">
        <f t="shared" si="0"/>
        <v>34834</v>
      </c>
      <c r="R26" s="344"/>
      <c r="S26" s="344">
        <v>12.77</v>
      </c>
      <c r="T26" s="344">
        <v>13.179384551838083</v>
      </c>
      <c r="U26" s="344">
        <v>13.077033333333336</v>
      </c>
      <c r="V26" s="344">
        <v>2.63</v>
      </c>
      <c r="W26" s="344"/>
      <c r="X26" s="346">
        <v>4962.5586056024904</v>
      </c>
      <c r="Y26" s="347">
        <v>0.15</v>
      </c>
      <c r="Z26" s="339">
        <v>13112</v>
      </c>
      <c r="AA26" s="362" t="s">
        <v>56</v>
      </c>
      <c r="AB26" s="341" t="s">
        <v>57</v>
      </c>
      <c r="AC26" s="348">
        <v>352.34166099777678</v>
      </c>
      <c r="AD26" s="342">
        <v>367.22933681458431</v>
      </c>
      <c r="AE26" s="342">
        <v>397.0046884481992</v>
      </c>
      <c r="AF26" s="342">
        <v>426.78004008181415</v>
      </c>
      <c r="AG26" s="342">
        <v>446.63027450422413</v>
      </c>
      <c r="AH26" s="342">
        <v>436.70515729301917</v>
      </c>
      <c r="AI26" s="342">
        <v>431.7425986874166</v>
      </c>
      <c r="AJ26" s="342">
        <v>397.0046884481992</v>
      </c>
      <c r="AK26" s="342">
        <v>446.63027450422413</v>
      </c>
      <c r="AL26" s="342">
        <v>456.55539171542915</v>
      </c>
      <c r="AM26" s="342">
        <v>416.85492287060924</v>
      </c>
      <c r="AN26" s="342">
        <v>387.07957123699424</v>
      </c>
      <c r="AO26" s="343">
        <v>4962.5586056024913</v>
      </c>
      <c r="AP26" s="346">
        <v>0</v>
      </c>
      <c r="AQ26" s="346"/>
      <c r="AR26" s="339">
        <v>13112</v>
      </c>
      <c r="AS26" s="362" t="s">
        <v>56</v>
      </c>
      <c r="AT26" s="341" t="s">
        <v>57</v>
      </c>
      <c r="AU26" s="342">
        <v>2701.2860676496221</v>
      </c>
      <c r="AV26" s="342">
        <v>2815.4249155784796</v>
      </c>
      <c r="AW26" s="342">
        <v>3043.7026114361943</v>
      </c>
      <c r="AX26" s="342">
        <v>3271.9803072939085</v>
      </c>
      <c r="AY26" s="342">
        <v>3424.1654378657181</v>
      </c>
      <c r="AZ26" s="342">
        <v>3348.0728725798135</v>
      </c>
      <c r="BA26" s="342">
        <v>3310.0265899368605</v>
      </c>
      <c r="BB26" s="342">
        <v>3043.7026114361943</v>
      </c>
      <c r="BC26" s="342">
        <v>3424.1654378657181</v>
      </c>
      <c r="BD26" s="342">
        <v>3500.2580031516236</v>
      </c>
      <c r="BE26" s="342">
        <v>3195.8877420080044</v>
      </c>
      <c r="BF26" s="342">
        <v>2967.6100461502892</v>
      </c>
      <c r="BG26" s="343">
        <v>38046.282642952421</v>
      </c>
      <c r="BH26" s="513">
        <f t="shared" si="3"/>
        <v>20334</v>
      </c>
      <c r="BI26" s="513">
        <f t="shared" si="4"/>
        <v>14500</v>
      </c>
    </row>
    <row r="27" spans="2:61" x14ac:dyDescent="0.25">
      <c r="B27" s="339">
        <v>13137</v>
      </c>
      <c r="C27" s="361" t="s">
        <v>29</v>
      </c>
      <c r="D27" s="341" t="s">
        <v>30</v>
      </c>
      <c r="E27" s="342">
        <f>IFERROR(VLOOKUP(B27,BDFD!$B:$BG,38,FALSE),0)</f>
        <v>500</v>
      </c>
      <c r="F27" s="342">
        <f>IFERROR(VLOOKUP(B27,BDFD!$B:$BG,41,FALSE),0)</f>
        <v>110</v>
      </c>
      <c r="G27" s="342">
        <f>IFERROR(VLOOKUP(B27,BDFD!$B:$BG,44,FALSE),0)</f>
        <v>137</v>
      </c>
      <c r="H27" s="342">
        <f>IFERROR(VLOOKUP(B27,BDFD!$B:$BG,47,FALSE),0)</f>
        <v>20</v>
      </c>
      <c r="I27" s="342">
        <f>IFERROR(VLOOKUP(B27,BDFD!$B:$BG,50,FALSE),0)</f>
        <v>0</v>
      </c>
      <c r="J27" s="342">
        <f>IFERROR(VLOOKUP(B27,BDFD!$B:$BG,53,FALSE),0)</f>
        <v>0</v>
      </c>
      <c r="K27" s="342">
        <f>IFERROR(VLOOKUP(B27,BDFD!$B:$BG,56,FALSE),0)</f>
        <v>0</v>
      </c>
      <c r="L27" s="342">
        <v>0</v>
      </c>
      <c r="M27" s="342">
        <v>0</v>
      </c>
      <c r="N27" s="342">
        <v>0</v>
      </c>
      <c r="O27" s="342">
        <v>0</v>
      </c>
      <c r="P27" s="342">
        <v>0</v>
      </c>
      <c r="Q27" s="343">
        <f t="shared" si="0"/>
        <v>767</v>
      </c>
      <c r="R27" s="344"/>
      <c r="S27" s="344">
        <v>12.63</v>
      </c>
      <c r="T27" s="344">
        <v>12.63</v>
      </c>
      <c r="U27" s="344">
        <v>12.723600000000001</v>
      </c>
      <c r="V27" s="344">
        <v>9.11</v>
      </c>
      <c r="W27" s="344"/>
      <c r="X27" s="346">
        <v>0</v>
      </c>
      <c r="Y27" s="347">
        <v>0.3</v>
      </c>
      <c r="Z27" s="339">
        <v>13137</v>
      </c>
      <c r="AA27" s="361" t="s">
        <v>29</v>
      </c>
      <c r="AB27" s="341" t="s">
        <v>30</v>
      </c>
      <c r="AC27" s="342">
        <v>0</v>
      </c>
      <c r="AD27" s="342">
        <v>0</v>
      </c>
      <c r="AE27" s="342">
        <v>0</v>
      </c>
      <c r="AF27" s="342">
        <v>0</v>
      </c>
      <c r="AG27" s="342">
        <v>0</v>
      </c>
      <c r="AH27" s="342">
        <v>0</v>
      </c>
      <c r="AI27" s="342">
        <v>0</v>
      </c>
      <c r="AJ27" s="342">
        <v>0</v>
      </c>
      <c r="AK27" s="342">
        <v>0</v>
      </c>
      <c r="AL27" s="342">
        <v>0</v>
      </c>
      <c r="AM27" s="342">
        <v>0</v>
      </c>
      <c r="AN27" s="342">
        <v>0</v>
      </c>
      <c r="AO27" s="343">
        <v>0</v>
      </c>
      <c r="AP27" s="346">
        <v>0</v>
      </c>
      <c r="AQ27" s="346"/>
      <c r="AR27" s="339">
        <v>13137</v>
      </c>
      <c r="AS27" s="361" t="s">
        <v>29</v>
      </c>
      <c r="AT27" s="341" t="s">
        <v>30</v>
      </c>
      <c r="AU27" s="342">
        <v>0</v>
      </c>
      <c r="AV27" s="342">
        <v>0</v>
      </c>
      <c r="AW27" s="342">
        <v>0</v>
      </c>
      <c r="AX27" s="342">
        <v>0</v>
      </c>
      <c r="AY27" s="342">
        <v>0</v>
      </c>
      <c r="AZ27" s="342">
        <v>0</v>
      </c>
      <c r="BA27" s="342">
        <v>0</v>
      </c>
      <c r="BB27" s="342">
        <v>0</v>
      </c>
      <c r="BC27" s="342">
        <v>0</v>
      </c>
      <c r="BD27" s="342">
        <v>0</v>
      </c>
      <c r="BE27" s="342">
        <v>0</v>
      </c>
      <c r="BF27" s="342">
        <v>0</v>
      </c>
      <c r="BG27" s="343">
        <v>0</v>
      </c>
      <c r="BH27" s="513">
        <f t="shared" si="3"/>
        <v>767</v>
      </c>
      <c r="BI27" s="513">
        <f t="shared" si="4"/>
        <v>0</v>
      </c>
    </row>
    <row r="28" spans="2:61" x14ac:dyDescent="0.25">
      <c r="B28" s="339">
        <v>13138</v>
      </c>
      <c r="C28" s="363"/>
      <c r="D28" s="341" t="s">
        <v>31</v>
      </c>
      <c r="E28" s="342">
        <f>IFERROR(VLOOKUP(B28,BDFD!$B:$BG,38,FALSE),0)</f>
        <v>547</v>
      </c>
      <c r="F28" s="342">
        <f>IFERROR(VLOOKUP(B28,BDFD!$B:$BG,41,FALSE),0)</f>
        <v>0</v>
      </c>
      <c r="G28" s="342">
        <f>IFERROR(VLOOKUP(B28,BDFD!$B:$BG,44,FALSE),0)</f>
        <v>1970</v>
      </c>
      <c r="H28" s="342">
        <f>IFERROR(VLOOKUP(B28,BDFD!$B:$BG,47,FALSE),0)</f>
        <v>1025</v>
      </c>
      <c r="I28" s="342">
        <f>IFERROR(VLOOKUP(B28,BDFD!$B:$BG,50,FALSE),0)</f>
        <v>-74</v>
      </c>
      <c r="J28" s="342">
        <f>IFERROR(VLOOKUP(B28,BDFD!$B:$BG,53,FALSE),0)</f>
        <v>-26</v>
      </c>
      <c r="K28" s="342">
        <f>IFERROR(VLOOKUP(B28,BDFD!$B:$BG,56,FALSE),0)</f>
        <v>1290</v>
      </c>
      <c r="L28" s="342">
        <v>900</v>
      </c>
      <c r="M28" s="342">
        <v>1400</v>
      </c>
      <c r="N28" s="342">
        <v>1400</v>
      </c>
      <c r="O28" s="342">
        <v>1350</v>
      </c>
      <c r="P28" s="342">
        <v>950</v>
      </c>
      <c r="Q28" s="343">
        <f t="shared" si="0"/>
        <v>10732</v>
      </c>
      <c r="R28" s="344"/>
      <c r="S28" s="344">
        <v>15.874017953321363</v>
      </c>
      <c r="T28" s="344">
        <v>15.905495652173913</v>
      </c>
      <c r="U28" s="344">
        <v>15.904500000000002</v>
      </c>
      <c r="V28" s="344">
        <v>9.3000000000000007</v>
      </c>
      <c r="W28" s="344"/>
      <c r="X28" s="346">
        <v>1434.1209635491882</v>
      </c>
      <c r="Y28" s="347">
        <v>0.15</v>
      </c>
      <c r="Z28" s="339">
        <v>13138</v>
      </c>
      <c r="AA28" s="363"/>
      <c r="AB28" s="341" t="s">
        <v>31</v>
      </c>
      <c r="AC28" s="348">
        <v>101.82258841199236</v>
      </c>
      <c r="AD28" s="342">
        <v>106.12495130263993</v>
      </c>
      <c r="AE28" s="342">
        <v>114.72967708393507</v>
      </c>
      <c r="AF28" s="342">
        <v>123.33440286523017</v>
      </c>
      <c r="AG28" s="342">
        <v>129.07088671942694</v>
      </c>
      <c r="AH28" s="342">
        <v>126.20264479232856</v>
      </c>
      <c r="AI28" s="342">
        <v>124.76852382877937</v>
      </c>
      <c r="AJ28" s="342">
        <v>114.72967708393507</v>
      </c>
      <c r="AK28" s="342">
        <v>129.07088671942694</v>
      </c>
      <c r="AL28" s="342">
        <v>131.93912864652532</v>
      </c>
      <c r="AM28" s="342">
        <v>120.46616093813182</v>
      </c>
      <c r="AN28" s="342">
        <v>111.86143515683669</v>
      </c>
      <c r="AO28" s="343">
        <v>1434.1209635491882</v>
      </c>
      <c r="AP28" s="346">
        <v>0</v>
      </c>
      <c r="AQ28" s="346"/>
      <c r="AR28" s="339">
        <v>13138</v>
      </c>
      <c r="AS28" s="363"/>
      <c r="AT28" s="341" t="s">
        <v>31</v>
      </c>
      <c r="AU28" s="342">
        <v>780.6398444919414</v>
      </c>
      <c r="AV28" s="342">
        <v>813.62462665357282</v>
      </c>
      <c r="AW28" s="342">
        <v>879.59419097683553</v>
      </c>
      <c r="AX28" s="342">
        <v>945.56375530009814</v>
      </c>
      <c r="AY28" s="342">
        <v>989.54346484893995</v>
      </c>
      <c r="AZ28" s="342">
        <v>967.55361007451893</v>
      </c>
      <c r="BA28" s="342">
        <v>956.55868268730853</v>
      </c>
      <c r="BB28" s="342">
        <v>879.59419097683553</v>
      </c>
      <c r="BC28" s="342">
        <v>989.54346484893995</v>
      </c>
      <c r="BD28" s="342">
        <v>1011.5333196233609</v>
      </c>
      <c r="BE28" s="342">
        <v>923.57390052567735</v>
      </c>
      <c r="BF28" s="342">
        <v>857.60433620241463</v>
      </c>
      <c r="BG28" s="343">
        <v>10994.927387210442</v>
      </c>
      <c r="BH28" s="513">
        <f t="shared" si="3"/>
        <v>4732</v>
      </c>
      <c r="BI28" s="513">
        <f t="shared" si="4"/>
        <v>6000</v>
      </c>
    </row>
    <row r="29" spans="2:61" x14ac:dyDescent="0.25">
      <c r="B29" s="339">
        <v>13122</v>
      </c>
      <c r="C29" s="504" t="s">
        <v>36</v>
      </c>
      <c r="D29" s="355" t="s">
        <v>37</v>
      </c>
      <c r="E29" s="342">
        <f>IFERROR(VLOOKUP(B29,BDFD!$B:$BG,38,FALSE),0)</f>
        <v>96</v>
      </c>
      <c r="F29" s="342">
        <f>IFERROR(VLOOKUP(B29,BDFD!$B:$BG,41,FALSE),0)</f>
        <v>1840</v>
      </c>
      <c r="G29" s="342">
        <f>IFERROR(VLOOKUP(B29,BDFD!$B:$BG,44,FALSE),0)</f>
        <v>268</v>
      </c>
      <c r="H29" s="342">
        <f>IFERROR(VLOOKUP(B29,BDFD!$B:$BG,47,FALSE),0)</f>
        <v>-1</v>
      </c>
      <c r="I29" s="342">
        <f>IFERROR(VLOOKUP(B29,BDFD!$B:$BG,50,FALSE),0)</f>
        <v>0</v>
      </c>
      <c r="J29" s="342">
        <f>IFERROR(VLOOKUP(B29,BDFD!$B:$BG,53,FALSE),0)</f>
        <v>1756</v>
      </c>
      <c r="K29" s="342">
        <f>IFERROR(VLOOKUP(B29,BDFD!$B:$BG,56,FALSE),0)</f>
        <v>3829</v>
      </c>
      <c r="L29" s="342">
        <v>1100</v>
      </c>
      <c r="M29" s="342">
        <v>1100</v>
      </c>
      <c r="N29" s="342">
        <v>1100</v>
      </c>
      <c r="O29" s="342">
        <v>1100</v>
      </c>
      <c r="P29" s="342">
        <v>1100</v>
      </c>
      <c r="Q29" s="343">
        <f t="shared" si="0"/>
        <v>13288</v>
      </c>
      <c r="R29" s="344"/>
      <c r="S29" s="344">
        <v>19.663522620904835</v>
      </c>
      <c r="T29" s="344">
        <v>19.467134693877551</v>
      </c>
      <c r="U29" s="344">
        <v>18.929889333333335</v>
      </c>
      <c r="V29" s="344">
        <v>11.43</v>
      </c>
      <c r="W29" s="344"/>
      <c r="X29" s="346">
        <v>725.15105114045593</v>
      </c>
      <c r="Y29" s="347">
        <v>0.12</v>
      </c>
      <c r="Z29" s="339">
        <v>13122</v>
      </c>
      <c r="AA29" s="504" t="s">
        <v>36</v>
      </c>
      <c r="AB29" s="355" t="s">
        <v>37</v>
      </c>
      <c r="AC29" s="348">
        <v>51.485724630972371</v>
      </c>
      <c r="AD29" s="342">
        <v>53.66117778439375</v>
      </c>
      <c r="AE29" s="342">
        <v>58.012084091236481</v>
      </c>
      <c r="AF29" s="342">
        <v>62.362990398079219</v>
      </c>
      <c r="AG29" s="342">
        <v>65.263594602641049</v>
      </c>
      <c r="AH29" s="342">
        <v>63.813292500360134</v>
      </c>
      <c r="AI29" s="342">
        <v>63.08814144921967</v>
      </c>
      <c r="AJ29" s="342">
        <v>58.012084091236481</v>
      </c>
      <c r="AK29" s="342">
        <v>65.263594602641049</v>
      </c>
      <c r="AL29" s="342">
        <v>66.71389670492195</v>
      </c>
      <c r="AM29" s="342">
        <v>60.912688295798311</v>
      </c>
      <c r="AN29" s="342">
        <v>56.561781988955573</v>
      </c>
      <c r="AO29" s="343">
        <v>725.15105114045593</v>
      </c>
      <c r="AP29" s="346">
        <v>0</v>
      </c>
      <c r="AQ29" s="346"/>
      <c r="AR29" s="339">
        <v>13122</v>
      </c>
      <c r="AS29" s="504" t="s">
        <v>36</v>
      </c>
      <c r="AT29" s="355" t="s">
        <v>37</v>
      </c>
      <c r="AU29" s="342">
        <v>480.53342988907548</v>
      </c>
      <c r="AV29" s="342">
        <v>500.83765932100835</v>
      </c>
      <c r="AW29" s="342">
        <v>541.44611818487385</v>
      </c>
      <c r="AX29" s="342">
        <v>582.05457704873936</v>
      </c>
      <c r="AY29" s="342">
        <v>609.12688295798318</v>
      </c>
      <c r="AZ29" s="342">
        <v>595.59073000336127</v>
      </c>
      <c r="BA29" s="342">
        <v>588.8226535260502</v>
      </c>
      <c r="BB29" s="342">
        <v>541.44611818487385</v>
      </c>
      <c r="BC29" s="342">
        <v>609.12688295798318</v>
      </c>
      <c r="BD29" s="342">
        <v>622.66303591260487</v>
      </c>
      <c r="BE29" s="342">
        <v>568.51842409411756</v>
      </c>
      <c r="BF29" s="342">
        <v>527.90996523025206</v>
      </c>
      <c r="BG29" s="343">
        <v>6768.0764773109222</v>
      </c>
      <c r="BH29" s="513">
        <f t="shared" si="3"/>
        <v>7788</v>
      </c>
      <c r="BI29" s="513">
        <f t="shared" si="4"/>
        <v>5500</v>
      </c>
    </row>
    <row r="30" spans="2:61" x14ac:dyDescent="0.25">
      <c r="B30" s="339">
        <v>13158</v>
      </c>
      <c r="C30" s="505"/>
      <c r="D30" s="355" t="s">
        <v>663</v>
      </c>
      <c r="E30" s="342">
        <f>IFERROR(VLOOKUP(B30,BDFD!$B:$BG,38,FALSE),0)</f>
        <v>0</v>
      </c>
      <c r="F30" s="342">
        <f>IFERROR(VLOOKUP(B30,BDFD!$B:$BG,41,FALSE),0)</f>
        <v>200</v>
      </c>
      <c r="G30" s="342">
        <f>IFERROR(VLOOKUP(B30,BDFD!$B:$BG,44,FALSE),0)</f>
        <v>270</v>
      </c>
      <c r="H30" s="342">
        <f>IFERROR(VLOOKUP(B30,BDFD!$B:$BG,47,FALSE),0)</f>
        <v>500</v>
      </c>
      <c r="I30" s="342">
        <f>IFERROR(VLOOKUP(B30,BDFD!$B:$BG,50,FALSE),0)</f>
        <v>686</v>
      </c>
      <c r="J30" s="342">
        <f>IFERROR(VLOOKUP(B30,BDFD!$B:$BG,53,FALSE),0)</f>
        <v>1540</v>
      </c>
      <c r="K30" s="342">
        <f>IFERROR(VLOOKUP(B30,BDFD!$B:$BG,56,FALSE),0)</f>
        <v>1386</v>
      </c>
      <c r="L30" s="342">
        <v>1000</v>
      </c>
      <c r="M30" s="342">
        <v>1000</v>
      </c>
      <c r="N30" s="342">
        <v>1000</v>
      </c>
      <c r="O30" s="342">
        <v>1000</v>
      </c>
      <c r="P30" s="342">
        <v>1000</v>
      </c>
      <c r="Q30" s="343">
        <f t="shared" si="0"/>
        <v>9582</v>
      </c>
      <c r="R30" s="344"/>
      <c r="S30" s="344">
        <v>13.430466666666668</v>
      </c>
      <c r="T30" s="344">
        <v>13.430466666666668</v>
      </c>
      <c r="U30" s="344">
        <v>13.430466666666668</v>
      </c>
      <c r="V30" s="344">
        <v>11.43</v>
      </c>
      <c r="W30" s="344"/>
      <c r="X30" s="346">
        <v>3250</v>
      </c>
      <c r="Y30" s="347">
        <v>0.25</v>
      </c>
      <c r="Z30" s="339">
        <v>13158</v>
      </c>
      <c r="AA30" s="505"/>
      <c r="AB30" s="355" t="s">
        <v>663</v>
      </c>
      <c r="AC30" s="348">
        <v>230.74999999999997</v>
      </c>
      <c r="AD30" s="342">
        <v>240.5</v>
      </c>
      <c r="AE30" s="342">
        <v>260</v>
      </c>
      <c r="AF30" s="342">
        <v>279.5</v>
      </c>
      <c r="AG30" s="342">
        <v>292.5</v>
      </c>
      <c r="AH30" s="342">
        <v>286</v>
      </c>
      <c r="AI30" s="342">
        <v>282.75</v>
      </c>
      <c r="AJ30" s="342">
        <v>260</v>
      </c>
      <c r="AK30" s="342">
        <v>292.5</v>
      </c>
      <c r="AL30" s="342">
        <v>299</v>
      </c>
      <c r="AM30" s="342">
        <v>273</v>
      </c>
      <c r="AN30" s="342">
        <v>253.5</v>
      </c>
      <c r="AO30" s="343">
        <v>3250</v>
      </c>
      <c r="AP30" s="346">
        <v>0</v>
      </c>
      <c r="AQ30" s="346"/>
      <c r="AR30" s="339">
        <v>13158</v>
      </c>
      <c r="AS30" s="505"/>
      <c r="AT30" s="355" t="s">
        <v>663</v>
      </c>
      <c r="AU30" s="342">
        <v>1153.7499999999998</v>
      </c>
      <c r="AV30" s="342">
        <v>1202.5</v>
      </c>
      <c r="AW30" s="342">
        <v>1300</v>
      </c>
      <c r="AX30" s="342">
        <v>1397.5</v>
      </c>
      <c r="AY30" s="342">
        <v>1462.5</v>
      </c>
      <c r="AZ30" s="342">
        <v>1430</v>
      </c>
      <c r="BA30" s="342">
        <v>1413.75</v>
      </c>
      <c r="BB30" s="342">
        <v>1300</v>
      </c>
      <c r="BC30" s="342">
        <v>1462.5</v>
      </c>
      <c r="BD30" s="342">
        <v>1495</v>
      </c>
      <c r="BE30" s="342">
        <v>1365</v>
      </c>
      <c r="BF30" s="342">
        <v>1267.5</v>
      </c>
      <c r="BG30" s="343">
        <v>16250</v>
      </c>
      <c r="BH30" s="513">
        <f t="shared" si="3"/>
        <v>4582</v>
      </c>
      <c r="BI30" s="513">
        <f t="shared" si="4"/>
        <v>5000</v>
      </c>
    </row>
    <row r="31" spans="2:61" x14ac:dyDescent="0.25">
      <c r="B31" s="339">
        <v>13110</v>
      </c>
      <c r="C31" s="362" t="s">
        <v>38</v>
      </c>
      <c r="D31" s="341" t="s">
        <v>39</v>
      </c>
      <c r="E31" s="342">
        <f>IFERROR(VLOOKUP(B31,BDFD!$B:$BG,38,FALSE),0)</f>
        <v>3615</v>
      </c>
      <c r="F31" s="342">
        <f>IFERROR(VLOOKUP(B31,BDFD!$B:$BG,41,FALSE),0)</f>
        <v>9130</v>
      </c>
      <c r="G31" s="342">
        <f>IFERROR(VLOOKUP(B31,BDFD!$B:$BG,44,FALSE),0)</f>
        <v>5184</v>
      </c>
      <c r="H31" s="342">
        <f>IFERROR(VLOOKUP(B31,BDFD!$B:$BG,47,FALSE),0)</f>
        <v>-7</v>
      </c>
      <c r="I31" s="342">
        <f>IFERROR(VLOOKUP(B31,BDFD!$B:$BG,50,FALSE),0)</f>
        <v>17490</v>
      </c>
      <c r="J31" s="342">
        <f>IFERROR(VLOOKUP(B31,BDFD!$B:$BG,53,FALSE),0)</f>
        <v>3344</v>
      </c>
      <c r="K31" s="342">
        <f>IFERROR(VLOOKUP(B31,BDFD!$B:$BG,56,FALSE),0)</f>
        <v>19694</v>
      </c>
      <c r="L31" s="342">
        <v>10000</v>
      </c>
      <c r="M31" s="342">
        <v>9000</v>
      </c>
      <c r="N31" s="342">
        <v>9000</v>
      </c>
      <c r="O31" s="342">
        <v>9000</v>
      </c>
      <c r="P31" s="342">
        <v>9000</v>
      </c>
      <c r="Q31" s="343">
        <f t="shared" si="0"/>
        <v>104450</v>
      </c>
      <c r="R31" s="344"/>
      <c r="S31" s="344">
        <v>3.3456990133339177</v>
      </c>
      <c r="T31" s="344">
        <v>3.4163274793388432</v>
      </c>
      <c r="U31" s="344">
        <v>3.4989900000000005</v>
      </c>
      <c r="V31" s="344">
        <v>1.08</v>
      </c>
      <c r="W31" s="344"/>
      <c r="X31" s="346">
        <v>21701.830833060663</v>
      </c>
      <c r="Y31" s="347">
        <v>0.18</v>
      </c>
      <c r="Z31" s="339">
        <v>13110</v>
      </c>
      <c r="AA31" s="362" t="s">
        <v>38</v>
      </c>
      <c r="AB31" s="341" t="s">
        <v>39</v>
      </c>
      <c r="AC31" s="348">
        <v>1540.8299891473071</v>
      </c>
      <c r="AD31" s="342">
        <v>1605.9354816464891</v>
      </c>
      <c r="AE31" s="342">
        <v>1736.146466644853</v>
      </c>
      <c r="AF31" s="342">
        <v>1866.357451643217</v>
      </c>
      <c r="AG31" s="342">
        <v>1953.1647749754595</v>
      </c>
      <c r="AH31" s="342">
        <v>1909.7611133093385</v>
      </c>
      <c r="AI31" s="342">
        <v>1888.0592824762775</v>
      </c>
      <c r="AJ31" s="342">
        <v>1736.146466644853</v>
      </c>
      <c r="AK31" s="342">
        <v>1953.1647749754595</v>
      </c>
      <c r="AL31" s="342">
        <v>1996.568436641581</v>
      </c>
      <c r="AM31" s="342">
        <v>1822.953789977096</v>
      </c>
      <c r="AN31" s="342">
        <v>1692.742804978732</v>
      </c>
      <c r="AO31" s="343">
        <v>21701.83083306066</v>
      </c>
      <c r="AP31" s="346">
        <v>0</v>
      </c>
      <c r="AQ31" s="346"/>
      <c r="AR31" s="339">
        <v>13110</v>
      </c>
      <c r="AS31" s="362" t="s">
        <v>38</v>
      </c>
      <c r="AT31" s="341" t="s">
        <v>39</v>
      </c>
      <c r="AU31" s="342">
        <v>10100.996595521236</v>
      </c>
      <c r="AV31" s="342">
        <v>10527.799268571429</v>
      </c>
      <c r="AW31" s="342">
        <v>11381.404614671816</v>
      </c>
      <c r="AX31" s="342">
        <v>12235.0099607722</v>
      </c>
      <c r="AY31" s="342">
        <v>12804.080191505791</v>
      </c>
      <c r="AZ31" s="342">
        <v>12519.545076138997</v>
      </c>
      <c r="BA31" s="342">
        <v>12377.277518455598</v>
      </c>
      <c r="BB31" s="342">
        <v>11381.404614671816</v>
      </c>
      <c r="BC31" s="342">
        <v>12804.080191505791</v>
      </c>
      <c r="BD31" s="342">
        <v>13088.615306872587</v>
      </c>
      <c r="BE31" s="342">
        <v>11950.474845405408</v>
      </c>
      <c r="BF31" s="342">
        <v>11096.869499305021</v>
      </c>
      <c r="BG31" s="343">
        <v>142267.5576833977</v>
      </c>
      <c r="BH31" s="513">
        <f t="shared" si="3"/>
        <v>58450</v>
      </c>
      <c r="BI31" s="513">
        <f t="shared" si="4"/>
        <v>46000</v>
      </c>
    </row>
    <row r="32" spans="2:61" x14ac:dyDescent="0.25">
      <c r="B32" s="339">
        <v>13163</v>
      </c>
      <c r="C32" s="362" t="s">
        <v>14</v>
      </c>
      <c r="D32" s="341" t="s">
        <v>664</v>
      </c>
      <c r="E32" s="342">
        <f>IFERROR(VLOOKUP(B32,BDFD!$B:$BG,38,FALSE),0)</f>
        <v>0</v>
      </c>
      <c r="F32" s="342">
        <f>IFERROR(VLOOKUP(B32,BDFD!$B:$BG,41,FALSE),0)</f>
        <v>0</v>
      </c>
      <c r="G32" s="342">
        <f>IFERROR(VLOOKUP(B32,BDFD!$B:$BG,44,FALSE),0)</f>
        <v>0</v>
      </c>
      <c r="H32" s="342">
        <f>IFERROR(VLOOKUP(B32,BDFD!$B:$BG,47,FALSE),0)</f>
        <v>0</v>
      </c>
      <c r="I32" s="342">
        <f>IFERROR(VLOOKUP(B32,BDFD!$B:$BG,50,FALSE),0)</f>
        <v>0</v>
      </c>
      <c r="J32" s="342">
        <f>IFERROR(VLOOKUP(B32,BDFD!$B:$BG,53,FALSE),0)</f>
        <v>0</v>
      </c>
      <c r="K32" s="342">
        <f>IFERROR(VLOOKUP(B32,BDFD!$B:$BG,56,FALSE),0)</f>
        <v>0</v>
      </c>
      <c r="L32" s="342">
        <f>800+800</f>
        <v>1600</v>
      </c>
      <c r="M32" s="342">
        <v>600</v>
      </c>
      <c r="N32" s="342">
        <v>700</v>
      </c>
      <c r="O32" s="342">
        <v>720</v>
      </c>
      <c r="P32" s="342">
        <v>740</v>
      </c>
      <c r="Q32" s="343">
        <f t="shared" si="0"/>
        <v>4360</v>
      </c>
      <c r="R32" s="344"/>
      <c r="S32" s="344">
        <v>3.534333333333334</v>
      </c>
      <c r="T32" s="344">
        <v>3.534333333333334</v>
      </c>
      <c r="U32" s="344">
        <v>3.534333333333334</v>
      </c>
      <c r="V32" s="344">
        <v>1.75763</v>
      </c>
      <c r="W32" s="344"/>
      <c r="X32" s="346">
        <v>1080.5</v>
      </c>
      <c r="Y32" s="347">
        <v>0.25</v>
      </c>
      <c r="Z32" s="339">
        <v>88888</v>
      </c>
      <c r="AA32" s="362" t="s">
        <v>14</v>
      </c>
      <c r="AB32" s="341" t="s">
        <v>664</v>
      </c>
      <c r="AC32" s="342">
        <v>0</v>
      </c>
      <c r="AD32" s="342">
        <v>0</v>
      </c>
      <c r="AE32" s="342">
        <v>0</v>
      </c>
      <c r="AF32" s="342">
        <v>143.75</v>
      </c>
      <c r="AG32" s="342">
        <v>104.25</v>
      </c>
      <c r="AH32" s="342">
        <v>106.25</v>
      </c>
      <c r="AI32" s="342">
        <v>107.5</v>
      </c>
      <c r="AJ32" s="342">
        <v>112.5</v>
      </c>
      <c r="AK32" s="342">
        <v>117.5</v>
      </c>
      <c r="AL32" s="342">
        <v>122.5</v>
      </c>
      <c r="AM32" s="342">
        <v>127.5</v>
      </c>
      <c r="AN32" s="342">
        <v>138.75</v>
      </c>
      <c r="AO32" s="343">
        <v>1080.5</v>
      </c>
      <c r="AP32" s="346">
        <v>0</v>
      </c>
      <c r="AQ32" s="346"/>
      <c r="AR32" s="339">
        <v>88888</v>
      </c>
      <c r="AS32" s="362" t="s">
        <v>14</v>
      </c>
      <c r="AT32" s="341" t="s">
        <v>14</v>
      </c>
      <c r="AU32" s="342">
        <v>0</v>
      </c>
      <c r="AV32" s="342">
        <v>0</v>
      </c>
      <c r="AW32" s="342">
        <v>0</v>
      </c>
      <c r="AX32" s="342">
        <v>718.75</v>
      </c>
      <c r="AY32" s="342">
        <v>521.25</v>
      </c>
      <c r="AZ32" s="342">
        <v>531.25</v>
      </c>
      <c r="BA32" s="342">
        <v>537.5</v>
      </c>
      <c r="BB32" s="342">
        <v>562.5</v>
      </c>
      <c r="BC32" s="342">
        <v>587.5</v>
      </c>
      <c r="BD32" s="342">
        <v>612.5</v>
      </c>
      <c r="BE32" s="342">
        <v>637.5</v>
      </c>
      <c r="BF32" s="342">
        <v>693.75</v>
      </c>
      <c r="BG32" s="343">
        <v>5402.5</v>
      </c>
      <c r="BH32" s="513">
        <f t="shared" si="3"/>
        <v>0</v>
      </c>
      <c r="BI32" s="513">
        <f t="shared" si="4"/>
        <v>4360</v>
      </c>
    </row>
    <row r="33" spans="2:61" x14ac:dyDescent="0.25">
      <c r="B33" s="339">
        <v>13140</v>
      </c>
      <c r="C33" s="362" t="s">
        <v>54</v>
      </c>
      <c r="D33" s="341" t="s">
        <v>55</v>
      </c>
      <c r="E33" s="342">
        <f>IFERROR(VLOOKUP(B33,BDFD!$B:$BG,38,FALSE),0)</f>
        <v>-17</v>
      </c>
      <c r="F33" s="342">
        <f>IFERROR(VLOOKUP(B33,BDFD!$B:$BG,41,FALSE),0)</f>
        <v>-186</v>
      </c>
      <c r="G33" s="342">
        <f>IFERROR(VLOOKUP(B33,BDFD!$B:$BG,44,FALSE),0)</f>
        <v>499</v>
      </c>
      <c r="H33" s="342">
        <f>IFERROR(VLOOKUP(B33,BDFD!$B:$BG,47,FALSE),0)</f>
        <v>-194</v>
      </c>
      <c r="I33" s="342">
        <f>IFERROR(VLOOKUP(B33,BDFD!$B:$BG,50,FALSE),0)</f>
        <v>100</v>
      </c>
      <c r="J33" s="342">
        <f>IFERROR(VLOOKUP(B33,BDFD!$B:$BG,53,FALSE),0)</f>
        <v>257</v>
      </c>
      <c r="K33" s="342">
        <f>IFERROR(VLOOKUP(B33,BDFD!$B:$BG,56,FALSE),0)</f>
        <v>352</v>
      </c>
      <c r="L33" s="342">
        <v>0</v>
      </c>
      <c r="M33" s="342">
        <v>0</v>
      </c>
      <c r="N33" s="342">
        <v>0</v>
      </c>
      <c r="O33" s="342">
        <v>0</v>
      </c>
      <c r="P33" s="342">
        <v>0</v>
      </c>
      <c r="Q33" s="343">
        <f t="shared" si="0"/>
        <v>811</v>
      </c>
      <c r="R33" s="344"/>
      <c r="S33" s="344">
        <v>8.8056388888888897</v>
      </c>
      <c r="T33" s="344">
        <v>8.8056388888888897</v>
      </c>
      <c r="U33" s="344">
        <v>9.896133333333335</v>
      </c>
      <c r="V33" s="364">
        <v>7.47</v>
      </c>
      <c r="W33" s="344"/>
      <c r="X33" s="346">
        <v>0</v>
      </c>
      <c r="Y33" s="347">
        <v>0.1</v>
      </c>
      <c r="Z33" s="339">
        <v>13140</v>
      </c>
      <c r="AA33" s="362" t="s">
        <v>54</v>
      </c>
      <c r="AB33" s="341" t="s">
        <v>55</v>
      </c>
      <c r="AC33" s="342">
        <v>0</v>
      </c>
      <c r="AD33" s="342">
        <v>0</v>
      </c>
      <c r="AE33" s="342">
        <v>0</v>
      </c>
      <c r="AF33" s="342">
        <v>0</v>
      </c>
      <c r="AG33" s="342">
        <v>0</v>
      </c>
      <c r="AH33" s="342">
        <v>0</v>
      </c>
      <c r="AI33" s="342">
        <v>0</v>
      </c>
      <c r="AJ33" s="342">
        <v>0</v>
      </c>
      <c r="AK33" s="342">
        <v>0</v>
      </c>
      <c r="AL33" s="342">
        <v>0</v>
      </c>
      <c r="AM33" s="342">
        <v>0</v>
      </c>
      <c r="AN33" s="342">
        <v>0</v>
      </c>
      <c r="AO33" s="343">
        <v>0</v>
      </c>
      <c r="AP33" s="346">
        <v>0</v>
      </c>
      <c r="AQ33" s="346"/>
      <c r="AR33" s="339">
        <v>13140</v>
      </c>
      <c r="AS33" s="362" t="s">
        <v>54</v>
      </c>
      <c r="AT33" s="341" t="s">
        <v>55</v>
      </c>
      <c r="AU33" s="342">
        <v>0</v>
      </c>
      <c r="AV33" s="342">
        <v>0</v>
      </c>
      <c r="AW33" s="342">
        <v>0</v>
      </c>
      <c r="AX33" s="342">
        <v>0</v>
      </c>
      <c r="AY33" s="342">
        <v>0</v>
      </c>
      <c r="AZ33" s="342">
        <v>0</v>
      </c>
      <c r="BA33" s="342">
        <v>0</v>
      </c>
      <c r="BB33" s="342">
        <v>0</v>
      </c>
      <c r="BC33" s="342">
        <v>0</v>
      </c>
      <c r="BD33" s="342">
        <v>0</v>
      </c>
      <c r="BE33" s="342">
        <v>0</v>
      </c>
      <c r="BF33" s="342">
        <v>0</v>
      </c>
      <c r="BG33" s="343">
        <v>0</v>
      </c>
      <c r="BH33" s="513">
        <f t="shared" si="3"/>
        <v>811</v>
      </c>
      <c r="BI33" s="513">
        <f t="shared" si="4"/>
        <v>0</v>
      </c>
    </row>
    <row r="34" spans="2:61" x14ac:dyDescent="0.25">
      <c r="B34" s="339">
        <v>13074</v>
      </c>
      <c r="C34" s="506" t="s">
        <v>40</v>
      </c>
      <c r="D34" s="341" t="s">
        <v>41</v>
      </c>
      <c r="E34" s="342">
        <f>IFERROR(VLOOKUP(B34,BDFD!$B:$BG,38,FALSE),0)</f>
        <v>4984</v>
      </c>
      <c r="F34" s="342">
        <f>IFERROR(VLOOKUP(B34,BDFD!$B:$BG,41,FALSE),0)</f>
        <v>7196</v>
      </c>
      <c r="G34" s="342">
        <f>IFERROR(VLOOKUP(B34,BDFD!$B:$BG,44,FALSE),0)</f>
        <v>6780</v>
      </c>
      <c r="H34" s="342">
        <f>IFERROR(VLOOKUP(B34,BDFD!$B:$BG,47,FALSE),0)</f>
        <v>7213</v>
      </c>
      <c r="I34" s="342">
        <f>IFERROR(VLOOKUP(B34,BDFD!$B:$BG,50,FALSE),0)</f>
        <v>9372</v>
      </c>
      <c r="J34" s="342">
        <f>IFERROR(VLOOKUP(B34,BDFD!$B:$BG,53,FALSE),0)</f>
        <v>8170</v>
      </c>
      <c r="K34" s="342">
        <f>IFERROR(VLOOKUP(B34,BDFD!$B:$BG,56,FALSE),0)</f>
        <v>5948</v>
      </c>
      <c r="L34" s="342">
        <v>6818</v>
      </c>
      <c r="M34" s="342">
        <v>6500</v>
      </c>
      <c r="N34" s="342">
        <v>7200</v>
      </c>
      <c r="O34" s="342">
        <v>7500</v>
      </c>
      <c r="P34" s="342">
        <v>5800</v>
      </c>
      <c r="Q34" s="343">
        <f t="shared" si="0"/>
        <v>83481</v>
      </c>
      <c r="R34" s="344"/>
      <c r="S34" s="344">
        <v>5.8721437952447362</v>
      </c>
      <c r="T34" s="344">
        <v>5.7439592096876995</v>
      </c>
      <c r="U34" s="344">
        <v>5.9871606666666688</v>
      </c>
      <c r="V34" s="344">
        <v>2.11</v>
      </c>
      <c r="W34" s="344"/>
      <c r="X34" s="346">
        <v>15340.973044210763</v>
      </c>
      <c r="Y34" s="347">
        <v>0.18</v>
      </c>
      <c r="Z34" s="339">
        <v>13074</v>
      </c>
      <c r="AA34" s="506" t="s">
        <v>40</v>
      </c>
      <c r="AB34" s="341" t="s">
        <v>41</v>
      </c>
      <c r="AC34" s="348">
        <v>1089.209086138964</v>
      </c>
      <c r="AD34" s="342">
        <v>1135.2320052715963</v>
      </c>
      <c r="AE34" s="342">
        <v>1227.2778435368609</v>
      </c>
      <c r="AF34" s="342">
        <v>1319.3236818021255</v>
      </c>
      <c r="AG34" s="342">
        <v>1380.6875739789687</v>
      </c>
      <c r="AH34" s="342">
        <v>1350.005627890547</v>
      </c>
      <c r="AI34" s="342">
        <v>1334.6646548463364</v>
      </c>
      <c r="AJ34" s="342">
        <v>1227.2778435368609</v>
      </c>
      <c r="AK34" s="342">
        <v>1380.6875739789687</v>
      </c>
      <c r="AL34" s="342">
        <v>1411.3695200673901</v>
      </c>
      <c r="AM34" s="342">
        <v>1288.6417357137041</v>
      </c>
      <c r="AN34" s="342">
        <v>1196.5958974484395</v>
      </c>
      <c r="AO34" s="343">
        <v>15340.973044210759</v>
      </c>
      <c r="AP34" s="346">
        <v>0</v>
      </c>
      <c r="AQ34" s="346"/>
      <c r="AR34" s="339">
        <v>13074</v>
      </c>
      <c r="AS34" s="506" t="s">
        <v>40</v>
      </c>
      <c r="AT34" s="341" t="s">
        <v>41</v>
      </c>
      <c r="AU34" s="342">
        <v>7140.3706757998762</v>
      </c>
      <c r="AV34" s="342">
        <v>7442.0764790026878</v>
      </c>
      <c r="AW34" s="342">
        <v>8045.4880854083112</v>
      </c>
      <c r="AX34" s="342">
        <v>8648.8996918139346</v>
      </c>
      <c r="AY34" s="342">
        <v>9051.1740960843508</v>
      </c>
      <c r="AZ34" s="342">
        <v>8850.0368939491418</v>
      </c>
      <c r="BA34" s="342">
        <v>8749.4682928815382</v>
      </c>
      <c r="BB34" s="342">
        <v>8045.4880854083112</v>
      </c>
      <c r="BC34" s="342">
        <v>9051.1740960843508</v>
      </c>
      <c r="BD34" s="342">
        <v>9252.311298219558</v>
      </c>
      <c r="BE34" s="342">
        <v>8447.7624896787274</v>
      </c>
      <c r="BF34" s="342">
        <v>7844.3508832731031</v>
      </c>
      <c r="BG34" s="343">
        <v>100568.60106760389</v>
      </c>
      <c r="BH34" s="513">
        <f t="shared" si="3"/>
        <v>49663</v>
      </c>
      <c r="BI34" s="513">
        <f t="shared" si="4"/>
        <v>33818</v>
      </c>
    </row>
    <row r="35" spans="2:61" x14ac:dyDescent="0.25">
      <c r="B35" s="339">
        <v>13072</v>
      </c>
      <c r="C35" s="507"/>
      <c r="D35" s="341" t="s">
        <v>42</v>
      </c>
      <c r="E35" s="342">
        <f>IFERROR(VLOOKUP(B35,BDFD!$B:$BG,38,FALSE),0)</f>
        <v>1478</v>
      </c>
      <c r="F35" s="342">
        <f>IFERROR(VLOOKUP(B35,BDFD!$B:$BG,41,FALSE),0)</f>
        <v>3427</v>
      </c>
      <c r="G35" s="342">
        <f>IFERROR(VLOOKUP(B35,BDFD!$B:$BG,44,FALSE),0)</f>
        <v>1767</v>
      </c>
      <c r="H35" s="342">
        <f>IFERROR(VLOOKUP(B35,BDFD!$B:$BG,47,FALSE),0)</f>
        <v>-113</v>
      </c>
      <c r="I35" s="342">
        <f>IFERROR(VLOOKUP(B35,BDFD!$B:$BG,50,FALSE),0)</f>
        <v>-22</v>
      </c>
      <c r="J35" s="342">
        <f>IFERROR(VLOOKUP(B35,BDFD!$B:$BG,53,FALSE),0)</f>
        <v>7188</v>
      </c>
      <c r="K35" s="342">
        <f>IFERROR(VLOOKUP(B35,BDFD!$B:$BG,56,FALSE),0)</f>
        <v>1096</v>
      </c>
      <c r="L35" s="342">
        <v>2800</v>
      </c>
      <c r="M35" s="342">
        <v>1000</v>
      </c>
      <c r="N35" s="342">
        <v>1400</v>
      </c>
      <c r="O35" s="342">
        <v>1400</v>
      </c>
      <c r="P35" s="342">
        <v>900</v>
      </c>
      <c r="Q35" s="343">
        <f t="shared" si="0"/>
        <v>22321</v>
      </c>
      <c r="R35" s="344"/>
      <c r="S35" s="344">
        <v>5.4297850735902093</v>
      </c>
      <c r="T35" s="344">
        <v>5.6630503978779831</v>
      </c>
      <c r="U35" s="344">
        <v>5.9871606666666688</v>
      </c>
      <c r="V35" s="344">
        <v>3.48</v>
      </c>
      <c r="W35" s="344"/>
      <c r="X35" s="346">
        <v>5905.7141001247246</v>
      </c>
      <c r="Y35" s="347">
        <v>0.18</v>
      </c>
      <c r="Z35" s="339">
        <v>13072</v>
      </c>
      <c r="AA35" s="507"/>
      <c r="AB35" s="341" t="s">
        <v>42</v>
      </c>
      <c r="AC35" s="348">
        <v>419.30570110885543</v>
      </c>
      <c r="AD35" s="342">
        <v>437.02284340922961</v>
      </c>
      <c r="AE35" s="342">
        <v>472.45712800997796</v>
      </c>
      <c r="AF35" s="342">
        <v>507.89141261072632</v>
      </c>
      <c r="AG35" s="342">
        <v>531.51426901122522</v>
      </c>
      <c r="AH35" s="342">
        <v>519.70284081097577</v>
      </c>
      <c r="AI35" s="342">
        <v>513.7971267108511</v>
      </c>
      <c r="AJ35" s="342">
        <v>472.45712800997796</v>
      </c>
      <c r="AK35" s="342">
        <v>531.51426901122522</v>
      </c>
      <c r="AL35" s="342">
        <v>543.32569721147468</v>
      </c>
      <c r="AM35" s="342">
        <v>496.07998441047692</v>
      </c>
      <c r="AN35" s="342">
        <v>460.64569980972851</v>
      </c>
      <c r="AO35" s="343">
        <v>5905.7141001247246</v>
      </c>
      <c r="AP35" s="346">
        <v>0</v>
      </c>
      <c r="AQ35" s="346"/>
      <c r="AR35" s="339">
        <v>13072</v>
      </c>
      <c r="AS35" s="507"/>
      <c r="AT35" s="341" t="s">
        <v>42</v>
      </c>
      <c r="AU35" s="342">
        <v>2748.7818183802747</v>
      </c>
      <c r="AV35" s="342">
        <v>2864.9275290160608</v>
      </c>
      <c r="AW35" s="342">
        <v>3097.2189502876336</v>
      </c>
      <c r="AX35" s="342">
        <v>3329.5103715592059</v>
      </c>
      <c r="AY35" s="342">
        <v>3484.3713190735875</v>
      </c>
      <c r="AZ35" s="342">
        <v>3406.9408453163969</v>
      </c>
      <c r="BA35" s="342">
        <v>3368.2256084378014</v>
      </c>
      <c r="BB35" s="342">
        <v>3097.2189502876336</v>
      </c>
      <c r="BC35" s="342">
        <v>3484.3713190735875</v>
      </c>
      <c r="BD35" s="342">
        <v>3561.8017928307786</v>
      </c>
      <c r="BE35" s="342">
        <v>3252.0798978020152</v>
      </c>
      <c r="BF35" s="342">
        <v>3019.7884765304425</v>
      </c>
      <c r="BG35" s="343">
        <v>38715.236878595417</v>
      </c>
      <c r="BH35" s="513">
        <f t="shared" si="3"/>
        <v>14821</v>
      </c>
      <c r="BI35" s="513">
        <f t="shared" si="4"/>
        <v>7500</v>
      </c>
    </row>
    <row r="36" spans="2:61" x14ac:dyDescent="0.25">
      <c r="B36" s="339">
        <v>13071</v>
      </c>
      <c r="C36" s="507"/>
      <c r="D36" s="341" t="s">
        <v>43</v>
      </c>
      <c r="E36" s="342">
        <f>IFERROR(VLOOKUP(B36,BDFD!$B:$BG,38,FALSE),0)</f>
        <v>3968</v>
      </c>
      <c r="F36" s="342">
        <f>IFERROR(VLOOKUP(B36,BDFD!$B:$BG,41,FALSE),0)</f>
        <v>4763</v>
      </c>
      <c r="G36" s="342">
        <f>IFERROR(VLOOKUP(B36,BDFD!$B:$BG,44,FALSE),0)</f>
        <v>4430</v>
      </c>
      <c r="H36" s="342">
        <f>IFERROR(VLOOKUP(B36,BDFD!$B:$BG,47,FALSE),0)</f>
        <v>1721</v>
      </c>
      <c r="I36" s="342">
        <f>IFERROR(VLOOKUP(B36,BDFD!$B:$BG,50,FALSE),0)</f>
        <v>5952</v>
      </c>
      <c r="J36" s="342">
        <f>IFERROR(VLOOKUP(B36,BDFD!$B:$BG,53,FALSE),0)</f>
        <v>4041</v>
      </c>
      <c r="K36" s="342">
        <f>IFERROR(VLOOKUP(B36,BDFD!$B:$BG,56,FALSE),0)</f>
        <v>3171</v>
      </c>
      <c r="L36" s="342">
        <v>1309</v>
      </c>
      <c r="M36" s="342">
        <v>4300</v>
      </c>
      <c r="N36" s="342">
        <v>4500</v>
      </c>
      <c r="O36" s="342">
        <v>4500</v>
      </c>
      <c r="P36" s="342">
        <v>3400</v>
      </c>
      <c r="Q36" s="343">
        <f t="shared" si="0"/>
        <v>46055</v>
      </c>
      <c r="R36" s="344"/>
      <c r="S36" s="344">
        <v>2.7442488439724873</v>
      </c>
      <c r="T36" s="344">
        <v>2.7453297724105896</v>
      </c>
      <c r="U36" s="344">
        <v>2.7850546666666669</v>
      </c>
      <c r="V36" s="344">
        <v>1.52</v>
      </c>
      <c r="W36" s="344"/>
      <c r="X36" s="346">
        <v>8724.0949880154949</v>
      </c>
      <c r="Y36" s="347">
        <v>0.18</v>
      </c>
      <c r="Z36" s="339">
        <v>13071</v>
      </c>
      <c r="AA36" s="507"/>
      <c r="AB36" s="341" t="s">
        <v>43</v>
      </c>
      <c r="AC36" s="348">
        <v>619.41074414909997</v>
      </c>
      <c r="AD36" s="342">
        <v>645.58302911314661</v>
      </c>
      <c r="AE36" s="342">
        <v>697.92759904123955</v>
      </c>
      <c r="AF36" s="342">
        <v>750.27216896933248</v>
      </c>
      <c r="AG36" s="342">
        <v>785.16854892139452</v>
      </c>
      <c r="AH36" s="342">
        <v>767.7203589453635</v>
      </c>
      <c r="AI36" s="342">
        <v>758.99626395734799</v>
      </c>
      <c r="AJ36" s="342">
        <v>697.92759904123955</v>
      </c>
      <c r="AK36" s="342">
        <v>785.16854892139452</v>
      </c>
      <c r="AL36" s="342">
        <v>802.61673889742553</v>
      </c>
      <c r="AM36" s="342">
        <v>732.82397899330158</v>
      </c>
      <c r="AN36" s="342">
        <v>680.47940906520864</v>
      </c>
      <c r="AO36" s="343">
        <v>8724.0949880154949</v>
      </c>
      <c r="AP36" s="346">
        <v>0</v>
      </c>
      <c r="AQ36" s="346"/>
      <c r="AR36" s="339">
        <v>13071</v>
      </c>
      <c r="AS36" s="507"/>
      <c r="AT36" s="341" t="s">
        <v>43</v>
      </c>
      <c r="AU36" s="342">
        <v>4060.5815449774336</v>
      </c>
      <c r="AV36" s="342">
        <v>4232.1554130750719</v>
      </c>
      <c r="AW36" s="342">
        <v>4575.3031492703485</v>
      </c>
      <c r="AX36" s="342">
        <v>4918.4508854656242</v>
      </c>
      <c r="AY36" s="342">
        <v>5147.2160429291416</v>
      </c>
      <c r="AZ36" s="342">
        <v>5032.8334641973834</v>
      </c>
      <c r="BA36" s="342">
        <v>4975.6421748315033</v>
      </c>
      <c r="BB36" s="342">
        <v>4575.3031492703485</v>
      </c>
      <c r="BC36" s="342">
        <v>5147.2160429291416</v>
      </c>
      <c r="BD36" s="342">
        <v>5261.5986216609008</v>
      </c>
      <c r="BE36" s="342">
        <v>4804.0683067338659</v>
      </c>
      <c r="BF36" s="342">
        <v>4460.9205705385903</v>
      </c>
      <c r="BG36" s="343">
        <v>57191.289365879355</v>
      </c>
      <c r="BH36" s="513">
        <f t="shared" si="3"/>
        <v>28046</v>
      </c>
      <c r="BI36" s="513">
        <f t="shared" si="4"/>
        <v>18009</v>
      </c>
    </row>
    <row r="37" spans="2:61" x14ac:dyDescent="0.25">
      <c r="B37" s="339"/>
      <c r="C37" s="507"/>
      <c r="D37" s="365" t="s">
        <v>462</v>
      </c>
      <c r="E37" s="342">
        <f>IFERROR(VLOOKUP(B37,BDFD!$B:$BG,38,FALSE),0)</f>
        <v>0</v>
      </c>
      <c r="F37" s="342">
        <f>IFERROR(VLOOKUP(B37,BDFD!$B:$BG,41,FALSE),0)</f>
        <v>0</v>
      </c>
      <c r="G37" s="342">
        <f>IFERROR(VLOOKUP(B37,BDFD!$B:$BG,44,FALSE),0)</f>
        <v>0</v>
      </c>
      <c r="H37" s="342">
        <f>IFERROR(VLOOKUP(B37,BDFD!$B:$BG,47,FALSE),0)</f>
        <v>0</v>
      </c>
      <c r="I37" s="342">
        <f>IFERROR(VLOOKUP(B37,BDFD!$B:$BG,50,FALSE),0)</f>
        <v>0</v>
      </c>
      <c r="J37" s="342">
        <f>IFERROR(VLOOKUP(B37,BDFD!$B:$BG,53,FALSE),0)</f>
        <v>0</v>
      </c>
      <c r="K37" s="342">
        <f>IFERROR(VLOOKUP(B37,BDFD!$B:$BG,56,FALSE),0)</f>
        <v>0</v>
      </c>
      <c r="L37" s="342"/>
      <c r="M37" s="342"/>
      <c r="N37" s="342"/>
      <c r="O37" s="342"/>
      <c r="P37" s="342"/>
      <c r="Q37" s="343">
        <f t="shared" si="0"/>
        <v>0</v>
      </c>
      <c r="R37" s="344"/>
      <c r="S37" s="344">
        <v>0</v>
      </c>
      <c r="T37" s="344">
        <v>5.7177641628478453</v>
      </c>
      <c r="U37" s="344">
        <v>5.7177641628478453</v>
      </c>
      <c r="V37" s="344">
        <v>0</v>
      </c>
      <c r="W37" s="344"/>
      <c r="X37" s="346">
        <v>0</v>
      </c>
      <c r="Y37" s="347">
        <v>0.25</v>
      </c>
      <c r="Z37" s="339">
        <v>33333</v>
      </c>
      <c r="AA37" s="507"/>
      <c r="AB37" s="365" t="s">
        <v>462</v>
      </c>
      <c r="AC37" s="342">
        <v>0</v>
      </c>
      <c r="AD37" s="342">
        <v>0</v>
      </c>
      <c r="AE37" s="342">
        <v>0</v>
      </c>
      <c r="AF37" s="342">
        <v>0</v>
      </c>
      <c r="AG37" s="342">
        <v>0</v>
      </c>
      <c r="AH37" s="342">
        <v>0</v>
      </c>
      <c r="AI37" s="342">
        <v>0</v>
      </c>
      <c r="AJ37" s="342">
        <v>0</v>
      </c>
      <c r="AK37" s="342">
        <v>0</v>
      </c>
      <c r="AL37" s="342">
        <v>0</v>
      </c>
      <c r="AM37" s="342">
        <v>0</v>
      </c>
      <c r="AN37" s="342">
        <v>0</v>
      </c>
      <c r="AO37" s="343">
        <v>0</v>
      </c>
      <c r="AP37" s="346">
        <v>0</v>
      </c>
      <c r="AQ37" s="346"/>
      <c r="AR37" s="339">
        <v>33333</v>
      </c>
      <c r="AS37" s="507"/>
      <c r="AT37" s="365" t="s">
        <v>462</v>
      </c>
      <c r="AU37" s="342">
        <v>0</v>
      </c>
      <c r="AV37" s="342">
        <v>0</v>
      </c>
      <c r="AW37" s="342">
        <v>0</v>
      </c>
      <c r="AX37" s="342">
        <v>0</v>
      </c>
      <c r="AY37" s="342">
        <v>0</v>
      </c>
      <c r="AZ37" s="342">
        <v>0</v>
      </c>
      <c r="BA37" s="342">
        <v>0</v>
      </c>
      <c r="BB37" s="342">
        <v>0</v>
      </c>
      <c r="BC37" s="342">
        <v>0</v>
      </c>
      <c r="BD37" s="342">
        <v>0</v>
      </c>
      <c r="BE37" s="342">
        <v>0</v>
      </c>
      <c r="BF37" s="342">
        <v>0</v>
      </c>
      <c r="BG37" s="343">
        <v>0</v>
      </c>
      <c r="BH37" s="513">
        <f t="shared" si="3"/>
        <v>0</v>
      </c>
      <c r="BI37" s="513">
        <f t="shared" si="4"/>
        <v>0</v>
      </c>
    </row>
    <row r="38" spans="2:61" x14ac:dyDescent="0.25">
      <c r="B38" s="339"/>
      <c r="C38" s="508"/>
      <c r="D38" s="365" t="s">
        <v>461</v>
      </c>
      <c r="E38" s="342">
        <f>IFERROR(VLOOKUP(B38,BDFD!$B:$BG,38,FALSE),0)</f>
        <v>0</v>
      </c>
      <c r="F38" s="342">
        <f>IFERROR(VLOOKUP(B38,BDFD!$B:$BG,41,FALSE),0)</f>
        <v>0</v>
      </c>
      <c r="G38" s="342">
        <f>IFERROR(VLOOKUP(B38,BDFD!$B:$BG,44,FALSE),0)</f>
        <v>0</v>
      </c>
      <c r="H38" s="342">
        <f>IFERROR(VLOOKUP(B38,BDFD!$B:$BG,47,FALSE),0)</f>
        <v>0</v>
      </c>
      <c r="I38" s="342">
        <f>IFERROR(VLOOKUP(B38,BDFD!$B:$BG,50,FALSE),0)</f>
        <v>0</v>
      </c>
      <c r="J38" s="342">
        <f>IFERROR(VLOOKUP(B38,BDFD!$B:$BG,53,FALSE),0)</f>
        <v>0</v>
      </c>
      <c r="K38" s="342">
        <f>IFERROR(VLOOKUP(B38,BDFD!$B:$BG,56,FALSE),0)</f>
        <v>0</v>
      </c>
      <c r="L38" s="342"/>
      <c r="M38" s="342"/>
      <c r="N38" s="342"/>
      <c r="O38" s="342"/>
      <c r="P38" s="342"/>
      <c r="Q38" s="343">
        <f t="shared" si="0"/>
        <v>0</v>
      </c>
      <c r="R38" s="344"/>
      <c r="S38" s="344">
        <v>0</v>
      </c>
      <c r="T38" s="344">
        <v>3.0971222548759161</v>
      </c>
      <c r="U38" s="344">
        <v>3.0971222548759161</v>
      </c>
      <c r="V38" s="344">
        <v>0</v>
      </c>
      <c r="W38" s="344"/>
      <c r="X38" s="346">
        <v>0</v>
      </c>
      <c r="Y38" s="347">
        <v>0.25</v>
      </c>
      <c r="Z38" s="339">
        <v>22222</v>
      </c>
      <c r="AA38" s="508"/>
      <c r="AB38" s="365" t="s">
        <v>461</v>
      </c>
      <c r="AC38" s="342">
        <v>0</v>
      </c>
      <c r="AD38" s="342">
        <v>0</v>
      </c>
      <c r="AE38" s="342">
        <v>0</v>
      </c>
      <c r="AF38" s="342">
        <v>0</v>
      </c>
      <c r="AG38" s="342">
        <v>0</v>
      </c>
      <c r="AH38" s="342">
        <v>0</v>
      </c>
      <c r="AI38" s="342">
        <v>0</v>
      </c>
      <c r="AJ38" s="342">
        <v>0</v>
      </c>
      <c r="AK38" s="342">
        <v>0</v>
      </c>
      <c r="AL38" s="342">
        <v>0</v>
      </c>
      <c r="AM38" s="342">
        <v>0</v>
      </c>
      <c r="AN38" s="342">
        <v>0</v>
      </c>
      <c r="AO38" s="343">
        <v>0</v>
      </c>
      <c r="AP38" s="346">
        <v>0</v>
      </c>
      <c r="AQ38" s="346"/>
      <c r="AR38" s="339">
        <v>22222</v>
      </c>
      <c r="AS38" s="508"/>
      <c r="AT38" s="365" t="s">
        <v>461</v>
      </c>
      <c r="AU38" s="342">
        <v>0</v>
      </c>
      <c r="AV38" s="342">
        <v>0</v>
      </c>
      <c r="AW38" s="342">
        <v>0</v>
      </c>
      <c r="AX38" s="342">
        <v>0</v>
      </c>
      <c r="AY38" s="342">
        <v>0</v>
      </c>
      <c r="AZ38" s="342">
        <v>0</v>
      </c>
      <c r="BA38" s="342">
        <v>0</v>
      </c>
      <c r="BB38" s="342">
        <v>0</v>
      </c>
      <c r="BC38" s="342">
        <v>0</v>
      </c>
      <c r="BD38" s="342">
        <v>0</v>
      </c>
      <c r="BE38" s="342">
        <v>0</v>
      </c>
      <c r="BF38" s="342">
        <v>0</v>
      </c>
      <c r="BG38" s="343">
        <v>0</v>
      </c>
      <c r="BH38" s="513">
        <f t="shared" si="3"/>
        <v>0</v>
      </c>
      <c r="BI38" s="513">
        <f t="shared" si="4"/>
        <v>0</v>
      </c>
    </row>
    <row r="39" spans="2:61" x14ac:dyDescent="0.25">
      <c r="B39" s="339">
        <v>13133</v>
      </c>
      <c r="C39" s="366" t="s">
        <v>15</v>
      </c>
      <c r="D39" s="355" t="s">
        <v>16</v>
      </c>
      <c r="E39" s="342">
        <f>IFERROR(VLOOKUP(B39,BDFD!$B:$BG,38,FALSE),0)</f>
        <v>1326</v>
      </c>
      <c r="F39" s="342">
        <f>IFERROR(VLOOKUP(B39,BDFD!$B:$BG,41,FALSE),0)</f>
        <v>1657</v>
      </c>
      <c r="G39" s="342">
        <f>IFERROR(VLOOKUP(B39,BDFD!$B:$BG,44,FALSE),0)</f>
        <v>1677</v>
      </c>
      <c r="H39" s="342">
        <f>IFERROR(VLOOKUP(B39,BDFD!$B:$BG,47,FALSE),0)</f>
        <v>1448</v>
      </c>
      <c r="I39" s="342">
        <f>IFERROR(VLOOKUP(B39,BDFD!$B:$BG,50,FALSE),0)</f>
        <v>2126</v>
      </c>
      <c r="J39" s="342">
        <f>IFERROR(VLOOKUP(B39,BDFD!$B:$BG,53,FALSE),0)</f>
        <v>1720</v>
      </c>
      <c r="K39" s="342">
        <f>IFERROR(VLOOKUP(B39,BDFD!$B:$BG,56,FALSE),0)</f>
        <v>1719</v>
      </c>
      <c r="L39" s="342">
        <v>1420</v>
      </c>
      <c r="M39" s="342">
        <v>1483</v>
      </c>
      <c r="N39" s="342">
        <v>1516</v>
      </c>
      <c r="O39" s="342">
        <v>1384</v>
      </c>
      <c r="P39" s="342">
        <v>1285</v>
      </c>
      <c r="Q39" s="343">
        <f t="shared" si="0"/>
        <v>18761</v>
      </c>
      <c r="R39" s="344"/>
      <c r="S39" s="344">
        <v>17.713163702453588</v>
      </c>
      <c r="T39" s="344">
        <v>17.512569579288026</v>
      </c>
      <c r="U39" s="344">
        <v>17.318233333333339</v>
      </c>
      <c r="V39" s="344">
        <v>10.210000000000001</v>
      </c>
      <c r="W39" s="344"/>
      <c r="X39" s="346">
        <v>3295.9390876749153</v>
      </c>
      <c r="Y39" s="347">
        <v>0.2</v>
      </c>
      <c r="Z39" s="339">
        <v>13133</v>
      </c>
      <c r="AA39" s="366" t="s">
        <v>15</v>
      </c>
      <c r="AB39" s="355" t="s">
        <v>16</v>
      </c>
      <c r="AC39" s="348">
        <v>234.01167522491897</v>
      </c>
      <c r="AD39" s="342">
        <v>243.89949248794375</v>
      </c>
      <c r="AE39" s="342">
        <v>263.67512701399323</v>
      </c>
      <c r="AF39" s="342">
        <v>283.45076154004272</v>
      </c>
      <c r="AG39" s="342">
        <v>296.63451789074236</v>
      </c>
      <c r="AH39" s="342">
        <v>290.04263971539257</v>
      </c>
      <c r="AI39" s="342">
        <v>286.74670062771764</v>
      </c>
      <c r="AJ39" s="342">
        <v>263.67512701399323</v>
      </c>
      <c r="AK39" s="342">
        <v>296.63451789074236</v>
      </c>
      <c r="AL39" s="342">
        <v>303.22639606609221</v>
      </c>
      <c r="AM39" s="342">
        <v>276.85888336469287</v>
      </c>
      <c r="AN39" s="342">
        <v>257.08324883864339</v>
      </c>
      <c r="AO39" s="343">
        <v>3295.9390876749148</v>
      </c>
      <c r="AP39" s="346">
        <v>0</v>
      </c>
      <c r="AQ39" s="346"/>
      <c r="AR39" s="339">
        <v>13133</v>
      </c>
      <c r="AS39" s="366" t="s">
        <v>15</v>
      </c>
      <c r="AT39" s="355" t="s">
        <v>16</v>
      </c>
      <c r="AU39" s="342">
        <v>1404.0700513495137</v>
      </c>
      <c r="AV39" s="342">
        <v>1463.3969549276624</v>
      </c>
      <c r="AW39" s="342">
        <v>1582.0507620839594</v>
      </c>
      <c r="AX39" s="342">
        <v>1700.7045692402562</v>
      </c>
      <c r="AY39" s="342">
        <v>1779.8071073444539</v>
      </c>
      <c r="AZ39" s="342">
        <v>1740.2558382923553</v>
      </c>
      <c r="BA39" s="342">
        <v>1720.4802037663057</v>
      </c>
      <c r="BB39" s="342">
        <v>1582.0507620839594</v>
      </c>
      <c r="BC39" s="342">
        <v>1779.8071073444539</v>
      </c>
      <c r="BD39" s="342">
        <v>1819.358376396553</v>
      </c>
      <c r="BE39" s="342">
        <v>1661.1533001881573</v>
      </c>
      <c r="BF39" s="342">
        <v>1542.4994930318603</v>
      </c>
      <c r="BG39" s="343">
        <v>19775.634526049493</v>
      </c>
      <c r="BH39" s="513">
        <f t="shared" si="3"/>
        <v>11673</v>
      </c>
      <c r="BI39" s="513">
        <f t="shared" si="4"/>
        <v>7088</v>
      </c>
    </row>
    <row r="40" spans="2:61" x14ac:dyDescent="0.25">
      <c r="B40" s="339">
        <v>13134</v>
      </c>
      <c r="C40" s="367"/>
      <c r="D40" s="355" t="s">
        <v>17</v>
      </c>
      <c r="E40" s="342">
        <f>IFERROR(VLOOKUP(B40,BDFD!$B:$BG,38,FALSE),0)</f>
        <v>266</v>
      </c>
      <c r="F40" s="342">
        <f>IFERROR(VLOOKUP(B40,BDFD!$B:$BG,41,FALSE),0)</f>
        <v>577</v>
      </c>
      <c r="G40" s="342">
        <f>IFERROR(VLOOKUP(B40,BDFD!$B:$BG,44,FALSE),0)</f>
        <v>1216</v>
      </c>
      <c r="H40" s="342">
        <f>IFERROR(VLOOKUP(B40,BDFD!$B:$BG,47,FALSE),0)</f>
        <v>1546</v>
      </c>
      <c r="I40" s="342">
        <f>IFERROR(VLOOKUP(B40,BDFD!$B:$BG,50,FALSE),0)</f>
        <v>-69</v>
      </c>
      <c r="J40" s="342">
        <f>IFERROR(VLOOKUP(B40,BDFD!$B:$BG,53,FALSE),0)</f>
        <v>137</v>
      </c>
      <c r="K40" s="342">
        <f>IFERROR(VLOOKUP(B40,BDFD!$B:$BG,56,FALSE),0)</f>
        <v>-1</v>
      </c>
      <c r="L40" s="342">
        <v>0</v>
      </c>
      <c r="M40" s="342">
        <v>1500</v>
      </c>
      <c r="N40" s="342">
        <v>1000</v>
      </c>
      <c r="O40" s="342">
        <v>1000</v>
      </c>
      <c r="P40" s="342">
        <v>850</v>
      </c>
      <c r="Q40" s="343">
        <f t="shared" si="0"/>
        <v>8022</v>
      </c>
      <c r="R40" s="344"/>
      <c r="S40" s="344">
        <v>13.350872093023257</v>
      </c>
      <c r="T40" s="344">
        <v>13.478011869436202</v>
      </c>
      <c r="U40" s="344">
        <v>13.041690000000001</v>
      </c>
      <c r="V40" s="344">
        <v>10.41</v>
      </c>
      <c r="W40" s="344"/>
      <c r="X40" s="346">
        <v>1216.3571901181529</v>
      </c>
      <c r="Y40" s="347">
        <v>0.2</v>
      </c>
      <c r="Z40" s="339">
        <v>13134</v>
      </c>
      <c r="AA40" s="367"/>
      <c r="AB40" s="355" t="s">
        <v>17</v>
      </c>
      <c r="AC40" s="348">
        <v>86.361360498388819</v>
      </c>
      <c r="AD40" s="342">
        <v>90.010432068743285</v>
      </c>
      <c r="AE40" s="342">
        <v>97.308575209452215</v>
      </c>
      <c r="AF40" s="342">
        <v>104.6067183501611</v>
      </c>
      <c r="AG40" s="342">
        <v>109.47214711063373</v>
      </c>
      <c r="AH40" s="342">
        <v>107.03943273039744</v>
      </c>
      <c r="AI40" s="342">
        <v>105.82307554027928</v>
      </c>
      <c r="AJ40" s="342">
        <v>97.308575209452215</v>
      </c>
      <c r="AK40" s="342">
        <v>109.47214711063373</v>
      </c>
      <c r="AL40" s="342">
        <v>111.90486149087003</v>
      </c>
      <c r="AM40" s="342">
        <v>102.17400396992483</v>
      </c>
      <c r="AN40" s="342">
        <v>94.87586082921591</v>
      </c>
      <c r="AO40" s="343">
        <v>1216.3571901181526</v>
      </c>
      <c r="AP40" s="346">
        <v>0</v>
      </c>
      <c r="AQ40" s="346"/>
      <c r="AR40" s="339">
        <v>13134</v>
      </c>
      <c r="AS40" s="367"/>
      <c r="AT40" s="355" t="s">
        <v>17</v>
      </c>
      <c r="AU40" s="342">
        <v>518.16816299033292</v>
      </c>
      <c r="AV40" s="342">
        <v>540.06259241245971</v>
      </c>
      <c r="AW40" s="342">
        <v>583.85145125671329</v>
      </c>
      <c r="AX40" s="342">
        <v>627.64031010096664</v>
      </c>
      <c r="AY40" s="342">
        <v>656.83288266380237</v>
      </c>
      <c r="AZ40" s="342">
        <v>642.2365963823845</v>
      </c>
      <c r="BA40" s="342">
        <v>634.93845324167569</v>
      </c>
      <c r="BB40" s="342">
        <v>583.85145125671329</v>
      </c>
      <c r="BC40" s="342">
        <v>656.83288266380237</v>
      </c>
      <c r="BD40" s="342">
        <v>671.42916894522023</v>
      </c>
      <c r="BE40" s="342">
        <v>613.0440238195489</v>
      </c>
      <c r="BF40" s="342">
        <v>569.25516497529543</v>
      </c>
      <c r="BG40" s="343">
        <v>7298.1431407089149</v>
      </c>
      <c r="BH40" s="513">
        <f t="shared" si="3"/>
        <v>3672</v>
      </c>
      <c r="BI40" s="513">
        <f t="shared" si="4"/>
        <v>4350</v>
      </c>
    </row>
    <row r="41" spans="2:61" x14ac:dyDescent="0.25">
      <c r="B41" s="339">
        <v>13082</v>
      </c>
      <c r="C41" s="366" t="s">
        <v>44</v>
      </c>
      <c r="D41" s="341" t="s">
        <v>45</v>
      </c>
      <c r="E41" s="342">
        <f>IFERROR(VLOOKUP(B41,BDFD!$B:$BG,38,FALSE),0)</f>
        <v>0</v>
      </c>
      <c r="F41" s="342">
        <f>IFERROR(VLOOKUP(B41,BDFD!$B:$BG,41,FALSE),0)</f>
        <v>132</v>
      </c>
      <c r="G41" s="342">
        <f>IFERROR(VLOOKUP(B41,BDFD!$B:$BG,44,FALSE),0)</f>
        <v>0</v>
      </c>
      <c r="H41" s="342">
        <f>IFERROR(VLOOKUP(B41,BDFD!$B:$BG,47,FALSE),0)</f>
        <v>0</v>
      </c>
      <c r="I41" s="342">
        <f>IFERROR(VLOOKUP(B41,BDFD!$B:$BG,50,FALSE),0)</f>
        <v>0</v>
      </c>
      <c r="J41" s="342">
        <f>IFERROR(VLOOKUP(B41,BDFD!$B:$BG,53,FALSE),0)</f>
        <v>0</v>
      </c>
      <c r="K41" s="342">
        <f>IFERROR(VLOOKUP(B41,BDFD!$B:$BG,56,FALSE),0)</f>
        <v>0</v>
      </c>
      <c r="L41" s="342">
        <v>0</v>
      </c>
      <c r="M41" s="342">
        <v>0</v>
      </c>
      <c r="N41" s="342">
        <v>0</v>
      </c>
      <c r="O41" s="342">
        <v>200</v>
      </c>
      <c r="P41" s="342">
        <v>200</v>
      </c>
      <c r="Q41" s="343">
        <f t="shared" si="0"/>
        <v>532</v>
      </c>
      <c r="R41" s="344"/>
      <c r="S41" s="344">
        <v>24.270000000000003</v>
      </c>
      <c r="T41" s="344">
        <v>27.690312109862671</v>
      </c>
      <c r="U41" s="344">
        <v>27.567800000000002</v>
      </c>
      <c r="V41" s="344">
        <v>1.77</v>
      </c>
      <c r="W41" s="344"/>
      <c r="X41" s="346">
        <v>250</v>
      </c>
      <c r="Y41" s="347">
        <v>0.1</v>
      </c>
      <c r="Z41" s="339">
        <v>13082</v>
      </c>
      <c r="AA41" s="366" t="s">
        <v>44</v>
      </c>
      <c r="AB41" s="341" t="s">
        <v>45</v>
      </c>
      <c r="AC41" s="348">
        <v>17.749999999999996</v>
      </c>
      <c r="AD41" s="342">
        <v>18.5</v>
      </c>
      <c r="AE41" s="342">
        <v>20</v>
      </c>
      <c r="AF41" s="342">
        <v>21.5</v>
      </c>
      <c r="AG41" s="342">
        <v>22.5</v>
      </c>
      <c r="AH41" s="342">
        <v>22</v>
      </c>
      <c r="AI41" s="342">
        <v>21.75</v>
      </c>
      <c r="AJ41" s="342">
        <v>20</v>
      </c>
      <c r="AK41" s="342">
        <v>22.5</v>
      </c>
      <c r="AL41" s="342">
        <v>23</v>
      </c>
      <c r="AM41" s="342">
        <v>21</v>
      </c>
      <c r="AN41" s="342">
        <v>19.5</v>
      </c>
      <c r="AO41" s="343">
        <v>250</v>
      </c>
      <c r="AP41" s="346">
        <v>0</v>
      </c>
      <c r="AQ41" s="346"/>
      <c r="AR41" s="339">
        <v>13082</v>
      </c>
      <c r="AS41" s="366" t="s">
        <v>44</v>
      </c>
      <c r="AT41" s="341" t="s">
        <v>45</v>
      </c>
      <c r="AU41" s="342">
        <v>195.24999999999997</v>
      </c>
      <c r="AV41" s="342">
        <v>203.5</v>
      </c>
      <c r="AW41" s="342">
        <v>220</v>
      </c>
      <c r="AX41" s="342">
        <v>236.49999999999997</v>
      </c>
      <c r="AY41" s="342">
        <v>247.5</v>
      </c>
      <c r="AZ41" s="342">
        <v>242</v>
      </c>
      <c r="BA41" s="342">
        <v>239.24999999999997</v>
      </c>
      <c r="BB41" s="342">
        <v>220</v>
      </c>
      <c r="BC41" s="342">
        <v>247.5</v>
      </c>
      <c r="BD41" s="342">
        <v>253</v>
      </c>
      <c r="BE41" s="342">
        <v>231</v>
      </c>
      <c r="BF41" s="342">
        <v>214.5</v>
      </c>
      <c r="BG41" s="343">
        <v>2750</v>
      </c>
      <c r="BH41" s="513">
        <f t="shared" si="3"/>
        <v>132</v>
      </c>
      <c r="BI41" s="513">
        <f t="shared" si="4"/>
        <v>400</v>
      </c>
    </row>
    <row r="42" spans="2:61" x14ac:dyDescent="0.25">
      <c r="B42" s="339">
        <v>13083</v>
      </c>
      <c r="C42" s="368"/>
      <c r="D42" s="341" t="s">
        <v>46</v>
      </c>
      <c r="E42" s="342">
        <f>IFERROR(VLOOKUP(B42,BDFD!$B:$BG,38,FALSE),0)</f>
        <v>0</v>
      </c>
      <c r="F42" s="342">
        <f>IFERROR(VLOOKUP(B42,BDFD!$B:$BG,41,FALSE),0)</f>
        <v>0</v>
      </c>
      <c r="G42" s="342">
        <f>IFERROR(VLOOKUP(B42,BDFD!$B:$BG,44,FALSE),0)</f>
        <v>0</v>
      </c>
      <c r="H42" s="342">
        <f>IFERROR(VLOOKUP(B42,BDFD!$B:$BG,47,FALSE),0)</f>
        <v>0</v>
      </c>
      <c r="I42" s="342">
        <f>IFERROR(VLOOKUP(B42,BDFD!$B:$BG,50,FALSE),0)</f>
        <v>0</v>
      </c>
      <c r="J42" s="342">
        <f>IFERROR(VLOOKUP(B42,BDFD!$B:$BG,53,FALSE),0)</f>
        <v>0</v>
      </c>
      <c r="K42" s="342">
        <f>IFERROR(VLOOKUP(B42,BDFD!$B:$BG,56,FALSE),0)</f>
        <v>0</v>
      </c>
      <c r="L42" s="342">
        <v>0</v>
      </c>
      <c r="M42" s="342">
        <v>0</v>
      </c>
      <c r="N42" s="342">
        <v>0</v>
      </c>
      <c r="O42" s="342">
        <v>0</v>
      </c>
      <c r="P42" s="342">
        <v>0</v>
      </c>
      <c r="Q42" s="343">
        <f t="shared" si="0"/>
        <v>0</v>
      </c>
      <c r="R42" s="344"/>
      <c r="S42" s="344">
        <v>41.047499999999999</v>
      </c>
      <c r="T42" s="344">
        <v>41.047499999999999</v>
      </c>
      <c r="U42" s="344">
        <v>41.047499999999999</v>
      </c>
      <c r="V42" s="344">
        <v>33.340000000000003</v>
      </c>
      <c r="W42" s="344"/>
      <c r="X42" s="346">
        <v>0</v>
      </c>
      <c r="Y42" s="347">
        <v>0</v>
      </c>
      <c r="Z42" s="339">
        <v>13083</v>
      </c>
      <c r="AA42" s="368"/>
      <c r="AB42" s="341" t="s">
        <v>46</v>
      </c>
      <c r="AC42" s="342">
        <v>0</v>
      </c>
      <c r="AD42" s="342">
        <v>0</v>
      </c>
      <c r="AE42" s="342">
        <v>0</v>
      </c>
      <c r="AF42" s="342">
        <v>0</v>
      </c>
      <c r="AG42" s="342">
        <v>0</v>
      </c>
      <c r="AH42" s="342">
        <v>0</v>
      </c>
      <c r="AI42" s="342">
        <v>0</v>
      </c>
      <c r="AJ42" s="342">
        <v>0</v>
      </c>
      <c r="AK42" s="342">
        <v>0</v>
      </c>
      <c r="AL42" s="342">
        <v>0</v>
      </c>
      <c r="AM42" s="342">
        <v>0</v>
      </c>
      <c r="AN42" s="342">
        <v>0</v>
      </c>
      <c r="AO42" s="343">
        <v>0</v>
      </c>
      <c r="AP42" s="346">
        <v>0</v>
      </c>
      <c r="AQ42" s="346"/>
      <c r="AR42" s="339">
        <v>13083</v>
      </c>
      <c r="AS42" s="368"/>
      <c r="AT42" s="341" t="s">
        <v>46</v>
      </c>
      <c r="AU42" s="342">
        <v>0</v>
      </c>
      <c r="AV42" s="342">
        <v>0</v>
      </c>
      <c r="AW42" s="342">
        <v>0</v>
      </c>
      <c r="AX42" s="342">
        <v>0</v>
      </c>
      <c r="AY42" s="342">
        <v>0</v>
      </c>
      <c r="AZ42" s="342">
        <v>0</v>
      </c>
      <c r="BA42" s="342">
        <v>0</v>
      </c>
      <c r="BB42" s="342">
        <v>0</v>
      </c>
      <c r="BC42" s="342">
        <v>0</v>
      </c>
      <c r="BD42" s="342">
        <v>0</v>
      </c>
      <c r="BE42" s="342">
        <v>0</v>
      </c>
      <c r="BF42" s="342">
        <v>0</v>
      </c>
      <c r="BG42" s="343">
        <v>0</v>
      </c>
      <c r="BH42" s="513">
        <f t="shared" si="3"/>
        <v>0</v>
      </c>
      <c r="BI42" s="513">
        <f t="shared" si="4"/>
        <v>0</v>
      </c>
    </row>
    <row r="43" spans="2:61" x14ac:dyDescent="0.25">
      <c r="B43" s="339">
        <v>13040</v>
      </c>
      <c r="C43" s="369" t="s">
        <v>47</v>
      </c>
      <c r="D43" s="341" t="s">
        <v>48</v>
      </c>
      <c r="E43" s="342">
        <f>IFERROR(VLOOKUP(B43,BDFD!$B:$BG,38,FALSE),0)</f>
        <v>0</v>
      </c>
      <c r="F43" s="342">
        <f>IFERROR(VLOOKUP(B43,BDFD!$B:$BG,41,FALSE),0)</f>
        <v>-5</v>
      </c>
      <c r="G43" s="342">
        <f>IFERROR(VLOOKUP(B43,BDFD!$B:$BG,44,FALSE),0)</f>
        <v>-488</v>
      </c>
      <c r="H43" s="342">
        <f>IFERROR(VLOOKUP(B43,BDFD!$B:$BG,47,FALSE),0)</f>
        <v>-428</v>
      </c>
      <c r="I43" s="342">
        <f>IFERROR(VLOOKUP(B43,BDFD!$B:$BG,50,FALSE),0)</f>
        <v>-372</v>
      </c>
      <c r="J43" s="342">
        <f>IFERROR(VLOOKUP(B43,BDFD!$B:$BG,53,FALSE),0)</f>
        <v>-10</v>
      </c>
      <c r="K43" s="342">
        <f>IFERROR(VLOOKUP(B43,BDFD!$B:$BG,56,FALSE),0)</f>
        <v>-10</v>
      </c>
      <c r="L43" s="342">
        <v>0</v>
      </c>
      <c r="M43" s="342">
        <v>0</v>
      </c>
      <c r="N43" s="342">
        <v>0</v>
      </c>
      <c r="O43" s="342">
        <v>0</v>
      </c>
      <c r="P43" s="342">
        <v>0</v>
      </c>
      <c r="Q43" s="343">
        <f t="shared" si="0"/>
        <v>-1313</v>
      </c>
      <c r="R43" s="344"/>
      <c r="S43" s="344">
        <v>6.8202000000000007</v>
      </c>
      <c r="T43" s="344">
        <v>6.8202000000000007</v>
      </c>
      <c r="U43" s="344">
        <v>6.8707440000000011</v>
      </c>
      <c r="V43" s="344">
        <v>4.74</v>
      </c>
      <c r="W43" s="344"/>
      <c r="X43" s="346">
        <v>0</v>
      </c>
      <c r="Y43" s="347">
        <v>0.2</v>
      </c>
      <c r="Z43" s="339">
        <v>13040</v>
      </c>
      <c r="AA43" s="369" t="s">
        <v>47</v>
      </c>
      <c r="AB43" s="341" t="s">
        <v>48</v>
      </c>
      <c r="AC43" s="342">
        <v>0</v>
      </c>
      <c r="AD43" s="342">
        <v>0</v>
      </c>
      <c r="AE43" s="342">
        <v>0</v>
      </c>
      <c r="AF43" s="342">
        <v>0</v>
      </c>
      <c r="AG43" s="342">
        <v>0</v>
      </c>
      <c r="AH43" s="342">
        <v>0</v>
      </c>
      <c r="AI43" s="342">
        <v>0</v>
      </c>
      <c r="AJ43" s="342">
        <v>0</v>
      </c>
      <c r="AK43" s="342">
        <v>0</v>
      </c>
      <c r="AL43" s="342">
        <v>0</v>
      </c>
      <c r="AM43" s="342">
        <v>0</v>
      </c>
      <c r="AN43" s="342">
        <v>0</v>
      </c>
      <c r="AO43" s="343">
        <v>0</v>
      </c>
      <c r="AP43" s="346">
        <v>0</v>
      </c>
      <c r="AQ43" s="346"/>
      <c r="AR43" s="339">
        <v>13040</v>
      </c>
      <c r="AS43" s="369" t="s">
        <v>47</v>
      </c>
      <c r="AT43" s="341" t="s">
        <v>48</v>
      </c>
      <c r="AU43" s="342">
        <v>0</v>
      </c>
      <c r="AV43" s="342">
        <v>0</v>
      </c>
      <c r="AW43" s="342">
        <v>0</v>
      </c>
      <c r="AX43" s="342">
        <v>0</v>
      </c>
      <c r="AY43" s="342">
        <v>0</v>
      </c>
      <c r="AZ43" s="342">
        <v>0</v>
      </c>
      <c r="BA43" s="342">
        <v>0</v>
      </c>
      <c r="BB43" s="342">
        <v>0</v>
      </c>
      <c r="BC43" s="342">
        <v>0</v>
      </c>
      <c r="BD43" s="342">
        <v>0</v>
      </c>
      <c r="BE43" s="342">
        <v>0</v>
      </c>
      <c r="BF43" s="342">
        <v>0</v>
      </c>
      <c r="BG43" s="343">
        <v>0</v>
      </c>
      <c r="BH43" s="513">
        <f t="shared" si="3"/>
        <v>-1313</v>
      </c>
      <c r="BI43" s="513">
        <f t="shared" si="4"/>
        <v>0</v>
      </c>
    </row>
    <row r="44" spans="2:61" x14ac:dyDescent="0.25">
      <c r="B44" s="339">
        <v>13066</v>
      </c>
      <c r="C44" s="370"/>
      <c r="D44" s="341" t="s">
        <v>148</v>
      </c>
      <c r="E44" s="342">
        <f>IFERROR(VLOOKUP(B44,BDFD!$B:$BG,38,FALSE),0)</f>
        <v>2627</v>
      </c>
      <c r="F44" s="342">
        <f>IFERROR(VLOOKUP(B44,BDFD!$B:$BG,41,FALSE),0)</f>
        <v>4484</v>
      </c>
      <c r="G44" s="342">
        <f>IFERROR(VLOOKUP(B44,BDFD!$B:$BG,44,FALSE),0)</f>
        <v>2974</v>
      </c>
      <c r="H44" s="342">
        <f>IFERROR(VLOOKUP(B44,BDFD!$B:$BG,47,FALSE),0)</f>
        <v>3626</v>
      </c>
      <c r="I44" s="342">
        <f>IFERROR(VLOOKUP(B44,BDFD!$B:$BG,50,FALSE),0)</f>
        <v>1610</v>
      </c>
      <c r="J44" s="342">
        <f>IFERROR(VLOOKUP(B44,BDFD!$B:$BG,53,FALSE),0)</f>
        <v>6605</v>
      </c>
      <c r="K44" s="342">
        <f>IFERROR(VLOOKUP(B44,BDFD!$B:$BG,56,FALSE),0)</f>
        <v>4689</v>
      </c>
      <c r="L44" s="342">
        <v>2500</v>
      </c>
      <c r="M44" s="342">
        <v>3000</v>
      </c>
      <c r="N44" s="342">
        <v>3200</v>
      </c>
      <c r="O44" s="342">
        <v>3500</v>
      </c>
      <c r="P44" s="342">
        <v>2600</v>
      </c>
      <c r="Q44" s="343">
        <f t="shared" si="0"/>
        <v>41415</v>
      </c>
      <c r="R44" s="344"/>
      <c r="S44" s="344">
        <v>6.5909419269323166</v>
      </c>
      <c r="T44" s="344">
        <v>6.8526118282797954</v>
      </c>
      <c r="U44" s="344">
        <v>6.722302</v>
      </c>
      <c r="V44" s="344">
        <v>4.74</v>
      </c>
      <c r="W44" s="344"/>
      <c r="X44" s="346">
        <v>4960.9279171169574</v>
      </c>
      <c r="Y44" s="347">
        <v>0.15</v>
      </c>
      <c r="Z44" s="339">
        <v>13066</v>
      </c>
      <c r="AA44" s="370"/>
      <c r="AB44" s="341" t="s">
        <v>148</v>
      </c>
      <c r="AC44" s="348">
        <v>352.22588211530388</v>
      </c>
      <c r="AD44" s="342">
        <v>367.1086658666548</v>
      </c>
      <c r="AE44" s="342">
        <v>396.87423336935655</v>
      </c>
      <c r="AF44" s="342">
        <v>426.63980087205829</v>
      </c>
      <c r="AG44" s="342">
        <v>446.48351254052614</v>
      </c>
      <c r="AH44" s="342">
        <v>436.56165670629218</v>
      </c>
      <c r="AI44" s="342">
        <v>431.60072878917521</v>
      </c>
      <c r="AJ44" s="342">
        <v>396.87423336935655</v>
      </c>
      <c r="AK44" s="342">
        <v>446.48351254052614</v>
      </c>
      <c r="AL44" s="342">
        <v>456.40536837476003</v>
      </c>
      <c r="AM44" s="342">
        <v>416.71794503782439</v>
      </c>
      <c r="AN44" s="342">
        <v>386.95237753512259</v>
      </c>
      <c r="AO44" s="343">
        <v>4960.9279171169565</v>
      </c>
      <c r="AP44" s="346">
        <v>0</v>
      </c>
      <c r="AQ44" s="346"/>
      <c r="AR44" s="339">
        <v>13066</v>
      </c>
      <c r="AS44" s="370"/>
      <c r="AT44" s="341" t="s">
        <v>148</v>
      </c>
      <c r="AU44" s="342">
        <v>2700.3984295506634</v>
      </c>
      <c r="AV44" s="342">
        <v>2814.4997716443536</v>
      </c>
      <c r="AW44" s="342">
        <v>3042.7024558317339</v>
      </c>
      <c r="AX44" s="342">
        <v>3270.9051400191138</v>
      </c>
      <c r="AY44" s="342">
        <v>3423.0402628107004</v>
      </c>
      <c r="AZ44" s="342">
        <v>3346.9727014149066</v>
      </c>
      <c r="BA44" s="342">
        <v>3308.9389207170102</v>
      </c>
      <c r="BB44" s="342">
        <v>3042.7024558317339</v>
      </c>
      <c r="BC44" s="342">
        <v>3423.0402628107004</v>
      </c>
      <c r="BD44" s="342">
        <v>3499.1078242064937</v>
      </c>
      <c r="BE44" s="342">
        <v>3194.8375786233205</v>
      </c>
      <c r="BF44" s="342">
        <v>2966.6348944359402</v>
      </c>
      <c r="BG44" s="343">
        <v>38033.780697896676</v>
      </c>
      <c r="BH44" s="513">
        <f t="shared" si="3"/>
        <v>26615</v>
      </c>
      <c r="BI44" s="513">
        <f t="shared" si="4"/>
        <v>14800</v>
      </c>
    </row>
    <row r="45" spans="2:61" x14ac:dyDescent="0.25">
      <c r="B45" s="339">
        <v>13011</v>
      </c>
      <c r="C45" s="371"/>
      <c r="D45" s="341" t="s">
        <v>49</v>
      </c>
      <c r="E45" s="342">
        <f>IFERROR(VLOOKUP(B45,BDFD!$B:$BG,38,FALSE),0)</f>
        <v>-268</v>
      </c>
      <c r="F45" s="342">
        <f>IFERROR(VLOOKUP(B45,BDFD!$B:$BG,41,FALSE),0)</f>
        <v>-139</v>
      </c>
      <c r="G45" s="342">
        <f>IFERROR(VLOOKUP(B45,BDFD!$B:$BG,44,FALSE),0)</f>
        <v>-1</v>
      </c>
      <c r="H45" s="342">
        <f>IFERROR(VLOOKUP(B45,BDFD!$B:$BG,47,FALSE),0)</f>
        <v>-70</v>
      </c>
      <c r="I45" s="342">
        <f>IFERROR(VLOOKUP(B45,BDFD!$B:$BG,50,FALSE),0)</f>
        <v>0</v>
      </c>
      <c r="J45" s="342">
        <f>IFERROR(VLOOKUP(B45,BDFD!$B:$BG,53,FALSE),0)</f>
        <v>0</v>
      </c>
      <c r="K45" s="342">
        <f>IFERROR(VLOOKUP(B45,BDFD!$B:$BG,56,FALSE),0)</f>
        <v>0</v>
      </c>
      <c r="L45" s="342">
        <v>0</v>
      </c>
      <c r="M45" s="342">
        <v>0</v>
      </c>
      <c r="N45" s="342">
        <v>0</v>
      </c>
      <c r="O45" s="342">
        <v>0</v>
      </c>
      <c r="P45" s="342">
        <v>0</v>
      </c>
      <c r="Q45" s="343">
        <f t="shared" si="0"/>
        <v>-478</v>
      </c>
      <c r="R45" s="344"/>
      <c r="S45" s="344">
        <v>0.98516877637130806</v>
      </c>
      <c r="T45" s="344">
        <v>1.91</v>
      </c>
      <c r="U45" s="344">
        <v>1.7600980000000004</v>
      </c>
      <c r="V45" s="344">
        <v>1.27</v>
      </c>
      <c r="W45" s="344"/>
      <c r="X45" s="346">
        <v>0</v>
      </c>
      <c r="Y45" s="347">
        <v>0.2</v>
      </c>
      <c r="Z45" s="339">
        <v>13011</v>
      </c>
      <c r="AA45" s="371"/>
      <c r="AB45" s="341" t="s">
        <v>49</v>
      </c>
      <c r="AC45" s="342">
        <v>0</v>
      </c>
      <c r="AD45" s="342">
        <v>0</v>
      </c>
      <c r="AE45" s="342">
        <v>0</v>
      </c>
      <c r="AF45" s="342">
        <v>0</v>
      </c>
      <c r="AG45" s="342">
        <v>0</v>
      </c>
      <c r="AH45" s="342">
        <v>0</v>
      </c>
      <c r="AI45" s="342">
        <v>0</v>
      </c>
      <c r="AJ45" s="342">
        <v>0</v>
      </c>
      <c r="AK45" s="342">
        <v>0</v>
      </c>
      <c r="AL45" s="342">
        <v>0</v>
      </c>
      <c r="AM45" s="342">
        <v>0</v>
      </c>
      <c r="AN45" s="342">
        <v>0</v>
      </c>
      <c r="AO45" s="343">
        <v>0</v>
      </c>
      <c r="AP45" s="346">
        <v>0</v>
      </c>
      <c r="AQ45" s="346"/>
      <c r="AR45" s="339">
        <v>13011</v>
      </c>
      <c r="AS45" s="371"/>
      <c r="AT45" s="341" t="s">
        <v>49</v>
      </c>
      <c r="AU45" s="342">
        <v>0</v>
      </c>
      <c r="AV45" s="342">
        <v>0</v>
      </c>
      <c r="AW45" s="342">
        <v>0</v>
      </c>
      <c r="AX45" s="342">
        <v>0</v>
      </c>
      <c r="AY45" s="342">
        <v>0</v>
      </c>
      <c r="AZ45" s="342">
        <v>0</v>
      </c>
      <c r="BA45" s="342">
        <v>0</v>
      </c>
      <c r="BB45" s="342">
        <v>0</v>
      </c>
      <c r="BC45" s="342">
        <v>0</v>
      </c>
      <c r="BD45" s="342">
        <v>0</v>
      </c>
      <c r="BE45" s="342">
        <v>0</v>
      </c>
      <c r="BF45" s="342">
        <v>0</v>
      </c>
      <c r="BG45" s="343">
        <v>0</v>
      </c>
      <c r="BH45" s="513">
        <f t="shared" si="3"/>
        <v>-478</v>
      </c>
      <c r="BI45" s="513">
        <f t="shared" si="4"/>
        <v>0</v>
      </c>
    </row>
    <row r="46" spans="2:61" x14ac:dyDescent="0.25">
      <c r="B46" s="339">
        <v>13139</v>
      </c>
      <c r="C46" s="372" t="s">
        <v>60</v>
      </c>
      <c r="D46" s="341" t="s">
        <v>61</v>
      </c>
      <c r="E46" s="342">
        <f>IFERROR(VLOOKUP(B46,BDFD!$B:$BG,38,FALSE),0)</f>
        <v>1257</v>
      </c>
      <c r="F46" s="342">
        <f>IFERROR(VLOOKUP(B46,BDFD!$B:$BG,41,FALSE),0)</f>
        <v>1330</v>
      </c>
      <c r="G46" s="342">
        <f>IFERROR(VLOOKUP(B46,BDFD!$B:$BG,44,FALSE),0)</f>
        <v>1594</v>
      </c>
      <c r="H46" s="342">
        <f>IFERROR(VLOOKUP(B46,BDFD!$B:$BG,47,FALSE),0)</f>
        <v>1706</v>
      </c>
      <c r="I46" s="342">
        <f>IFERROR(VLOOKUP(B46,BDFD!$B:$BG,50,FALSE),0)</f>
        <v>968</v>
      </c>
      <c r="J46" s="342">
        <f>IFERROR(VLOOKUP(B46,BDFD!$B:$BG,53,FALSE),0)</f>
        <v>1512</v>
      </c>
      <c r="K46" s="342">
        <f>IFERROR(VLOOKUP(B46,BDFD!$B:$BG,56,FALSE),0)</f>
        <v>1408</v>
      </c>
      <c r="L46" s="342">
        <v>1200</v>
      </c>
      <c r="M46" s="342">
        <v>1100</v>
      </c>
      <c r="N46" s="342">
        <v>1400</v>
      </c>
      <c r="O46" s="342">
        <v>1300</v>
      </c>
      <c r="P46" s="342">
        <v>1000</v>
      </c>
      <c r="Q46" s="343">
        <f t="shared" si="0"/>
        <v>15775</v>
      </c>
      <c r="R46" s="344"/>
      <c r="S46" s="344">
        <v>16.2</v>
      </c>
      <c r="T46" s="344">
        <v>19.764362573099415</v>
      </c>
      <c r="U46" s="344">
        <v>16.201384000000004</v>
      </c>
      <c r="V46" s="344">
        <v>7.0125000000000002</v>
      </c>
      <c r="W46" s="344"/>
      <c r="X46" s="346">
        <v>1908.5120278641623</v>
      </c>
      <c r="Y46" s="347">
        <v>0.1</v>
      </c>
      <c r="Z46" s="339">
        <v>13139</v>
      </c>
      <c r="AA46" s="372" t="s">
        <v>60</v>
      </c>
      <c r="AB46" s="341" t="s">
        <v>61</v>
      </c>
      <c r="AC46" s="348">
        <v>135.50435397835551</v>
      </c>
      <c r="AD46" s="342">
        <v>141.229890061948</v>
      </c>
      <c r="AE46" s="342">
        <v>152.68096222913297</v>
      </c>
      <c r="AF46" s="342">
        <v>164.13203439631795</v>
      </c>
      <c r="AG46" s="342">
        <v>171.7660825077746</v>
      </c>
      <c r="AH46" s="342">
        <v>167.94905845204627</v>
      </c>
      <c r="AI46" s="342">
        <v>166.04054642418211</v>
      </c>
      <c r="AJ46" s="342">
        <v>152.68096222913297</v>
      </c>
      <c r="AK46" s="342">
        <v>171.7660825077746</v>
      </c>
      <c r="AL46" s="342">
        <v>175.58310656350292</v>
      </c>
      <c r="AM46" s="342">
        <v>160.31501034058965</v>
      </c>
      <c r="AN46" s="342">
        <v>148.86393817340465</v>
      </c>
      <c r="AO46" s="343">
        <v>1908.5120278641623</v>
      </c>
      <c r="AP46" s="346">
        <v>0</v>
      </c>
      <c r="AQ46" s="346"/>
      <c r="AR46" s="339">
        <v>13139</v>
      </c>
      <c r="AS46" s="372" t="s">
        <v>60</v>
      </c>
      <c r="AT46" s="341" t="s">
        <v>61</v>
      </c>
      <c r="AU46" s="342">
        <v>1490.5478937619105</v>
      </c>
      <c r="AV46" s="342">
        <v>1553.5287906814281</v>
      </c>
      <c r="AW46" s="342">
        <v>1679.4905845204628</v>
      </c>
      <c r="AX46" s="342">
        <v>1805.4523783594973</v>
      </c>
      <c r="AY46" s="342">
        <v>1889.4269075855204</v>
      </c>
      <c r="AZ46" s="342">
        <v>1847.4396429725089</v>
      </c>
      <c r="BA46" s="342">
        <v>1826.4460106660031</v>
      </c>
      <c r="BB46" s="342">
        <v>1679.4905845204628</v>
      </c>
      <c r="BC46" s="342">
        <v>1889.4269075855204</v>
      </c>
      <c r="BD46" s="342">
        <v>1931.414172198532</v>
      </c>
      <c r="BE46" s="342">
        <v>1763.4651137464859</v>
      </c>
      <c r="BF46" s="342">
        <v>1637.5033199074512</v>
      </c>
      <c r="BG46" s="343">
        <v>20993.632306505784</v>
      </c>
      <c r="BH46" s="513">
        <f t="shared" si="3"/>
        <v>9775</v>
      </c>
      <c r="BI46" s="513">
        <f t="shared" si="4"/>
        <v>6000</v>
      </c>
    </row>
    <row r="47" spans="2:61" x14ac:dyDescent="0.25">
      <c r="B47" s="339">
        <v>13006</v>
      </c>
      <c r="C47" s="340" t="s">
        <v>50</v>
      </c>
      <c r="D47" s="341" t="s">
        <v>51</v>
      </c>
      <c r="E47" s="342">
        <f>IFERROR(VLOOKUP(B47,BDFD!$B:$BG,38,FALSE),0)</f>
        <v>-10</v>
      </c>
      <c r="F47" s="342">
        <f>IFERROR(VLOOKUP(B47,BDFD!$B:$BG,41,FALSE),0)</f>
        <v>-1</v>
      </c>
      <c r="G47" s="342">
        <f>IFERROR(VLOOKUP(B47,BDFD!$B:$BG,44,FALSE),0)</f>
        <v>0</v>
      </c>
      <c r="H47" s="342">
        <f>IFERROR(VLOOKUP(B47,BDFD!$B:$BG,47,FALSE),0)</f>
        <v>0</v>
      </c>
      <c r="I47" s="342">
        <f>IFERROR(VLOOKUP(B47,BDFD!$B:$BG,50,FALSE),0)</f>
        <v>0</v>
      </c>
      <c r="J47" s="342">
        <f>IFERROR(VLOOKUP(B47,BDFD!$B:$BG,53,FALSE),0)</f>
        <v>0</v>
      </c>
      <c r="K47" s="342">
        <f>IFERROR(VLOOKUP(B47,BDFD!$B:$BG,56,FALSE),0)</f>
        <v>-7</v>
      </c>
      <c r="L47" s="342">
        <v>0</v>
      </c>
      <c r="M47" s="342">
        <v>0</v>
      </c>
      <c r="N47" s="342">
        <v>0</v>
      </c>
      <c r="O47" s="342">
        <v>0</v>
      </c>
      <c r="P47" s="342">
        <v>0</v>
      </c>
      <c r="Q47" s="343">
        <f t="shared" si="0"/>
        <v>-18</v>
      </c>
      <c r="R47" s="344"/>
      <c r="S47" s="344">
        <v>1.0525</v>
      </c>
      <c r="T47" s="344">
        <v>1.0525</v>
      </c>
      <c r="U47" s="344">
        <v>1.0603</v>
      </c>
      <c r="V47" s="344">
        <v>1.65</v>
      </c>
      <c r="W47" s="344"/>
      <c r="X47" s="346">
        <v>9.2825283547790613E-2</v>
      </c>
      <c r="Y47" s="347">
        <v>0.2</v>
      </c>
      <c r="Z47" s="339">
        <v>13006</v>
      </c>
      <c r="AA47" s="340" t="s">
        <v>50</v>
      </c>
      <c r="AB47" s="341" t="s">
        <v>51</v>
      </c>
      <c r="AC47" s="342">
        <v>6.590595131893133E-3</v>
      </c>
      <c r="AD47" s="342">
        <v>6.869070982536505E-3</v>
      </c>
      <c r="AE47" s="342">
        <v>7.4260226838232489E-3</v>
      </c>
      <c r="AF47" s="342">
        <v>7.9829743851099911E-3</v>
      </c>
      <c r="AG47" s="342">
        <v>8.3542755193011554E-3</v>
      </c>
      <c r="AH47" s="342">
        <v>8.1686249522055724E-3</v>
      </c>
      <c r="AI47" s="342">
        <v>8.0757996686577817E-3</v>
      </c>
      <c r="AJ47" s="342">
        <v>7.4260226838232489E-3</v>
      </c>
      <c r="AK47" s="342">
        <v>8.3542755193011554E-3</v>
      </c>
      <c r="AL47" s="342">
        <v>8.5399260863967368E-3</v>
      </c>
      <c r="AM47" s="342">
        <v>7.7973238180144115E-3</v>
      </c>
      <c r="AN47" s="342">
        <v>7.2403721167276676E-3</v>
      </c>
      <c r="AO47" s="343">
        <v>9.2825283547790613E-2</v>
      </c>
      <c r="AP47" s="346">
        <v>0</v>
      </c>
      <c r="AQ47" s="346"/>
      <c r="AR47" s="339">
        <v>13006</v>
      </c>
      <c r="AS47" s="340" t="s">
        <v>50</v>
      </c>
      <c r="AT47" s="341" t="s">
        <v>51</v>
      </c>
      <c r="AU47" s="342">
        <v>3.9543570791358798E-2</v>
      </c>
      <c r="AV47" s="342">
        <v>4.1214425895219023E-2</v>
      </c>
      <c r="AW47" s="342">
        <v>4.4556136102939486E-2</v>
      </c>
      <c r="AX47" s="342">
        <v>4.7897846310659943E-2</v>
      </c>
      <c r="AY47" s="342">
        <v>5.0125653115806926E-2</v>
      </c>
      <c r="AZ47" s="342">
        <v>4.9011749713233431E-2</v>
      </c>
      <c r="BA47" s="342">
        <v>4.8454798011946694E-2</v>
      </c>
      <c r="BB47" s="342">
        <v>4.4556136102939486E-2</v>
      </c>
      <c r="BC47" s="342">
        <v>5.0125653115806926E-2</v>
      </c>
      <c r="BD47" s="342">
        <v>5.1239556518380414E-2</v>
      </c>
      <c r="BE47" s="342">
        <v>4.6783942908086462E-2</v>
      </c>
      <c r="BF47" s="342">
        <v>4.3442232700365999E-2</v>
      </c>
      <c r="BG47" s="343">
        <v>0.55695170128674354</v>
      </c>
      <c r="BH47" s="513">
        <f t="shared" si="3"/>
        <v>-18</v>
      </c>
      <c r="BI47" s="513">
        <f t="shared" si="4"/>
        <v>0</v>
      </c>
    </row>
    <row r="48" spans="2:61" x14ac:dyDescent="0.25">
      <c r="B48" s="339">
        <v>13005</v>
      </c>
      <c r="C48" s="349"/>
      <c r="D48" s="341" t="s">
        <v>53</v>
      </c>
      <c r="E48" s="342">
        <f>IFERROR(VLOOKUP(B48,BDFD!$B:$BG,38,FALSE),0)</f>
        <v>6</v>
      </c>
      <c r="F48" s="342">
        <f>IFERROR(VLOOKUP(B48,BDFD!$B:$BG,41,FALSE),0)</f>
        <v>-1</v>
      </c>
      <c r="G48" s="342">
        <f>IFERROR(VLOOKUP(B48,BDFD!$B:$BG,44,FALSE),0)</f>
        <v>-1</v>
      </c>
      <c r="H48" s="342">
        <f>IFERROR(VLOOKUP(B48,BDFD!$B:$BG,47,FALSE),0)</f>
        <v>0</v>
      </c>
      <c r="I48" s="342">
        <f>IFERROR(VLOOKUP(B48,BDFD!$B:$BG,50,FALSE),0)</f>
        <v>0</v>
      </c>
      <c r="J48" s="342">
        <f>IFERROR(VLOOKUP(B48,BDFD!$B:$BG,53,FALSE),0)</f>
        <v>-1</v>
      </c>
      <c r="K48" s="342">
        <f>IFERROR(VLOOKUP(B48,BDFD!$B:$BG,56,FALSE),0)</f>
        <v>-1</v>
      </c>
      <c r="L48" s="342">
        <v>0</v>
      </c>
      <c r="M48" s="342">
        <v>0</v>
      </c>
      <c r="N48" s="342">
        <v>0</v>
      </c>
      <c r="O48" s="342">
        <v>0</v>
      </c>
      <c r="P48" s="342">
        <v>0</v>
      </c>
      <c r="Q48" s="343">
        <f t="shared" si="0"/>
        <v>2</v>
      </c>
      <c r="R48" s="344"/>
      <c r="S48" s="344">
        <v>1.0525</v>
      </c>
      <c r="T48" s="344">
        <v>1.0525</v>
      </c>
      <c r="U48" s="344">
        <v>1.0603</v>
      </c>
      <c r="V48" s="344">
        <v>3.35</v>
      </c>
      <c r="W48" s="344"/>
      <c r="X48" s="346">
        <v>-5.1372606953736993E-2</v>
      </c>
      <c r="Y48" s="347">
        <v>0.2</v>
      </c>
      <c r="Z48" s="339">
        <v>13005</v>
      </c>
      <c r="AA48" s="349"/>
      <c r="AB48" s="341" t="s">
        <v>53</v>
      </c>
      <c r="AC48" s="342">
        <v>-3.6474550937153254E-3</v>
      </c>
      <c r="AD48" s="342">
        <v>-3.8015729145765365E-3</v>
      </c>
      <c r="AE48" s="342">
        <v>-4.1098085562989587E-3</v>
      </c>
      <c r="AF48" s="342">
        <v>-4.41804419802138E-3</v>
      </c>
      <c r="AG48" s="342">
        <v>-4.6235346258363284E-3</v>
      </c>
      <c r="AH48" s="342">
        <v>-4.5207894119288538E-3</v>
      </c>
      <c r="AI48" s="342">
        <v>-4.4694168049751173E-3</v>
      </c>
      <c r="AJ48" s="342">
        <v>-4.1098085562989587E-3</v>
      </c>
      <c r="AK48" s="342">
        <v>-4.6235346258363284E-3</v>
      </c>
      <c r="AL48" s="342">
        <v>-4.7262798397438022E-3</v>
      </c>
      <c r="AM48" s="342">
        <v>-4.3152989841139062E-3</v>
      </c>
      <c r="AN48" s="342">
        <v>-4.007063342391484E-3</v>
      </c>
      <c r="AO48" s="343">
        <v>-5.1372606953736973E-2</v>
      </c>
      <c r="AP48" s="346">
        <v>0</v>
      </c>
      <c r="AQ48" s="346"/>
      <c r="AR48" s="339">
        <v>13005</v>
      </c>
      <c r="AS48" s="349"/>
      <c r="AT48" s="341" t="s">
        <v>53</v>
      </c>
      <c r="AU48" s="342">
        <v>-2.1884730562291951E-2</v>
      </c>
      <c r="AV48" s="342">
        <v>-2.2809437487459217E-2</v>
      </c>
      <c r="AW48" s="342">
        <v>-2.465885133779375E-2</v>
      </c>
      <c r="AX48" s="342">
        <v>-2.650826518812828E-2</v>
      </c>
      <c r="AY48" s="342">
        <v>-2.7741207755017969E-2</v>
      </c>
      <c r="AZ48" s="342">
        <v>-2.7124736471573121E-2</v>
      </c>
      <c r="BA48" s="342">
        <v>-2.6816500829850702E-2</v>
      </c>
      <c r="BB48" s="342">
        <v>-2.465885133779375E-2</v>
      </c>
      <c r="BC48" s="342">
        <v>-2.7741207755017969E-2</v>
      </c>
      <c r="BD48" s="342">
        <v>-2.835767903846281E-2</v>
      </c>
      <c r="BE48" s="342">
        <v>-2.5891793904683439E-2</v>
      </c>
      <c r="BF48" s="342">
        <v>-2.4042380054348906E-2</v>
      </c>
      <c r="BG48" s="343">
        <v>-0.30823564172242185</v>
      </c>
      <c r="BH48" s="513">
        <f t="shared" si="3"/>
        <v>2</v>
      </c>
      <c r="BI48" s="513">
        <f t="shared" si="4"/>
        <v>0</v>
      </c>
    </row>
    <row r="49" spans="2:61" x14ac:dyDescent="0.25">
      <c r="B49" s="339">
        <v>13051</v>
      </c>
      <c r="C49" s="373" t="s">
        <v>62</v>
      </c>
      <c r="D49" s="341" t="s">
        <v>63</v>
      </c>
      <c r="E49" s="342">
        <f>IFERROR(VLOOKUP(B49,BDFD!$B:$BG,38,FALSE),0)</f>
        <v>1141</v>
      </c>
      <c r="F49" s="342">
        <f>IFERROR(VLOOKUP(B49,BDFD!$B:$BG,41,FALSE),0)</f>
        <v>1387</v>
      </c>
      <c r="G49" s="342">
        <f>IFERROR(VLOOKUP(B49,BDFD!$B:$BG,44,FALSE),0)</f>
        <v>200</v>
      </c>
      <c r="H49" s="342">
        <f>IFERROR(VLOOKUP(B49,BDFD!$B:$BG,47,FALSE),0)</f>
        <v>-29</v>
      </c>
      <c r="I49" s="342">
        <f>IFERROR(VLOOKUP(B49,BDFD!$B:$BG,50,FALSE),0)</f>
        <v>2945</v>
      </c>
      <c r="J49" s="342">
        <f>IFERROR(VLOOKUP(B49,BDFD!$B:$BG,53,FALSE),0)</f>
        <v>1123</v>
      </c>
      <c r="K49" s="342">
        <f>IFERROR(VLOOKUP(B49,BDFD!$B:$BG,56,FALSE),0)</f>
        <v>2545</v>
      </c>
      <c r="L49" s="342">
        <v>2000</v>
      </c>
      <c r="M49" s="342">
        <v>2000</v>
      </c>
      <c r="N49" s="342">
        <v>2200</v>
      </c>
      <c r="O49" s="342">
        <v>2500</v>
      </c>
      <c r="P49" s="342">
        <v>1600</v>
      </c>
      <c r="Q49" s="343">
        <f t="shared" si="0"/>
        <v>19612</v>
      </c>
      <c r="R49" s="344"/>
      <c r="S49" s="344">
        <v>8.8862678644344602</v>
      </c>
      <c r="T49" s="344">
        <v>9.020253968253968</v>
      </c>
      <c r="U49" s="344">
        <v>9.1892666666666685</v>
      </c>
      <c r="V49" s="344">
        <v>8.94</v>
      </c>
      <c r="W49" s="344"/>
      <c r="X49" s="346">
        <v>1470.9839262187088</v>
      </c>
      <c r="Y49" s="347">
        <v>0.1</v>
      </c>
      <c r="Z49" s="339">
        <v>13051</v>
      </c>
      <c r="AA49" s="373" t="s">
        <v>62</v>
      </c>
      <c r="AB49" s="341" t="s">
        <v>63</v>
      </c>
      <c r="AC49" s="348">
        <v>104.43985876152831</v>
      </c>
      <c r="AD49" s="342">
        <v>108.85281054018445</v>
      </c>
      <c r="AE49" s="342">
        <v>117.67871409749671</v>
      </c>
      <c r="AF49" s="342">
        <v>126.50461765480895</v>
      </c>
      <c r="AG49" s="342">
        <v>132.38855335968378</v>
      </c>
      <c r="AH49" s="342">
        <v>129.44658550724637</v>
      </c>
      <c r="AI49" s="342">
        <v>127.97560158102766</v>
      </c>
      <c r="AJ49" s="342">
        <v>117.67871409749671</v>
      </c>
      <c r="AK49" s="342">
        <v>132.38855335968378</v>
      </c>
      <c r="AL49" s="342">
        <v>135.3305212121212</v>
      </c>
      <c r="AM49" s="342">
        <v>123.56264980237154</v>
      </c>
      <c r="AN49" s="342">
        <v>114.73674624505929</v>
      </c>
      <c r="AO49" s="343">
        <v>1470.9839262187088</v>
      </c>
      <c r="AP49" s="346">
        <v>0</v>
      </c>
      <c r="AQ49" s="346"/>
      <c r="AR49" s="339">
        <v>13051</v>
      </c>
      <c r="AS49" s="373" t="s">
        <v>62</v>
      </c>
      <c r="AT49" s="341" t="s">
        <v>63</v>
      </c>
      <c r="AU49" s="342">
        <v>1148.8384463768114</v>
      </c>
      <c r="AV49" s="342">
        <v>1197.3809159420289</v>
      </c>
      <c r="AW49" s="342">
        <v>1294.4658550724639</v>
      </c>
      <c r="AX49" s="342">
        <v>1391.5507942028985</v>
      </c>
      <c r="AY49" s="342">
        <v>1456.2740869565216</v>
      </c>
      <c r="AZ49" s="342">
        <v>1423.9124405797102</v>
      </c>
      <c r="BA49" s="342">
        <v>1407.7316173913041</v>
      </c>
      <c r="BB49" s="342">
        <v>1294.4658550724639</v>
      </c>
      <c r="BC49" s="342">
        <v>1456.2740869565216</v>
      </c>
      <c r="BD49" s="342">
        <v>1488.6357333333331</v>
      </c>
      <c r="BE49" s="342">
        <v>1359.1891478260868</v>
      </c>
      <c r="BF49" s="342">
        <v>1262.1042086956522</v>
      </c>
      <c r="BG49" s="343">
        <v>16180.823188405793</v>
      </c>
      <c r="BH49" s="513">
        <f t="shared" si="3"/>
        <v>9312</v>
      </c>
      <c r="BI49" s="513">
        <f t="shared" si="4"/>
        <v>10300</v>
      </c>
    </row>
    <row r="50" spans="2:61" ht="15.75" thickBot="1" x14ac:dyDescent="0.3">
      <c r="B50" s="339">
        <v>13069</v>
      </c>
      <c r="C50" s="374" t="s">
        <v>64</v>
      </c>
      <c r="D50" s="375" t="s">
        <v>65</v>
      </c>
      <c r="E50" s="342">
        <f>IFERROR(VLOOKUP(B50,BDFD!$B:$BG,38,FALSE),0)</f>
        <v>531</v>
      </c>
      <c r="F50" s="342">
        <f>IFERROR(VLOOKUP(B50,BDFD!$B:$BG,41,FALSE),0)</f>
        <v>1089</v>
      </c>
      <c r="G50" s="342">
        <f>IFERROR(VLOOKUP(B50,BDFD!$B:$BG,4,FALSE),0)</f>
        <v>-180</v>
      </c>
      <c r="H50" s="342">
        <f>IFERROR(VLOOKUP(B50,BDFD!$B:$BG,47,FALSE),0)</f>
        <v>1325</v>
      </c>
      <c r="I50" s="342">
        <f>IFERROR(VLOOKUP(B50,BDFD!$B:$BG,50,FALSE),0)</f>
        <v>1296</v>
      </c>
      <c r="J50" s="342">
        <f>IFERROR(VLOOKUP(B50,BDFD!$B:$BG,53,FALSE),0)</f>
        <v>1179</v>
      </c>
      <c r="K50" s="342">
        <f>IFERROR(VLOOKUP(B50,BDFD!$B:$BG,56,FALSE),0)</f>
        <v>900</v>
      </c>
      <c r="L50" s="342">
        <v>1000</v>
      </c>
      <c r="M50" s="342">
        <v>1000</v>
      </c>
      <c r="N50" s="342">
        <v>1000</v>
      </c>
      <c r="O50" s="342">
        <v>1000</v>
      </c>
      <c r="P50" s="342">
        <v>800</v>
      </c>
      <c r="Q50" s="343">
        <f t="shared" si="0"/>
        <v>10940</v>
      </c>
      <c r="R50" s="344"/>
      <c r="S50" s="344">
        <v>24.345313233435636</v>
      </c>
      <c r="T50" s="344">
        <v>26.32375818251829</v>
      </c>
      <c r="U50" s="344">
        <v>24.563616666666672</v>
      </c>
      <c r="V50" s="344">
        <v>14.58</v>
      </c>
      <c r="W50" s="344"/>
      <c r="X50" s="346">
        <v>1956.895622542595</v>
      </c>
      <c r="Y50" s="347">
        <v>0.15</v>
      </c>
      <c r="Z50" s="339">
        <v>13069</v>
      </c>
      <c r="AA50" s="374" t="s">
        <v>64</v>
      </c>
      <c r="AB50" s="375" t="s">
        <v>65</v>
      </c>
      <c r="AC50" s="348">
        <v>138.93958920052424</v>
      </c>
      <c r="AD50" s="342">
        <v>144.81027606815201</v>
      </c>
      <c r="AE50" s="342">
        <v>156.5516498034076</v>
      </c>
      <c r="AF50" s="342">
        <v>168.29302353866316</v>
      </c>
      <c r="AG50" s="342">
        <v>176.12060602883355</v>
      </c>
      <c r="AH50" s="342">
        <v>172.20681478374834</v>
      </c>
      <c r="AI50" s="342">
        <v>170.24991916120575</v>
      </c>
      <c r="AJ50" s="342">
        <v>156.5516498034076</v>
      </c>
      <c r="AK50" s="342">
        <v>176.12060602883355</v>
      </c>
      <c r="AL50" s="342">
        <v>180.03439727391876</v>
      </c>
      <c r="AM50" s="342">
        <v>164.37923229357801</v>
      </c>
      <c r="AN50" s="342">
        <v>152.63785855832239</v>
      </c>
      <c r="AO50" s="343">
        <v>1956.8956225425952</v>
      </c>
      <c r="AP50" s="346">
        <v>0</v>
      </c>
      <c r="AQ50" s="346"/>
      <c r="AR50" s="339">
        <v>13069</v>
      </c>
      <c r="AS50" s="374" t="s">
        <v>64</v>
      </c>
      <c r="AT50" s="375" t="s">
        <v>65</v>
      </c>
      <c r="AU50" s="342">
        <v>1065.2035172040191</v>
      </c>
      <c r="AV50" s="342">
        <v>1110.2121165224989</v>
      </c>
      <c r="AW50" s="342">
        <v>1200.2293151594583</v>
      </c>
      <c r="AX50" s="342">
        <v>1290.2465137964177</v>
      </c>
      <c r="AY50" s="342">
        <v>1350.2579795543907</v>
      </c>
      <c r="AZ50" s="342">
        <v>1320.252246675404</v>
      </c>
      <c r="BA50" s="342">
        <v>1305.2493802359108</v>
      </c>
      <c r="BB50" s="342">
        <v>1200.2293151594583</v>
      </c>
      <c r="BC50" s="342">
        <v>1350.2579795543907</v>
      </c>
      <c r="BD50" s="342">
        <v>1380.2637124333771</v>
      </c>
      <c r="BE50" s="342">
        <v>1260.2407809174315</v>
      </c>
      <c r="BF50" s="342">
        <v>1170.2235822804719</v>
      </c>
      <c r="BG50" s="343">
        <v>15002.866439493229</v>
      </c>
      <c r="BH50" s="513">
        <f t="shared" si="3"/>
        <v>6140</v>
      </c>
      <c r="BI50" s="513">
        <f t="shared" si="4"/>
        <v>4800</v>
      </c>
    </row>
    <row r="51" spans="2:61" x14ac:dyDescent="0.25">
      <c r="B51" s="339"/>
      <c r="C51" s="376"/>
      <c r="D51" s="377"/>
      <c r="E51" s="378"/>
      <c r="F51" s="379"/>
      <c r="G51" s="379"/>
      <c r="H51" s="379"/>
      <c r="I51" s="379"/>
      <c r="J51" s="379"/>
      <c r="K51" s="379"/>
      <c r="L51" s="379"/>
      <c r="M51" s="379"/>
      <c r="N51" s="379"/>
      <c r="O51" s="379"/>
      <c r="P51" s="379"/>
      <c r="Q51" s="380"/>
      <c r="R51" s="346"/>
      <c r="S51" s="344"/>
      <c r="T51" s="344"/>
      <c r="U51" s="344"/>
      <c r="V51" s="344"/>
      <c r="W51" s="344"/>
      <c r="X51" s="346"/>
      <c r="Y51" s="347"/>
      <c r="Z51" s="339"/>
      <c r="AA51" s="376"/>
      <c r="AB51" s="377"/>
      <c r="AC51" s="381"/>
      <c r="AD51" s="379"/>
      <c r="AE51" s="379"/>
      <c r="AF51" s="379"/>
      <c r="AG51" s="379"/>
      <c r="AH51" s="379"/>
      <c r="AI51" s="379"/>
      <c r="AJ51" s="379"/>
      <c r="AK51" s="379"/>
      <c r="AL51" s="379"/>
      <c r="AM51" s="379"/>
      <c r="AN51" s="379"/>
      <c r="AO51" s="380"/>
      <c r="AP51" s="346"/>
      <c r="AQ51" s="346"/>
      <c r="AR51" s="339"/>
      <c r="AS51" s="376"/>
      <c r="AT51" s="377"/>
      <c r="AU51" s="381"/>
      <c r="AV51" s="379"/>
      <c r="AW51" s="379"/>
      <c r="AX51" s="379"/>
      <c r="AY51" s="379"/>
      <c r="AZ51" s="379"/>
      <c r="BA51" s="379"/>
      <c r="BB51" s="379"/>
      <c r="BC51" s="379"/>
      <c r="BD51" s="379"/>
      <c r="BE51" s="379"/>
      <c r="BF51" s="379"/>
      <c r="BG51" s="380"/>
      <c r="BH51" s="513"/>
      <c r="BI51" s="513"/>
    </row>
    <row r="52" spans="2:61" x14ac:dyDescent="0.25">
      <c r="B52" s="339"/>
      <c r="C52" s="382"/>
      <c r="D52" s="383" t="s">
        <v>149</v>
      </c>
      <c r="E52" s="380">
        <f>SUM(E7:E51)</f>
        <v>91046</v>
      </c>
      <c r="F52" s="380">
        <f t="shared" ref="F52:P52" si="5">SUM(F7:F51)</f>
        <v>89920</v>
      </c>
      <c r="G52" s="380">
        <f t="shared" si="5"/>
        <v>75129</v>
      </c>
      <c r="H52" s="380">
        <f t="shared" si="5"/>
        <v>82599</v>
      </c>
      <c r="I52" s="380">
        <f t="shared" si="5"/>
        <v>98249</v>
      </c>
      <c r="J52" s="380">
        <f t="shared" si="5"/>
        <v>108742</v>
      </c>
      <c r="K52" s="380">
        <f t="shared" si="5"/>
        <v>110819</v>
      </c>
      <c r="L52" s="380">
        <f t="shared" si="5"/>
        <v>94502</v>
      </c>
      <c r="M52" s="380">
        <f t="shared" si="5"/>
        <v>92995</v>
      </c>
      <c r="N52" s="380">
        <f t="shared" si="5"/>
        <v>95627</v>
      </c>
      <c r="O52" s="380">
        <f t="shared" si="5"/>
        <v>101723</v>
      </c>
      <c r="P52" s="380">
        <f t="shared" si="5"/>
        <v>88675</v>
      </c>
      <c r="Q52" s="380">
        <f>SUM(Q7:Q50)</f>
        <v>1130026</v>
      </c>
      <c r="R52" s="346"/>
      <c r="S52" s="346"/>
      <c r="T52" s="346"/>
      <c r="U52" s="346"/>
      <c r="V52" s="344"/>
      <c r="W52" s="344"/>
      <c r="X52" s="346">
        <v>358865.33291805832</v>
      </c>
      <c r="Y52" s="347"/>
      <c r="Z52" s="339"/>
      <c r="AA52" s="382"/>
      <c r="AB52" s="383" t="s">
        <v>149</v>
      </c>
      <c r="AC52" s="380">
        <v>25305.275637182142</v>
      </c>
      <c r="AD52" s="380">
        <v>26374.512635936317</v>
      </c>
      <c r="AE52" s="380">
        <v>28512.986633444667</v>
      </c>
      <c r="AF52" s="380">
        <v>30795.210630953025</v>
      </c>
      <c r="AG52" s="380">
        <v>32181.359962625265</v>
      </c>
      <c r="AH52" s="380">
        <v>31470.535296789141</v>
      </c>
      <c r="AI52" s="380">
        <v>31115.372963871083</v>
      </c>
      <c r="AJ52" s="380">
        <v>28625.486633444667</v>
      </c>
      <c r="AK52" s="380">
        <v>32619.609962625265</v>
      </c>
      <c r="AL52" s="380">
        <v>33192.434628461371</v>
      </c>
      <c r="AM52" s="380">
        <v>30383.635965116915</v>
      </c>
      <c r="AN52" s="380">
        <v>28288.911967608557</v>
      </c>
      <c r="AO52" s="380">
        <v>358865.33291805838</v>
      </c>
      <c r="AP52" s="346">
        <v>0</v>
      </c>
      <c r="AQ52" s="346"/>
      <c r="AR52" s="339"/>
      <c r="AS52" s="382"/>
      <c r="AT52" s="383" t="s">
        <v>149</v>
      </c>
      <c r="AU52" s="380">
        <v>97550.05230146386</v>
      </c>
      <c r="AV52" s="380">
        <v>101671.88549730038</v>
      </c>
      <c r="AW52" s="380">
        <v>109915.55188897338</v>
      </c>
      <c r="AX52" s="380">
        <v>118877.96828064637</v>
      </c>
      <c r="AY52" s="380">
        <v>124176.24587509503</v>
      </c>
      <c r="AZ52" s="380">
        <v>121438.35707787066</v>
      </c>
      <c r="BA52" s="380">
        <v>120070.66267925853</v>
      </c>
      <c r="BB52" s="380">
        <v>110478.05188897338</v>
      </c>
      <c r="BC52" s="380">
        <v>126367.49587509503</v>
      </c>
      <c r="BD52" s="380">
        <v>128415.3846723194</v>
      </c>
      <c r="BE52" s="380">
        <v>117636.32948342206</v>
      </c>
      <c r="BF52" s="380">
        <v>109611.41309174904</v>
      </c>
      <c r="BG52" s="380">
        <v>1386209.3986121665</v>
      </c>
      <c r="BH52" s="513">
        <f t="shared" si="1"/>
        <v>656504</v>
      </c>
      <c r="BI52" s="513">
        <f t="shared" si="2"/>
        <v>473522</v>
      </c>
    </row>
    <row r="53" spans="2:61" ht="15.75" thickBot="1" x14ac:dyDescent="0.3">
      <c r="B53" s="339"/>
      <c r="C53" s="384"/>
      <c r="D53" s="385"/>
      <c r="E53" s="386"/>
      <c r="F53" s="387"/>
      <c r="G53" s="387"/>
      <c r="H53" s="387"/>
      <c r="I53" s="387"/>
      <c r="J53" s="387"/>
      <c r="K53" s="387"/>
      <c r="L53" s="387"/>
      <c r="M53" s="387"/>
      <c r="N53" s="387"/>
      <c r="O53" s="387"/>
      <c r="P53" s="387"/>
      <c r="Q53" s="387"/>
      <c r="R53" s="346"/>
      <c r="S53" s="346"/>
      <c r="T53" s="346"/>
      <c r="U53" s="346"/>
      <c r="V53" s="388"/>
      <c r="W53" s="388"/>
      <c r="X53" s="346"/>
      <c r="Y53" s="347"/>
      <c r="Z53" s="339"/>
      <c r="AA53" s="384"/>
      <c r="AB53" s="385"/>
      <c r="AC53" s="387"/>
      <c r="AD53" s="387"/>
      <c r="AE53" s="387"/>
      <c r="AF53" s="387"/>
      <c r="AG53" s="387"/>
      <c r="AH53" s="387"/>
      <c r="AI53" s="387"/>
      <c r="AJ53" s="387"/>
      <c r="AK53" s="387"/>
      <c r="AL53" s="387"/>
      <c r="AM53" s="387"/>
      <c r="AN53" s="387"/>
      <c r="AO53" s="387"/>
      <c r="AP53" s="346"/>
      <c r="AQ53" s="346"/>
      <c r="AR53" s="339"/>
      <c r="AS53" s="384"/>
      <c r="AT53" s="385"/>
      <c r="AU53" s="387"/>
      <c r="AV53" s="387"/>
      <c r="AW53" s="387"/>
      <c r="AX53" s="387"/>
      <c r="AY53" s="387"/>
      <c r="AZ53" s="387"/>
      <c r="BA53" s="387"/>
      <c r="BB53" s="387"/>
      <c r="BC53" s="387"/>
      <c r="BD53" s="387"/>
      <c r="BE53" s="387"/>
      <c r="BF53" s="387"/>
      <c r="BG53" s="387"/>
      <c r="BH53" s="513"/>
      <c r="BI53" s="513"/>
    </row>
    <row r="54" spans="2:61" x14ac:dyDescent="0.25">
      <c r="B54" s="350"/>
      <c r="C54" s="389"/>
      <c r="D54" s="390"/>
      <c r="E54" s="391"/>
      <c r="F54" s="392"/>
      <c r="G54" s="392"/>
      <c r="H54" s="392"/>
      <c r="I54" s="392"/>
      <c r="J54" s="392"/>
      <c r="K54" s="392"/>
      <c r="L54" s="392"/>
      <c r="M54" s="392"/>
      <c r="N54" s="392"/>
      <c r="O54" s="392"/>
      <c r="P54" s="392"/>
      <c r="Q54" s="392">
        <v>0</v>
      </c>
      <c r="R54" s="346"/>
      <c r="S54" s="346"/>
      <c r="T54" s="346"/>
      <c r="U54" s="346"/>
      <c r="V54" s="388"/>
      <c r="W54" s="388"/>
      <c r="X54" s="346"/>
      <c r="Y54" s="347"/>
      <c r="Z54" s="350"/>
      <c r="AA54" s="389"/>
      <c r="AB54" s="390"/>
      <c r="AC54" s="392"/>
      <c r="AD54" s="392"/>
      <c r="AE54" s="392"/>
      <c r="AF54" s="392"/>
      <c r="AG54" s="392"/>
      <c r="AH54" s="392"/>
      <c r="AI54" s="392"/>
      <c r="AJ54" s="392"/>
      <c r="AK54" s="392"/>
      <c r="AL54" s="392"/>
      <c r="AM54" s="392"/>
      <c r="AN54" s="392"/>
      <c r="AO54" s="392"/>
      <c r="AP54" s="346"/>
      <c r="AQ54" s="346"/>
      <c r="AR54" s="350"/>
      <c r="AS54" s="389"/>
      <c r="AT54" s="390"/>
      <c r="AU54" s="392"/>
      <c r="AV54" s="392"/>
      <c r="AW54" s="392"/>
      <c r="AX54" s="392"/>
      <c r="AY54" s="392"/>
      <c r="AZ54" s="392"/>
      <c r="BA54" s="392"/>
      <c r="BB54" s="392"/>
      <c r="BC54" s="392"/>
      <c r="BD54" s="392"/>
      <c r="BE54" s="392"/>
      <c r="BF54" s="392"/>
      <c r="BG54" s="392"/>
      <c r="BH54" s="513"/>
      <c r="BI54" s="513"/>
    </row>
    <row r="55" spans="2:61" x14ac:dyDescent="0.25">
      <c r="B55" s="350"/>
      <c r="C55" s="389"/>
      <c r="D55" s="390"/>
      <c r="E55" s="393" t="s">
        <v>147</v>
      </c>
      <c r="F55" s="394"/>
      <c r="G55" s="394"/>
      <c r="H55" s="394"/>
      <c r="I55" s="394"/>
      <c r="J55" s="394"/>
      <c r="K55" s="394"/>
      <c r="L55" s="394"/>
      <c r="M55" s="394"/>
      <c r="N55" s="394"/>
      <c r="O55" s="394"/>
      <c r="P55" s="394"/>
      <c r="Q55" s="394"/>
      <c r="R55" s="346"/>
      <c r="S55" s="346"/>
      <c r="T55" s="346"/>
      <c r="U55" s="346"/>
      <c r="V55" s="388"/>
      <c r="W55" s="388"/>
      <c r="X55" s="346"/>
      <c r="Y55" s="347"/>
      <c r="Z55" s="350"/>
      <c r="AA55" s="389"/>
      <c r="AB55" s="390"/>
      <c r="AC55" s="331" t="s">
        <v>649</v>
      </c>
      <c r="AD55" s="394"/>
      <c r="AE55" s="394"/>
      <c r="AF55" s="394"/>
      <c r="AG55" s="394"/>
      <c r="AH55" s="394"/>
      <c r="AI55" s="394"/>
      <c r="AJ55" s="394"/>
      <c r="AK55" s="394"/>
      <c r="AL55" s="394"/>
      <c r="AM55" s="394"/>
      <c r="AN55" s="394"/>
      <c r="AO55" s="394"/>
      <c r="AP55" s="346"/>
      <c r="AQ55" s="346"/>
      <c r="AR55" s="350"/>
      <c r="AS55" s="389"/>
      <c r="AT55" s="390"/>
      <c r="AU55" s="331" t="s">
        <v>650</v>
      </c>
      <c r="AV55" s="394"/>
      <c r="AW55" s="394"/>
      <c r="AX55" s="394"/>
      <c r="AY55" s="394"/>
      <c r="AZ55" s="394"/>
      <c r="BA55" s="394"/>
      <c r="BB55" s="394"/>
      <c r="BC55" s="394"/>
      <c r="BD55" s="394"/>
      <c r="BE55" s="394"/>
      <c r="BF55" s="394"/>
      <c r="BG55" s="394"/>
      <c r="BH55" s="513"/>
      <c r="BI55" s="513"/>
    </row>
    <row r="56" spans="2:61" x14ac:dyDescent="0.25">
      <c r="B56" s="350"/>
      <c r="C56" s="395"/>
      <c r="D56" s="396"/>
      <c r="E56" s="397" t="s">
        <v>133</v>
      </c>
      <c r="F56" s="334" t="s">
        <v>134</v>
      </c>
      <c r="G56" s="334" t="s">
        <v>135</v>
      </c>
      <c r="H56" s="334" t="s">
        <v>136</v>
      </c>
      <c r="I56" s="334" t="s">
        <v>137</v>
      </c>
      <c r="J56" s="334" t="s">
        <v>138</v>
      </c>
      <c r="K56" s="334" t="s">
        <v>139</v>
      </c>
      <c r="L56" s="334" t="s">
        <v>140</v>
      </c>
      <c r="M56" s="334" t="s">
        <v>141</v>
      </c>
      <c r="N56" s="334" t="s">
        <v>142</v>
      </c>
      <c r="O56" s="334" t="s">
        <v>143</v>
      </c>
      <c r="P56" s="334" t="s">
        <v>144</v>
      </c>
      <c r="Q56" s="334" t="s">
        <v>146</v>
      </c>
      <c r="R56" s="346"/>
      <c r="S56" s="346"/>
      <c r="T56" s="346"/>
      <c r="U56" s="346"/>
      <c r="V56" s="388"/>
      <c r="W56" s="388"/>
      <c r="X56" s="346"/>
      <c r="Y56" s="347"/>
      <c r="Z56" s="350"/>
      <c r="AA56" s="395"/>
      <c r="AB56" s="396"/>
      <c r="AC56" s="334" t="s">
        <v>133</v>
      </c>
      <c r="AD56" s="334" t="s">
        <v>134</v>
      </c>
      <c r="AE56" s="334" t="s">
        <v>135</v>
      </c>
      <c r="AF56" s="334" t="s">
        <v>136</v>
      </c>
      <c r="AG56" s="334" t="s">
        <v>137</v>
      </c>
      <c r="AH56" s="334" t="s">
        <v>138</v>
      </c>
      <c r="AI56" s="334" t="s">
        <v>139</v>
      </c>
      <c r="AJ56" s="334" t="s">
        <v>140</v>
      </c>
      <c r="AK56" s="334" t="s">
        <v>141</v>
      </c>
      <c r="AL56" s="334" t="s">
        <v>142</v>
      </c>
      <c r="AM56" s="334" t="s">
        <v>143</v>
      </c>
      <c r="AN56" s="334" t="s">
        <v>144</v>
      </c>
      <c r="AO56" s="334" t="s">
        <v>146</v>
      </c>
      <c r="AP56" s="346"/>
      <c r="AQ56" s="346"/>
      <c r="AR56" s="350"/>
      <c r="AS56" s="395"/>
      <c r="AT56" s="396"/>
      <c r="AU56" s="334" t="s">
        <v>133</v>
      </c>
      <c r="AV56" s="334" t="s">
        <v>134</v>
      </c>
      <c r="AW56" s="334" t="s">
        <v>135</v>
      </c>
      <c r="AX56" s="334" t="s">
        <v>136</v>
      </c>
      <c r="AY56" s="334" t="s">
        <v>137</v>
      </c>
      <c r="AZ56" s="334" t="s">
        <v>138</v>
      </c>
      <c r="BA56" s="334" t="s">
        <v>139</v>
      </c>
      <c r="BB56" s="334" t="s">
        <v>140</v>
      </c>
      <c r="BC56" s="334" t="s">
        <v>141</v>
      </c>
      <c r="BD56" s="334" t="s">
        <v>142</v>
      </c>
      <c r="BE56" s="334" t="s">
        <v>143</v>
      </c>
      <c r="BF56" s="334" t="s">
        <v>144</v>
      </c>
      <c r="BG56" s="334" t="s">
        <v>146</v>
      </c>
      <c r="BH56" s="513"/>
      <c r="BI56" s="513"/>
    </row>
    <row r="57" spans="2:61" x14ac:dyDescent="0.25">
      <c r="B57" s="339">
        <v>13035</v>
      </c>
      <c r="C57" s="398" t="s">
        <v>67</v>
      </c>
      <c r="D57" s="399" t="s">
        <v>68</v>
      </c>
      <c r="E57" s="342">
        <f>IFERROR(VLOOKUP(B57,BDFD!$B:$BG,38,FALSE),0)</f>
        <v>0</v>
      </c>
      <c r="F57" s="342">
        <f>IFERROR(VLOOKUP(B57,BDFD!$B:$BG,41,FALSE),0)</f>
        <v>0</v>
      </c>
      <c r="G57" s="342">
        <f>IFERROR(VLOOKUP(B57,BDFD!$B:$BG,44,FALSE),0)</f>
        <v>0</v>
      </c>
      <c r="H57" s="342">
        <f>IFERROR(VLOOKUP(B57,BDFD!$B:$BG,47,FALSE),0)</f>
        <v>-4</v>
      </c>
      <c r="I57" s="342">
        <f>IFERROR(VLOOKUP(B57,BDFD!$B:$BG,50,FALSE),0)</f>
        <v>8088</v>
      </c>
      <c r="J57" s="342">
        <f>IFERROR(VLOOKUP(B57,BDFD!$B:$BG,53,FALSE),0)</f>
        <v>13410</v>
      </c>
      <c r="K57" s="342">
        <f>IFERROR(VLOOKUP(B57,BDFD!$B:$BG,56,FALSE),0)</f>
        <v>-18</v>
      </c>
      <c r="L57" s="342">
        <v>0</v>
      </c>
      <c r="M57" s="342">
        <v>500</v>
      </c>
      <c r="N57" s="342">
        <v>1500</v>
      </c>
      <c r="O57" s="342">
        <v>1500</v>
      </c>
      <c r="P57" s="342">
        <v>1500</v>
      </c>
      <c r="Q57" s="343">
        <f>SUM(E57:P57)</f>
        <v>26476</v>
      </c>
      <c r="R57" s="400"/>
      <c r="S57" s="344">
        <v>5.1884013333333341</v>
      </c>
      <c r="T57" s="344">
        <v>5.1884013333333341</v>
      </c>
      <c r="U57" s="344">
        <v>5.1884013333333341</v>
      </c>
      <c r="V57" s="344">
        <v>1.1879999999999999</v>
      </c>
      <c r="W57" s="344"/>
      <c r="X57" s="346">
        <v>12333.347975219518</v>
      </c>
      <c r="Y57" s="347">
        <v>0.25</v>
      </c>
      <c r="Z57" s="339">
        <v>13035</v>
      </c>
      <c r="AA57" s="398" t="s">
        <v>67</v>
      </c>
      <c r="AB57" s="399" t="s">
        <v>68</v>
      </c>
      <c r="AC57" s="342">
        <v>0</v>
      </c>
      <c r="AD57" s="342">
        <v>0</v>
      </c>
      <c r="AE57" s="342">
        <v>0</v>
      </c>
      <c r="AF57" s="342">
        <v>0</v>
      </c>
      <c r="AG57" s="342">
        <v>2001.686475</v>
      </c>
      <c r="AH57" s="342">
        <v>2002.9197999999999</v>
      </c>
      <c r="AI57" s="342">
        <v>1087.5175900686243</v>
      </c>
      <c r="AJ57" s="342">
        <v>1087.5175900686243</v>
      </c>
      <c r="AK57" s="342">
        <v>1178.4734700822705</v>
      </c>
      <c r="AL57" s="342">
        <v>1541.65625</v>
      </c>
      <c r="AM57" s="342">
        <v>1849.9875</v>
      </c>
      <c r="AN57" s="342">
        <v>1583.5892999999999</v>
      </c>
      <c r="AO57" s="343">
        <v>12333.347975219518</v>
      </c>
      <c r="AP57" s="346">
        <v>0</v>
      </c>
      <c r="AQ57" s="346"/>
      <c r="AR57" s="339">
        <v>13035</v>
      </c>
      <c r="AS57" s="398" t="s">
        <v>67</v>
      </c>
      <c r="AT57" s="399" t="s">
        <v>68</v>
      </c>
      <c r="AU57" s="342">
        <v>0</v>
      </c>
      <c r="AV57" s="342">
        <v>0</v>
      </c>
      <c r="AW57" s="342">
        <v>0</v>
      </c>
      <c r="AX57" s="342">
        <v>0</v>
      </c>
      <c r="AY57" s="342">
        <v>10008.432375</v>
      </c>
      <c r="AZ57" s="342">
        <v>10014.599</v>
      </c>
      <c r="BA57" s="342">
        <v>5437.5879503431215</v>
      </c>
      <c r="BB57" s="342">
        <v>5437.5879503431215</v>
      </c>
      <c r="BC57" s="342">
        <v>5892.3673504113522</v>
      </c>
      <c r="BD57" s="342">
        <v>7708.28125</v>
      </c>
      <c r="BE57" s="342">
        <v>9249.9375</v>
      </c>
      <c r="BF57" s="342">
        <v>7917.9464999999991</v>
      </c>
      <c r="BG57" s="343">
        <v>61666.739876097592</v>
      </c>
      <c r="BH57" s="513">
        <f t="shared" si="1"/>
        <v>21476</v>
      </c>
      <c r="BI57" s="513">
        <f t="shared" si="2"/>
        <v>5000</v>
      </c>
    </row>
    <row r="58" spans="2:61" x14ac:dyDescent="0.25">
      <c r="B58" s="339">
        <v>13143</v>
      </c>
      <c r="C58" s="340" t="s">
        <v>74</v>
      </c>
      <c r="D58" s="409" t="s">
        <v>78</v>
      </c>
      <c r="E58" s="342">
        <f>IFERROR(VLOOKUP(B58,BDFD!$B:$BG,38,FALSE),0)</f>
        <v>16000</v>
      </c>
      <c r="F58" s="342">
        <f>IFERROR(VLOOKUP(B58,BDFD!$B:$BG,41,FALSE),0)</f>
        <v>0</v>
      </c>
      <c r="G58" s="342">
        <f>IFERROR(VLOOKUP(B58,BDFD!$B:$BG,44,FALSE),0)</f>
        <v>12469</v>
      </c>
      <c r="H58" s="342">
        <f>IFERROR(VLOOKUP(B58,BDFD!$B:$BG,47,FALSE),0)</f>
        <v>14892</v>
      </c>
      <c r="I58" s="342">
        <f>IFERROR(VLOOKUP(B58,BDFD!$B:$BG,50,FALSE),0)</f>
        <v>16848</v>
      </c>
      <c r="J58" s="342">
        <f>IFERROR(VLOOKUP(B58,BDFD!$B:$BG,53,FALSE),0)</f>
        <v>11799</v>
      </c>
      <c r="K58" s="342">
        <f>IFERROR(VLOOKUP(B58,BDFD!$B:$BG,56,FALSE),0)</f>
        <v>9717</v>
      </c>
      <c r="L58" s="342">
        <v>13250</v>
      </c>
      <c r="M58" s="342">
        <v>13250</v>
      </c>
      <c r="N58" s="342">
        <v>13250</v>
      </c>
      <c r="O58" s="342">
        <v>14250</v>
      </c>
      <c r="P58" s="342">
        <v>13250</v>
      </c>
      <c r="Q58" s="343">
        <f t="shared" ref="Q58:Q95" si="6">SUM(E58:P58)</f>
        <v>148975</v>
      </c>
      <c r="R58" s="400"/>
      <c r="S58" s="344">
        <v>9.26</v>
      </c>
      <c r="T58" s="344">
        <v>10.068628983333335</v>
      </c>
      <c r="U58" s="344">
        <v>8.9842753333333345</v>
      </c>
      <c r="V58" s="344">
        <v>6.5</v>
      </c>
      <c r="W58" s="344"/>
      <c r="X58" s="346">
        <v>42635.365431870872</v>
      </c>
      <c r="Y58" s="347">
        <v>0.25</v>
      </c>
      <c r="Z58" s="339">
        <v>13143</v>
      </c>
      <c r="AA58" s="374" t="s">
        <v>74</v>
      </c>
      <c r="AB58" s="401" t="s">
        <v>78</v>
      </c>
      <c r="AC58" s="348">
        <v>3027.1109456628324</v>
      </c>
      <c r="AD58" s="342">
        <v>3155.0170419584451</v>
      </c>
      <c r="AE58" s="342">
        <v>3410.8292345496702</v>
      </c>
      <c r="AF58" s="342">
        <v>3666.6414271408953</v>
      </c>
      <c r="AG58" s="342">
        <v>3837.182888868379</v>
      </c>
      <c r="AH58" s="342">
        <v>3751.9121580046371</v>
      </c>
      <c r="AI58" s="342">
        <v>3709.2767925727662</v>
      </c>
      <c r="AJ58" s="342">
        <v>3410.8292345496702</v>
      </c>
      <c r="AK58" s="342">
        <v>3837.182888868379</v>
      </c>
      <c r="AL58" s="342">
        <v>3922.4536197321208</v>
      </c>
      <c r="AM58" s="342">
        <v>3581.3706962771539</v>
      </c>
      <c r="AN58" s="342">
        <v>3325.5585036859288</v>
      </c>
      <c r="AO58" s="343">
        <v>42635.365431870872</v>
      </c>
      <c r="AP58" s="346">
        <v>0</v>
      </c>
      <c r="AQ58" s="346"/>
      <c r="AR58" s="339">
        <v>13143</v>
      </c>
      <c r="AS58" s="374" t="s">
        <v>74</v>
      </c>
      <c r="AT58" s="401" t="s">
        <v>78</v>
      </c>
      <c r="AU58" s="342">
        <v>15135.554728314162</v>
      </c>
      <c r="AV58" s="342">
        <v>15775.085209792225</v>
      </c>
      <c r="AW58" s="342">
        <v>17054.146172748351</v>
      </c>
      <c r="AX58" s="342">
        <v>18333.207135704477</v>
      </c>
      <c r="AY58" s="342">
        <v>19185.914444341895</v>
      </c>
      <c r="AZ58" s="342">
        <v>18759.560790023184</v>
      </c>
      <c r="BA58" s="342">
        <v>18546.383962863831</v>
      </c>
      <c r="BB58" s="342">
        <v>17054.146172748351</v>
      </c>
      <c r="BC58" s="342">
        <v>19185.914444341895</v>
      </c>
      <c r="BD58" s="342">
        <v>19612.268098660603</v>
      </c>
      <c r="BE58" s="342">
        <v>17906.85348138577</v>
      </c>
      <c r="BF58" s="342">
        <v>16627.792518429644</v>
      </c>
      <c r="BG58" s="343">
        <v>213176.82715935438</v>
      </c>
      <c r="BH58" s="513">
        <f t="shared" ref="BH58:BH95" si="7">SUM(E58:K58)</f>
        <v>81725</v>
      </c>
      <c r="BI58" s="513">
        <f t="shared" ref="BI58:BI95" si="8">SUM(L58:P58)</f>
        <v>67250</v>
      </c>
    </row>
    <row r="59" spans="2:61" x14ac:dyDescent="0.25">
      <c r="B59" s="339">
        <v>13144</v>
      </c>
      <c r="C59" s="349"/>
      <c r="D59" s="409" t="s">
        <v>79</v>
      </c>
      <c r="E59" s="342">
        <f>IFERROR(VLOOKUP(B59,BDFD!$B:$BG,38,FALSE),0)</f>
        <v>7784</v>
      </c>
      <c r="F59" s="342">
        <f>IFERROR(VLOOKUP(B59,BDFD!$B:$BG,41,FALSE),0)</f>
        <v>4451</v>
      </c>
      <c r="G59" s="342">
        <f>IFERROR(VLOOKUP(B59,BDFD!$B:$BG,44,FALSE),0)</f>
        <v>2197</v>
      </c>
      <c r="H59" s="342">
        <f>IFERROR(VLOOKUP(B59,BDFD!$B:$BG,47,FALSE),0)</f>
        <v>143</v>
      </c>
      <c r="I59" s="342">
        <f>IFERROR(VLOOKUP(B59,BDFD!$B:$BG,50,FALSE),0)</f>
        <v>0</v>
      </c>
      <c r="J59" s="342">
        <f>IFERROR(VLOOKUP(B59,BDFD!$B:$BG,53,FALSE),0)</f>
        <v>0</v>
      </c>
      <c r="K59" s="342">
        <f>IFERROR(VLOOKUP(B59,BDFD!$B:$BG,56,FALSE),0)</f>
        <v>7035</v>
      </c>
      <c r="L59" s="342">
        <v>2100</v>
      </c>
      <c r="M59" s="342">
        <v>3400</v>
      </c>
      <c r="N59" s="342">
        <v>3400</v>
      </c>
      <c r="O59" s="342">
        <v>3900</v>
      </c>
      <c r="P59" s="342">
        <v>3000</v>
      </c>
      <c r="Q59" s="343">
        <f t="shared" si="6"/>
        <v>37410</v>
      </c>
      <c r="R59" s="400"/>
      <c r="S59" s="344">
        <v>14.91</v>
      </c>
      <c r="T59" s="344">
        <v>16.596205916666666</v>
      </c>
      <c r="U59" s="344">
        <v>14.808856666666665</v>
      </c>
      <c r="V59" s="344">
        <v>10.9</v>
      </c>
      <c r="W59" s="344"/>
      <c r="X59" s="346">
        <v>5888.6898379970526</v>
      </c>
      <c r="Y59" s="347">
        <v>0.25</v>
      </c>
      <c r="Z59" s="339">
        <v>13144</v>
      </c>
      <c r="AA59" s="363"/>
      <c r="AB59" s="401" t="s">
        <v>79</v>
      </c>
      <c r="AC59" s="348">
        <v>418.0969784977907</v>
      </c>
      <c r="AD59" s="342">
        <v>435.76304801178185</v>
      </c>
      <c r="AE59" s="342">
        <v>471.0951870397642</v>
      </c>
      <c r="AF59" s="342">
        <v>506.42732606774649</v>
      </c>
      <c r="AG59" s="342">
        <v>529.98208541973474</v>
      </c>
      <c r="AH59" s="342">
        <v>518.20470574374065</v>
      </c>
      <c r="AI59" s="342">
        <v>512.31601590574348</v>
      </c>
      <c r="AJ59" s="342">
        <v>471.0951870397642</v>
      </c>
      <c r="AK59" s="342">
        <v>529.98208541973474</v>
      </c>
      <c r="AL59" s="342">
        <v>541.75946509572884</v>
      </c>
      <c r="AM59" s="342">
        <v>494.64994639175245</v>
      </c>
      <c r="AN59" s="342">
        <v>459.3178073637701</v>
      </c>
      <c r="AO59" s="343">
        <v>5888.6898379970526</v>
      </c>
      <c r="AP59" s="346">
        <v>0</v>
      </c>
      <c r="AQ59" s="346"/>
      <c r="AR59" s="339">
        <v>13144</v>
      </c>
      <c r="AS59" s="363"/>
      <c r="AT59" s="401" t="s">
        <v>79</v>
      </c>
      <c r="AU59" s="342">
        <v>2090.4848924889534</v>
      </c>
      <c r="AV59" s="342">
        <v>2178.8152400589092</v>
      </c>
      <c r="AW59" s="342">
        <v>2355.4759351988209</v>
      </c>
      <c r="AX59" s="342">
        <v>2532.1366303387326</v>
      </c>
      <c r="AY59" s="342">
        <v>2649.9104270986736</v>
      </c>
      <c r="AZ59" s="342">
        <v>2591.0235287187033</v>
      </c>
      <c r="BA59" s="342">
        <v>2561.5800795287173</v>
      </c>
      <c r="BB59" s="342">
        <v>2355.4759351988209</v>
      </c>
      <c r="BC59" s="342">
        <v>2649.9104270986736</v>
      </c>
      <c r="BD59" s="342">
        <v>2708.7973254786443</v>
      </c>
      <c r="BE59" s="342">
        <v>2473.2497319587624</v>
      </c>
      <c r="BF59" s="342">
        <v>2296.5890368188507</v>
      </c>
      <c r="BG59" s="343">
        <v>29443.449189985266</v>
      </c>
      <c r="BH59" s="513">
        <f t="shared" si="7"/>
        <v>21610</v>
      </c>
      <c r="BI59" s="513">
        <f t="shared" si="8"/>
        <v>15800</v>
      </c>
    </row>
    <row r="60" spans="2:61" x14ac:dyDescent="0.25">
      <c r="B60" s="350">
        <v>13121</v>
      </c>
      <c r="C60" s="349"/>
      <c r="D60" s="409" t="s">
        <v>76</v>
      </c>
      <c r="E60" s="342">
        <f>IFERROR(VLOOKUP(B60,BDFD!$B:$BG,38,FALSE),0)</f>
        <v>3820</v>
      </c>
      <c r="F60" s="342">
        <f>IFERROR(VLOOKUP(B60,BDFD!$B:$BG,41,FALSE),0)</f>
        <v>7828</v>
      </c>
      <c r="G60" s="342">
        <f>IFERROR(VLOOKUP(B60,BDFD!$B:$BG,44,FALSE),0)</f>
        <v>4330</v>
      </c>
      <c r="H60" s="342">
        <f>IFERROR(VLOOKUP(B60,BDFD!$B:$BG,47,FALSE),0)</f>
        <v>9472</v>
      </c>
      <c r="I60" s="342">
        <f>IFERROR(VLOOKUP(B60,BDFD!$B:$BG,50,FALSE),0)</f>
        <v>5381</v>
      </c>
      <c r="J60" s="342">
        <f>IFERROR(VLOOKUP(B60,BDFD!$B:$BG,53,FALSE),0)</f>
        <v>4590</v>
      </c>
      <c r="K60" s="342">
        <f>IFERROR(VLOOKUP(B60,BDFD!$B:$BG,56,FALSE),0)</f>
        <v>4361</v>
      </c>
      <c r="L60" s="342">
        <v>5500</v>
      </c>
      <c r="M60" s="342">
        <v>6000</v>
      </c>
      <c r="N60" s="342">
        <v>6000</v>
      </c>
      <c r="O60" s="342">
        <v>6000</v>
      </c>
      <c r="P60" s="342">
        <v>5500</v>
      </c>
      <c r="Q60" s="343">
        <f t="shared" si="6"/>
        <v>68782</v>
      </c>
      <c r="R60" s="400"/>
      <c r="S60" s="344">
        <v>18.443583690915478</v>
      </c>
      <c r="T60" s="344">
        <v>18.54956976514703</v>
      </c>
      <c r="U60" s="344">
        <v>18.032168666666671</v>
      </c>
      <c r="V60" s="344">
        <v>10.6</v>
      </c>
      <c r="W60" s="344"/>
      <c r="X60" s="346">
        <v>8399.6741963968034</v>
      </c>
      <c r="Y60" s="347">
        <v>0.15</v>
      </c>
      <c r="Z60" s="350">
        <v>13121</v>
      </c>
      <c r="AA60" s="363"/>
      <c r="AB60" s="401" t="s">
        <v>76</v>
      </c>
      <c r="AC60" s="348">
        <v>596.376867944173</v>
      </c>
      <c r="AD60" s="342">
        <v>621.57589053336358</v>
      </c>
      <c r="AE60" s="342">
        <v>671.97393571174439</v>
      </c>
      <c r="AF60" s="342">
        <v>722.3719808901252</v>
      </c>
      <c r="AG60" s="342">
        <v>755.97067767571241</v>
      </c>
      <c r="AH60" s="342">
        <v>739.17132928291869</v>
      </c>
      <c r="AI60" s="342">
        <v>730.77165508652183</v>
      </c>
      <c r="AJ60" s="342">
        <v>671.97393571174439</v>
      </c>
      <c r="AK60" s="342">
        <v>755.97067767571241</v>
      </c>
      <c r="AL60" s="342">
        <v>772.77002606850601</v>
      </c>
      <c r="AM60" s="342">
        <v>705.5726324973316</v>
      </c>
      <c r="AN60" s="342">
        <v>655.17458731895078</v>
      </c>
      <c r="AO60" s="343">
        <v>8399.6741963968034</v>
      </c>
      <c r="AP60" s="346">
        <v>0</v>
      </c>
      <c r="AQ60" s="346"/>
      <c r="AR60" s="350">
        <v>13121</v>
      </c>
      <c r="AS60" s="363"/>
      <c r="AT60" s="401" t="s">
        <v>76</v>
      </c>
      <c r="AU60" s="342">
        <v>4572.2226542386597</v>
      </c>
      <c r="AV60" s="342">
        <v>4765.4151607557869</v>
      </c>
      <c r="AW60" s="342">
        <v>5151.8001737900404</v>
      </c>
      <c r="AX60" s="342">
        <v>5538.1851868242929</v>
      </c>
      <c r="AY60" s="342">
        <v>5795.7751955137946</v>
      </c>
      <c r="AZ60" s="342">
        <v>5666.9801911690438</v>
      </c>
      <c r="BA60" s="342">
        <v>5602.5826889966675</v>
      </c>
      <c r="BB60" s="342">
        <v>5151.8001737900404</v>
      </c>
      <c r="BC60" s="342">
        <v>5795.7751955137946</v>
      </c>
      <c r="BD60" s="342">
        <v>5924.5701998585464</v>
      </c>
      <c r="BE60" s="342">
        <v>5409.390182479543</v>
      </c>
      <c r="BF60" s="342">
        <v>5023.0051694452895</v>
      </c>
      <c r="BG60" s="343">
        <v>64397.502172375513</v>
      </c>
      <c r="BH60" s="513">
        <f t="shared" si="7"/>
        <v>39782</v>
      </c>
      <c r="BI60" s="513">
        <f t="shared" si="8"/>
        <v>29000</v>
      </c>
    </row>
    <row r="61" spans="2:61" x14ac:dyDescent="0.25">
      <c r="B61" s="339">
        <v>13047</v>
      </c>
      <c r="C61" s="349"/>
      <c r="D61" s="409" t="s">
        <v>665</v>
      </c>
      <c r="E61" s="342">
        <f>IFERROR(VLOOKUP(B61,BDFD!$B:$BG,38,FALSE),0)</f>
        <v>-3</v>
      </c>
      <c r="F61" s="342">
        <f>IFERROR(VLOOKUP(B61,BDFD!$B:$BG,41,FALSE),0)</f>
        <v>-2</v>
      </c>
      <c r="G61" s="342">
        <f>IFERROR(VLOOKUP(B61,BDFD!$B:$BG,44,FALSE),0)</f>
        <v>-2</v>
      </c>
      <c r="H61" s="342">
        <f>IFERROR(VLOOKUP(B61,BDFD!$B:$BG,47,FALSE),0)</f>
        <v>-5</v>
      </c>
      <c r="I61" s="342">
        <f>IFERROR(VLOOKUP(B61,BDFD!$B:$BG,50,FALSE),0)</f>
        <v>0</v>
      </c>
      <c r="J61" s="342">
        <f>IFERROR(VLOOKUP(B61,BDFD!$B:$BG,53,FALSE),0)</f>
        <v>0</v>
      </c>
      <c r="K61" s="342">
        <f>IFERROR(VLOOKUP(B61,BDFD!$B:$BG,56,FALSE),0)</f>
        <v>0</v>
      </c>
      <c r="L61" s="342">
        <v>0</v>
      </c>
      <c r="M61" s="342">
        <v>0</v>
      </c>
      <c r="N61" s="342">
        <v>0</v>
      </c>
      <c r="O61" s="342">
        <v>0</v>
      </c>
      <c r="P61" s="342">
        <v>0</v>
      </c>
      <c r="Q61" s="343">
        <f t="shared" si="6"/>
        <v>-12</v>
      </c>
      <c r="R61" s="400"/>
      <c r="S61" s="344">
        <v>9.4700000000000006</v>
      </c>
      <c r="T61" s="344">
        <v>7.0765458937198069</v>
      </c>
      <c r="U61" s="344">
        <v>9.5356313333333347</v>
      </c>
      <c r="V61" s="344">
        <v>5.43</v>
      </c>
      <c r="W61" s="344"/>
      <c r="X61" s="346">
        <v>10443.523599525701</v>
      </c>
      <c r="Y61" s="347">
        <v>0.25</v>
      </c>
      <c r="Z61" s="339">
        <v>13047</v>
      </c>
      <c r="AA61" s="363"/>
      <c r="AB61" s="401" t="s">
        <v>665</v>
      </c>
      <c r="AC61" s="348">
        <v>741.49017556632487</v>
      </c>
      <c r="AD61" s="342">
        <v>772.82074636490199</v>
      </c>
      <c r="AE61" s="342">
        <v>835.48188796205625</v>
      </c>
      <c r="AF61" s="342">
        <v>898.14302955921039</v>
      </c>
      <c r="AG61" s="342">
        <v>939.91712395731315</v>
      </c>
      <c r="AH61" s="342">
        <v>919.03007675826177</v>
      </c>
      <c r="AI61" s="342">
        <v>908.58655315873602</v>
      </c>
      <c r="AJ61" s="342">
        <v>835.48188796205625</v>
      </c>
      <c r="AK61" s="342">
        <v>939.91712395731315</v>
      </c>
      <c r="AL61" s="342">
        <v>960.80417115636465</v>
      </c>
      <c r="AM61" s="342">
        <v>877.25598236015912</v>
      </c>
      <c r="AN61" s="342">
        <v>814.59484076300475</v>
      </c>
      <c r="AO61" s="343">
        <v>10443.523599525701</v>
      </c>
      <c r="AP61" s="346">
        <v>0</v>
      </c>
      <c r="AQ61" s="346"/>
      <c r="AR61" s="339">
        <v>13047</v>
      </c>
      <c r="AS61" s="363"/>
      <c r="AT61" s="401" t="s">
        <v>665</v>
      </c>
      <c r="AU61" s="342">
        <v>3707.4508778316244</v>
      </c>
      <c r="AV61" s="342">
        <v>3864.1037318245099</v>
      </c>
      <c r="AW61" s="342">
        <v>4177.4094398102816</v>
      </c>
      <c r="AX61" s="342">
        <v>4490.7151477960524</v>
      </c>
      <c r="AY61" s="342">
        <v>4699.585619786566</v>
      </c>
      <c r="AZ61" s="342">
        <v>4595.1503837913087</v>
      </c>
      <c r="BA61" s="342">
        <v>4542.9327657936801</v>
      </c>
      <c r="BB61" s="342">
        <v>4177.4094398102816</v>
      </c>
      <c r="BC61" s="342">
        <v>4699.585619786566</v>
      </c>
      <c r="BD61" s="342">
        <v>4804.0208557818232</v>
      </c>
      <c r="BE61" s="342">
        <v>4386.2799118007952</v>
      </c>
      <c r="BF61" s="342">
        <v>4072.9742038150239</v>
      </c>
      <c r="BG61" s="343">
        <v>52217.617997628513</v>
      </c>
      <c r="BH61" s="513">
        <f t="shared" si="7"/>
        <v>-12</v>
      </c>
      <c r="BI61" s="513">
        <f t="shared" si="8"/>
        <v>0</v>
      </c>
    </row>
    <row r="62" spans="2:61" x14ac:dyDescent="0.25">
      <c r="B62" s="339">
        <v>13079</v>
      </c>
      <c r="C62" s="356"/>
      <c r="D62" s="409" t="s">
        <v>553</v>
      </c>
      <c r="E62" s="342">
        <f>IFERROR(VLOOKUP(B62,BDFD!$B:$BG,38,FALSE),0)</f>
        <v>0</v>
      </c>
      <c r="F62" s="342">
        <f>IFERROR(VLOOKUP(B62,BDFD!$B:$BG,41,FALSE),0)</f>
        <v>-3</v>
      </c>
      <c r="G62" s="342">
        <f>IFERROR(VLOOKUP(B62,BDFD!$B:$BG,44,FALSE),0)</f>
        <v>-1370</v>
      </c>
      <c r="H62" s="342">
        <f>IFERROR(VLOOKUP(B62,BDFD!$B:$BG,47,FALSE),0)</f>
        <v>-886</v>
      </c>
      <c r="I62" s="342">
        <f>IFERROR(VLOOKUP(B62,BDFD!$B:$BG,50,FALSE),0)</f>
        <v>-655</v>
      </c>
      <c r="J62" s="342">
        <f>IFERROR(VLOOKUP(B62,BDFD!$B:$BG,53,FALSE),0)</f>
        <v>-64</v>
      </c>
      <c r="K62" s="342">
        <f>IFERROR(VLOOKUP(B62,BDFD!$B:$BG,56,FALSE),0)</f>
        <v>-9</v>
      </c>
      <c r="L62" s="342">
        <v>0</v>
      </c>
      <c r="M62" s="342">
        <v>0</v>
      </c>
      <c r="N62" s="342">
        <v>0</v>
      </c>
      <c r="O62" s="342">
        <v>0</v>
      </c>
      <c r="P62" s="342">
        <v>0</v>
      </c>
      <c r="Q62" s="343">
        <f t="shared" si="6"/>
        <v>-2987</v>
      </c>
      <c r="R62" s="403"/>
      <c r="S62" s="344">
        <v>0</v>
      </c>
      <c r="T62" s="344">
        <v>12.688256666666669</v>
      </c>
      <c r="U62" s="344">
        <v>12.688256666666669</v>
      </c>
      <c r="V62" s="344">
        <v>11.62</v>
      </c>
      <c r="W62" s="344"/>
      <c r="X62" s="346">
        <v>0</v>
      </c>
      <c r="Y62" s="347">
        <v>0.3</v>
      </c>
      <c r="Z62" s="339">
        <v>13079</v>
      </c>
      <c r="AA62" s="402"/>
      <c r="AB62" s="401" t="s">
        <v>553</v>
      </c>
      <c r="AC62" s="342">
        <v>0</v>
      </c>
      <c r="AD62" s="342">
        <v>0</v>
      </c>
      <c r="AE62" s="342">
        <v>0</v>
      </c>
      <c r="AF62" s="342">
        <v>0</v>
      </c>
      <c r="AG62" s="342">
        <v>0</v>
      </c>
      <c r="AH62" s="342">
        <v>0</v>
      </c>
      <c r="AI62" s="342">
        <v>0</v>
      </c>
      <c r="AJ62" s="342">
        <v>0</v>
      </c>
      <c r="AK62" s="342">
        <v>0</v>
      </c>
      <c r="AL62" s="342">
        <v>0</v>
      </c>
      <c r="AM62" s="342">
        <v>0</v>
      </c>
      <c r="AN62" s="342">
        <v>0</v>
      </c>
      <c r="AO62" s="343">
        <v>0</v>
      </c>
      <c r="AP62" s="346">
        <v>0</v>
      </c>
      <c r="AQ62" s="346"/>
      <c r="AR62" s="339">
        <v>13079</v>
      </c>
      <c r="AS62" s="402"/>
      <c r="AT62" s="401" t="s">
        <v>553</v>
      </c>
      <c r="AU62" s="342">
        <v>0</v>
      </c>
      <c r="AV62" s="342">
        <v>0</v>
      </c>
      <c r="AW62" s="342">
        <v>0</v>
      </c>
      <c r="AX62" s="342">
        <v>0</v>
      </c>
      <c r="AY62" s="342">
        <v>0</v>
      </c>
      <c r="AZ62" s="342">
        <v>0</v>
      </c>
      <c r="BA62" s="342">
        <v>0</v>
      </c>
      <c r="BB62" s="342">
        <v>0</v>
      </c>
      <c r="BC62" s="342">
        <v>0</v>
      </c>
      <c r="BD62" s="342">
        <v>0</v>
      </c>
      <c r="BE62" s="342">
        <v>0</v>
      </c>
      <c r="BF62" s="342">
        <v>0</v>
      </c>
      <c r="BG62" s="343">
        <v>0</v>
      </c>
      <c r="BH62" s="513">
        <f t="shared" si="7"/>
        <v>-2987</v>
      </c>
      <c r="BI62" s="513">
        <f t="shared" si="8"/>
        <v>0</v>
      </c>
    </row>
    <row r="63" spans="2:61" x14ac:dyDescent="0.25">
      <c r="B63" s="339">
        <v>13049</v>
      </c>
      <c r="C63" s="356"/>
      <c r="D63" s="409" t="s">
        <v>712</v>
      </c>
      <c r="E63" s="342">
        <f>IFERROR(VLOOKUP(B63,BDFD!$B:$BG,38,FALSE),0)</f>
        <v>0</v>
      </c>
      <c r="F63" s="342">
        <f>IFERROR(VLOOKUP(B63,BDFD!$B:$BG,41,FALSE),0)</f>
        <v>0</v>
      </c>
      <c r="G63" s="342">
        <f>IFERROR(VLOOKUP(B63,BDFD!$B:$BG,44,FALSE),0)</f>
        <v>0</v>
      </c>
      <c r="H63" s="342">
        <f>IFERROR(VLOOKUP(B63,BDFD!$B:$BG,47,FALSE),0)</f>
        <v>0</v>
      </c>
      <c r="I63" s="342">
        <f>IFERROR(VLOOKUP(B63,BDFD!$B:$BG,50,FALSE),0)</f>
        <v>0</v>
      </c>
      <c r="J63" s="342">
        <f>IFERROR(VLOOKUP(B63,BDFD!$B:$BG,53,FALSE),0)</f>
        <v>0</v>
      </c>
      <c r="K63" s="342">
        <f>IFERROR(VLOOKUP(B63,BDFD!$B:$BG,56,FALSE),0)</f>
        <v>0</v>
      </c>
      <c r="L63" s="342">
        <v>0</v>
      </c>
      <c r="M63" s="342">
        <v>0</v>
      </c>
      <c r="N63" s="342">
        <v>0</v>
      </c>
      <c r="O63" s="342">
        <v>0</v>
      </c>
      <c r="P63" s="342">
        <v>0</v>
      </c>
      <c r="Q63" s="343">
        <f t="shared" si="6"/>
        <v>0</v>
      </c>
      <c r="R63" s="404"/>
      <c r="S63" s="344"/>
      <c r="T63" s="344"/>
      <c r="U63" s="344"/>
      <c r="V63" s="344"/>
      <c r="W63" s="344"/>
      <c r="X63" s="346"/>
      <c r="Y63" s="347"/>
      <c r="Z63" s="339"/>
      <c r="AA63" s="518"/>
      <c r="AB63" s="401"/>
      <c r="AC63" s="342"/>
      <c r="AD63" s="342"/>
      <c r="AE63" s="342"/>
      <c r="AF63" s="342"/>
      <c r="AG63" s="342"/>
      <c r="AH63" s="342"/>
      <c r="AI63" s="342"/>
      <c r="AJ63" s="342"/>
      <c r="AK63" s="342"/>
      <c r="AL63" s="342"/>
      <c r="AM63" s="342"/>
      <c r="AN63" s="342"/>
      <c r="AO63" s="343"/>
      <c r="AP63" s="346"/>
      <c r="AQ63" s="346"/>
      <c r="AR63" s="339"/>
      <c r="AS63" s="518"/>
      <c r="AT63" s="401"/>
      <c r="AU63" s="342"/>
      <c r="AV63" s="342"/>
      <c r="AW63" s="342"/>
      <c r="AX63" s="342"/>
      <c r="AY63" s="342"/>
      <c r="AZ63" s="342"/>
      <c r="BA63" s="342"/>
      <c r="BB63" s="342"/>
      <c r="BC63" s="342"/>
      <c r="BD63" s="342"/>
      <c r="BE63" s="342"/>
      <c r="BF63" s="342"/>
      <c r="BG63" s="343"/>
      <c r="BH63" s="513">
        <f t="shared" si="7"/>
        <v>0</v>
      </c>
      <c r="BI63" s="513">
        <f t="shared" si="8"/>
        <v>0</v>
      </c>
    </row>
    <row r="64" spans="2:61" x14ac:dyDescent="0.25">
      <c r="B64" s="339">
        <v>13159</v>
      </c>
      <c r="C64" s="519"/>
      <c r="D64" s="409" t="s">
        <v>713</v>
      </c>
      <c r="E64" s="342">
        <f>IFERROR(VLOOKUP(B64,BDFD!$B:$BG,38,FALSE),0)</f>
        <v>0</v>
      </c>
      <c r="F64" s="342">
        <f>IFERROR(VLOOKUP(B64,BDFD!$B:$BG,41,FALSE),0)</f>
        <v>0</v>
      </c>
      <c r="G64" s="342">
        <f>IFERROR(VLOOKUP(B64,BDFD!$B:$BG,44,FALSE),0)</f>
        <v>4498</v>
      </c>
      <c r="H64" s="342">
        <f>IFERROR(VLOOKUP(B64,BDFD!$B:$BG,47,FALSE),0)</f>
        <v>11650</v>
      </c>
      <c r="I64" s="342">
        <f>IFERROR(VLOOKUP(B64,BDFD!$B:$BG,50,FALSE),0)</f>
        <v>7508</v>
      </c>
      <c r="J64" s="342">
        <f>IFERROR(VLOOKUP(B64,BDFD!$B:$BG,53,FALSE),0)</f>
        <v>3132</v>
      </c>
      <c r="K64" s="342">
        <f>IFERROR(VLOOKUP(B64,BDFD!$B:$BG,56,FALSE),0)</f>
        <v>4536</v>
      </c>
      <c r="L64" s="342">
        <v>4500</v>
      </c>
      <c r="M64" s="342">
        <v>4800</v>
      </c>
      <c r="N64" s="342">
        <v>4800</v>
      </c>
      <c r="O64" s="342">
        <v>5200</v>
      </c>
      <c r="P64" s="342">
        <v>4800</v>
      </c>
      <c r="Q64" s="343">
        <f t="shared" si="6"/>
        <v>55424</v>
      </c>
      <c r="R64" s="404"/>
      <c r="S64" s="344"/>
      <c r="T64" s="344"/>
      <c r="U64" s="344"/>
      <c r="V64" s="344"/>
      <c r="W64" s="344"/>
      <c r="X64" s="346"/>
      <c r="Y64" s="347"/>
      <c r="Z64" s="339"/>
      <c r="AA64" s="518"/>
      <c r="AB64" s="401"/>
      <c r="AC64" s="342"/>
      <c r="AD64" s="342"/>
      <c r="AE64" s="342"/>
      <c r="AF64" s="342"/>
      <c r="AG64" s="342"/>
      <c r="AH64" s="342"/>
      <c r="AI64" s="342"/>
      <c r="AJ64" s="342"/>
      <c r="AK64" s="342"/>
      <c r="AL64" s="342"/>
      <c r="AM64" s="342"/>
      <c r="AN64" s="342"/>
      <c r="AO64" s="343"/>
      <c r="AP64" s="346"/>
      <c r="AQ64" s="346"/>
      <c r="AR64" s="339"/>
      <c r="AS64" s="518"/>
      <c r="AT64" s="401"/>
      <c r="AU64" s="342"/>
      <c r="AV64" s="342"/>
      <c r="AW64" s="342"/>
      <c r="AX64" s="342"/>
      <c r="AY64" s="342"/>
      <c r="AZ64" s="342"/>
      <c r="BA64" s="342"/>
      <c r="BB64" s="342"/>
      <c r="BC64" s="342"/>
      <c r="BD64" s="342"/>
      <c r="BE64" s="342"/>
      <c r="BF64" s="342"/>
      <c r="BG64" s="343"/>
      <c r="BH64" s="513">
        <f t="shared" si="7"/>
        <v>31324</v>
      </c>
      <c r="BI64" s="513">
        <f t="shared" si="8"/>
        <v>24100</v>
      </c>
    </row>
    <row r="65" spans="2:75" x14ac:dyDescent="0.25">
      <c r="B65" s="339">
        <v>13038</v>
      </c>
      <c r="C65" s="369" t="s">
        <v>82</v>
      </c>
      <c r="D65" s="401" t="s">
        <v>83</v>
      </c>
      <c r="E65" s="342">
        <f>IFERROR(VLOOKUP(B65,BDFD!$B:$BG,38,FALSE),0)</f>
        <v>869</v>
      </c>
      <c r="F65" s="342">
        <f>IFERROR(VLOOKUP(B65,BDFD!$B:$BG,41,FALSE),0)</f>
        <v>1340</v>
      </c>
      <c r="G65" s="342">
        <f>IFERROR(VLOOKUP(B65,BDFD!$B:$BG,44,FALSE),0)</f>
        <v>1600</v>
      </c>
      <c r="H65" s="342">
        <f>IFERROR(VLOOKUP(B65,BDFD!$B:$BG,47,FALSE),0)</f>
        <v>2450</v>
      </c>
      <c r="I65" s="342">
        <f>IFERROR(VLOOKUP(B65,BDFD!$B:$BG,50,FALSE),0)</f>
        <v>1976</v>
      </c>
      <c r="J65" s="342">
        <f>IFERROR(VLOOKUP(B65,BDFD!$B:$BG,53,FALSE),0)</f>
        <v>610</v>
      </c>
      <c r="K65" s="342">
        <f>IFERROR(VLOOKUP(B65,BDFD!$B:$BG,56,FALSE),0)</f>
        <v>1363</v>
      </c>
      <c r="L65" s="342">
        <v>1500</v>
      </c>
      <c r="M65" s="342">
        <v>1700</v>
      </c>
      <c r="N65" s="342">
        <v>1700</v>
      </c>
      <c r="O65" s="342">
        <v>1700</v>
      </c>
      <c r="P65" s="342">
        <v>1700</v>
      </c>
      <c r="Q65" s="343">
        <f t="shared" si="6"/>
        <v>18508</v>
      </c>
      <c r="R65" s="404"/>
      <c r="S65" s="344">
        <v>30.343438905367908</v>
      </c>
      <c r="T65" s="344">
        <v>23.252527233115469</v>
      </c>
      <c r="U65" s="344">
        <v>30.56491466666667</v>
      </c>
      <c r="V65" s="344">
        <v>5.375</v>
      </c>
      <c r="W65" s="344"/>
      <c r="X65" s="346">
        <v>3060.5094358490032</v>
      </c>
      <c r="Y65" s="347">
        <v>0.15</v>
      </c>
      <c r="Z65" s="339">
        <v>13038</v>
      </c>
      <c r="AA65" s="398" t="s">
        <v>82</v>
      </c>
      <c r="AB65" s="401" t="s">
        <v>83</v>
      </c>
      <c r="AC65" s="348">
        <v>217.29616994527925</v>
      </c>
      <c r="AD65" s="342">
        <v>226.47769825282629</v>
      </c>
      <c r="AE65" s="342">
        <v>244.84075486792028</v>
      </c>
      <c r="AF65" s="342">
        <v>263.20381148301431</v>
      </c>
      <c r="AG65" s="342">
        <v>275.4458492264103</v>
      </c>
      <c r="AH65" s="342">
        <v>269.32483035471233</v>
      </c>
      <c r="AI65" s="342">
        <v>266.26432091886329</v>
      </c>
      <c r="AJ65" s="342">
        <v>244.84075486792028</v>
      </c>
      <c r="AK65" s="342">
        <v>275.4458492264103</v>
      </c>
      <c r="AL65" s="342">
        <v>281.56686809810833</v>
      </c>
      <c r="AM65" s="342">
        <v>257.08279261131634</v>
      </c>
      <c r="AN65" s="342">
        <v>238.71973599622228</v>
      </c>
      <c r="AO65" s="343">
        <v>3060.5094358490037</v>
      </c>
      <c r="AP65" s="346">
        <v>0</v>
      </c>
      <c r="AQ65" s="346"/>
      <c r="AR65" s="339">
        <v>13038</v>
      </c>
      <c r="AS65" s="398" t="s">
        <v>82</v>
      </c>
      <c r="AT65" s="401" t="s">
        <v>83</v>
      </c>
      <c r="AU65" s="342">
        <v>1665.9373029138076</v>
      </c>
      <c r="AV65" s="342">
        <v>1736.3290199383348</v>
      </c>
      <c r="AW65" s="342">
        <v>1877.112453987389</v>
      </c>
      <c r="AX65" s="342">
        <v>2017.895888036443</v>
      </c>
      <c r="AY65" s="342">
        <v>2111.7515107358126</v>
      </c>
      <c r="AZ65" s="342">
        <v>2064.8236993861278</v>
      </c>
      <c r="BA65" s="342">
        <v>2041.3597937112854</v>
      </c>
      <c r="BB65" s="342">
        <v>1877.112453987389</v>
      </c>
      <c r="BC65" s="342">
        <v>2111.7515107358126</v>
      </c>
      <c r="BD65" s="342">
        <v>2158.6793220854975</v>
      </c>
      <c r="BE65" s="342">
        <v>1970.9680766867586</v>
      </c>
      <c r="BF65" s="342">
        <v>1830.1846426377042</v>
      </c>
      <c r="BG65" s="343">
        <v>23463.905674842365</v>
      </c>
      <c r="BH65" s="513">
        <f t="shared" si="7"/>
        <v>10208</v>
      </c>
      <c r="BI65" s="513">
        <f t="shared" si="8"/>
        <v>8300</v>
      </c>
    </row>
    <row r="66" spans="2:75" x14ac:dyDescent="0.25">
      <c r="B66" s="339">
        <v>13060</v>
      </c>
      <c r="C66" s="374" t="s">
        <v>69</v>
      </c>
      <c r="D66" s="401" t="s">
        <v>70</v>
      </c>
      <c r="E66" s="342">
        <f>IFERROR(VLOOKUP(B66,BDFD!$B:$BG,38,FALSE),0)</f>
        <v>1543</v>
      </c>
      <c r="F66" s="342">
        <f>IFERROR(VLOOKUP(B66,BDFD!$B:$BG,41,FALSE),0)</f>
        <v>3750</v>
      </c>
      <c r="G66" s="342">
        <f>IFERROR(VLOOKUP(B66,BDFD!$B:$BG,44,FALSE),0)</f>
        <v>6043</v>
      </c>
      <c r="H66" s="342">
        <f>IFERROR(VLOOKUP(B66,BDFD!$B:$BG,47,FALSE),0)</f>
        <v>2304</v>
      </c>
      <c r="I66" s="342">
        <f>IFERROR(VLOOKUP(B66,BDFD!$B:$BG,50,FALSE),0)</f>
        <v>3222</v>
      </c>
      <c r="J66" s="342">
        <f>IFERROR(VLOOKUP(B66,BDFD!$B:$BG,53,FALSE),0)</f>
        <v>5718</v>
      </c>
      <c r="K66" s="342">
        <f>IFERROR(VLOOKUP(B66,BDFD!$B:$BG,56,FALSE),0)</f>
        <v>0</v>
      </c>
      <c r="L66" s="342">
        <v>0</v>
      </c>
      <c r="M66" s="342">
        <v>0</v>
      </c>
      <c r="N66" s="342">
        <v>0</v>
      </c>
      <c r="O66" s="342">
        <v>0</v>
      </c>
      <c r="P66" s="342">
        <v>0</v>
      </c>
      <c r="Q66" s="343">
        <f t="shared" si="6"/>
        <v>22580</v>
      </c>
      <c r="R66" s="403"/>
      <c r="S66" s="344">
        <v>12.445229760000002</v>
      </c>
      <c r="T66" s="344">
        <v>8.6089691170073941</v>
      </c>
      <c r="U66" s="344">
        <v>8.4824000000000002</v>
      </c>
      <c r="V66" s="344">
        <v>6.7</v>
      </c>
      <c r="W66" s="344">
        <v>2.87</v>
      </c>
      <c r="X66" s="346">
        <v>2854.7678670134424</v>
      </c>
      <c r="Y66" s="347">
        <v>0.15</v>
      </c>
      <c r="Z66" s="339">
        <v>13060</v>
      </c>
      <c r="AA66" s="374" t="s">
        <v>69</v>
      </c>
      <c r="AB66" s="401" t="s">
        <v>70</v>
      </c>
      <c r="AC66" s="348">
        <v>202.68851855795438</v>
      </c>
      <c r="AD66" s="342">
        <v>211.25282215899472</v>
      </c>
      <c r="AE66" s="342">
        <v>228.38142936107542</v>
      </c>
      <c r="AF66" s="342">
        <v>245.51003656315601</v>
      </c>
      <c r="AG66" s="342">
        <v>256.92910803120981</v>
      </c>
      <c r="AH66" s="342">
        <v>251.21957229718291</v>
      </c>
      <c r="AI66" s="342">
        <v>248.36480443016947</v>
      </c>
      <c r="AJ66" s="342">
        <v>228.38142936107542</v>
      </c>
      <c r="AK66" s="342">
        <v>256.92910803120981</v>
      </c>
      <c r="AL66" s="342">
        <v>262.63864376523668</v>
      </c>
      <c r="AM66" s="342">
        <v>239.80050082912916</v>
      </c>
      <c r="AN66" s="342">
        <v>222.67189362704852</v>
      </c>
      <c r="AO66" s="343">
        <v>2854.7678670134424</v>
      </c>
      <c r="AP66" s="346">
        <v>0</v>
      </c>
      <c r="AQ66" s="346"/>
      <c r="AR66" s="339">
        <v>13060</v>
      </c>
      <c r="AS66" s="374" t="s">
        <v>69</v>
      </c>
      <c r="AT66" s="401" t="s">
        <v>70</v>
      </c>
      <c r="AU66" s="342">
        <v>1553.945308944317</v>
      </c>
      <c r="AV66" s="342">
        <v>1619.6049698856264</v>
      </c>
      <c r="AW66" s="342">
        <v>1750.9242917682448</v>
      </c>
      <c r="AX66" s="342">
        <v>1882.2436136508629</v>
      </c>
      <c r="AY66" s="342">
        <v>1969.7898282392753</v>
      </c>
      <c r="AZ66" s="342">
        <v>1926.016720945069</v>
      </c>
      <c r="BA66" s="342">
        <v>1904.130167297966</v>
      </c>
      <c r="BB66" s="342">
        <v>1750.9242917682448</v>
      </c>
      <c r="BC66" s="342">
        <v>1969.7898282392753</v>
      </c>
      <c r="BD66" s="342">
        <v>2013.5629355334813</v>
      </c>
      <c r="BE66" s="342">
        <v>1838.4705063566569</v>
      </c>
      <c r="BF66" s="342">
        <v>1707.1511844740387</v>
      </c>
      <c r="BG66" s="343">
        <v>21886.553647103061</v>
      </c>
      <c r="BH66" s="513">
        <f t="shared" si="7"/>
        <v>22580</v>
      </c>
      <c r="BI66" s="513">
        <f t="shared" si="8"/>
        <v>0</v>
      </c>
    </row>
    <row r="67" spans="2:75" x14ac:dyDescent="0.25">
      <c r="B67" s="339">
        <v>13061</v>
      </c>
      <c r="C67" s="363"/>
      <c r="D67" s="401" t="s">
        <v>71</v>
      </c>
      <c r="E67" s="342">
        <f>IFERROR(VLOOKUP(B67,BDFD!$B:$BG,38,FALSE),0)</f>
        <v>3070</v>
      </c>
      <c r="F67" s="342">
        <f>IFERROR(VLOOKUP(B67,BDFD!$B:$BG,41,FALSE),0)</f>
        <v>4700</v>
      </c>
      <c r="G67" s="342">
        <f>IFERROR(VLOOKUP(B67,BDFD!$B:$BG,44,FALSE),0)</f>
        <v>3578</v>
      </c>
      <c r="H67" s="342">
        <f>IFERROR(VLOOKUP(B67,BDFD!$B:$BG,47,FALSE),0)</f>
        <v>11227</v>
      </c>
      <c r="I67" s="342">
        <f>IFERROR(VLOOKUP(B67,BDFD!$B:$BG,50,FALSE),0)</f>
        <v>4920</v>
      </c>
      <c r="J67" s="342">
        <f>IFERROR(VLOOKUP(B67,BDFD!$B:$BG,53,FALSE),0)</f>
        <v>1846</v>
      </c>
      <c r="K67" s="342">
        <f>IFERROR(VLOOKUP(B67,BDFD!$B:$BG,56,FALSE),0)</f>
        <v>-22</v>
      </c>
      <c r="L67" s="342">
        <v>0</v>
      </c>
      <c r="M67" s="342">
        <v>0</v>
      </c>
      <c r="N67" s="342">
        <v>0</v>
      </c>
      <c r="O67" s="342">
        <v>0</v>
      </c>
      <c r="P67" s="342">
        <v>0</v>
      </c>
      <c r="Q67" s="343">
        <f t="shared" si="6"/>
        <v>29319</v>
      </c>
      <c r="R67" s="400"/>
      <c r="S67" s="344">
        <v>3.1028066000000001</v>
      </c>
      <c r="T67" s="344">
        <v>2.0681642596137113</v>
      </c>
      <c r="U67" s="344">
        <v>2.1206</v>
      </c>
      <c r="V67" s="344">
        <v>1.83</v>
      </c>
      <c r="W67" s="344">
        <v>0.91</v>
      </c>
      <c r="X67" s="346">
        <v>8260.9466240596903</v>
      </c>
      <c r="Y67" s="347">
        <v>0.15</v>
      </c>
      <c r="Z67" s="339">
        <v>13061</v>
      </c>
      <c r="AA67" s="363"/>
      <c r="AB67" s="401" t="s">
        <v>71</v>
      </c>
      <c r="AC67" s="348">
        <v>586.52721030823807</v>
      </c>
      <c r="AD67" s="342">
        <v>611.31005018041708</v>
      </c>
      <c r="AE67" s="342">
        <v>660.87572992477533</v>
      </c>
      <c r="AF67" s="342">
        <v>710.44140966913346</v>
      </c>
      <c r="AG67" s="342">
        <v>743.48519616537226</v>
      </c>
      <c r="AH67" s="342">
        <v>726.9633029172528</v>
      </c>
      <c r="AI67" s="342">
        <v>718.70235629319302</v>
      </c>
      <c r="AJ67" s="342">
        <v>660.87572992477533</v>
      </c>
      <c r="AK67" s="342">
        <v>743.48519616537226</v>
      </c>
      <c r="AL67" s="342">
        <v>760.0070894134916</v>
      </c>
      <c r="AM67" s="342">
        <v>693.91951642101401</v>
      </c>
      <c r="AN67" s="342">
        <v>644.35383667665587</v>
      </c>
      <c r="AO67" s="343">
        <v>8260.9466240596903</v>
      </c>
      <c r="AP67" s="346">
        <v>0</v>
      </c>
      <c r="AQ67" s="346"/>
      <c r="AR67" s="339">
        <v>13061</v>
      </c>
      <c r="AS67" s="363"/>
      <c r="AT67" s="401" t="s">
        <v>71</v>
      </c>
      <c r="AU67" s="342">
        <v>4496.7086123631589</v>
      </c>
      <c r="AV67" s="342">
        <v>4686.7103847165317</v>
      </c>
      <c r="AW67" s="342">
        <v>5066.7139294232775</v>
      </c>
      <c r="AX67" s="342">
        <v>5446.7174741300232</v>
      </c>
      <c r="AY67" s="342">
        <v>5700.053170601187</v>
      </c>
      <c r="AZ67" s="342">
        <v>5573.3853223656051</v>
      </c>
      <c r="BA67" s="342">
        <v>5510.0513982478133</v>
      </c>
      <c r="BB67" s="342">
        <v>5066.7139294232775</v>
      </c>
      <c r="BC67" s="342">
        <v>5700.053170601187</v>
      </c>
      <c r="BD67" s="342">
        <v>5826.721018836769</v>
      </c>
      <c r="BE67" s="342">
        <v>5320.0496258944413</v>
      </c>
      <c r="BF67" s="342">
        <v>4940.0460811876956</v>
      </c>
      <c r="BG67" s="343">
        <v>63333.924117790964</v>
      </c>
      <c r="BH67" s="513">
        <f t="shared" si="7"/>
        <v>29319</v>
      </c>
      <c r="BI67" s="513">
        <f t="shared" si="8"/>
        <v>0</v>
      </c>
    </row>
    <row r="68" spans="2:75" x14ac:dyDescent="0.25">
      <c r="B68" s="339">
        <v>13062</v>
      </c>
      <c r="C68" s="363"/>
      <c r="D68" s="401" t="s">
        <v>72</v>
      </c>
      <c r="E68" s="342">
        <f>IFERROR(VLOOKUP(B68,BDFD!$B:$BG,38,FALSE),0)</f>
        <v>8101</v>
      </c>
      <c r="F68" s="342">
        <f>IFERROR(VLOOKUP(B68,BDFD!$B:$BG,41,FALSE),0)</f>
        <v>7950</v>
      </c>
      <c r="G68" s="342">
        <f>IFERROR(VLOOKUP(B68,BDFD!$B:$BG,44,FALSE),0)</f>
        <v>10300</v>
      </c>
      <c r="H68" s="342">
        <f>IFERROR(VLOOKUP(B68,BDFD!$B:$BG,47,FALSE),0)</f>
        <v>-13</v>
      </c>
      <c r="I68" s="342">
        <f>IFERROR(VLOOKUP(B68,BDFD!$B:$BG,50,FALSE),0)</f>
        <v>15808</v>
      </c>
      <c r="J68" s="342">
        <f>IFERROR(VLOOKUP(B68,BDFD!$B:$BG,53,FALSE),0)</f>
        <v>5586</v>
      </c>
      <c r="K68" s="342">
        <f>IFERROR(VLOOKUP(B68,BDFD!$B:$BG,56,FALSE),0)</f>
        <v>6707</v>
      </c>
      <c r="L68" s="342">
        <v>7500</v>
      </c>
      <c r="M68" s="342">
        <v>7500</v>
      </c>
      <c r="N68" s="342">
        <v>7500</v>
      </c>
      <c r="O68" s="342">
        <v>8000</v>
      </c>
      <c r="P68" s="342">
        <v>7000</v>
      </c>
      <c r="Q68" s="343">
        <f t="shared" si="6"/>
        <v>91939</v>
      </c>
      <c r="R68" s="400"/>
      <c r="S68" s="344">
        <v>3.9783931200000002</v>
      </c>
      <c r="T68" s="344">
        <v>2.918895833333333</v>
      </c>
      <c r="U68" s="344">
        <v>2.827466666666667</v>
      </c>
      <c r="V68" s="344">
        <v>2.6</v>
      </c>
      <c r="W68" s="344">
        <v>0.89</v>
      </c>
      <c r="X68" s="346">
        <v>9394.9773214791185</v>
      </c>
      <c r="Y68" s="347">
        <v>0.15</v>
      </c>
      <c r="Z68" s="339">
        <v>13062</v>
      </c>
      <c r="AA68" s="363"/>
      <c r="AB68" s="401" t="s">
        <v>72</v>
      </c>
      <c r="AC68" s="348">
        <v>667.04338982501724</v>
      </c>
      <c r="AD68" s="342">
        <v>695.22832178945464</v>
      </c>
      <c r="AE68" s="342">
        <v>751.59818571832943</v>
      </c>
      <c r="AF68" s="342">
        <v>807.96804964720388</v>
      </c>
      <c r="AG68" s="342">
        <v>845.54795893312053</v>
      </c>
      <c r="AH68" s="342">
        <v>826.75800429016226</v>
      </c>
      <c r="AI68" s="342">
        <v>817.36302696868302</v>
      </c>
      <c r="AJ68" s="342">
        <v>751.59818571832943</v>
      </c>
      <c r="AK68" s="342">
        <v>845.54795893312053</v>
      </c>
      <c r="AL68" s="342">
        <v>864.33791357607868</v>
      </c>
      <c r="AM68" s="342">
        <v>789.17809500424585</v>
      </c>
      <c r="AN68" s="342">
        <v>732.80823107537105</v>
      </c>
      <c r="AO68" s="343">
        <v>9394.9773214791167</v>
      </c>
      <c r="AP68" s="346">
        <v>0</v>
      </c>
      <c r="AQ68" s="346"/>
      <c r="AR68" s="339">
        <v>13062</v>
      </c>
      <c r="AS68" s="363"/>
      <c r="AT68" s="401" t="s">
        <v>72</v>
      </c>
      <c r="AU68" s="342">
        <v>5113.9993219917997</v>
      </c>
      <c r="AV68" s="342">
        <v>5330.0838003858189</v>
      </c>
      <c r="AW68" s="342">
        <v>5762.2527571738592</v>
      </c>
      <c r="AX68" s="342">
        <v>6194.4217139618968</v>
      </c>
      <c r="AY68" s="342">
        <v>6482.5343518205909</v>
      </c>
      <c r="AZ68" s="342">
        <v>6338.4780328912439</v>
      </c>
      <c r="BA68" s="342">
        <v>6266.4498734265699</v>
      </c>
      <c r="BB68" s="342">
        <v>5762.2527571738592</v>
      </c>
      <c r="BC68" s="342">
        <v>6482.5343518205909</v>
      </c>
      <c r="BD68" s="342">
        <v>6626.5906707499371</v>
      </c>
      <c r="BE68" s="342">
        <v>6050.3653950325515</v>
      </c>
      <c r="BF68" s="342">
        <v>5618.1964382445112</v>
      </c>
      <c r="BG68" s="343">
        <v>72028.159464673241</v>
      </c>
      <c r="BH68" s="513">
        <f t="shared" si="7"/>
        <v>54439</v>
      </c>
      <c r="BI68" s="513">
        <f t="shared" si="8"/>
        <v>37500</v>
      </c>
    </row>
    <row r="69" spans="2:75" x14ac:dyDescent="0.25">
      <c r="B69" s="339">
        <v>13063</v>
      </c>
      <c r="C69" s="363"/>
      <c r="D69" s="401" t="s">
        <v>73</v>
      </c>
      <c r="E69" s="342">
        <f>IFERROR(VLOOKUP(B69,BDFD!$B:$BG,38,FALSE),0)</f>
        <v>4400</v>
      </c>
      <c r="F69" s="342">
        <f>IFERROR(VLOOKUP(B69,BDFD!$B:$BG,41,FALSE),0)</f>
        <v>5991</v>
      </c>
      <c r="G69" s="342">
        <f>IFERROR(VLOOKUP(B69,BDFD!$B:$BG,44,FALSE),0)</f>
        <v>4998</v>
      </c>
      <c r="H69" s="342">
        <f>IFERROR(VLOOKUP(B69,BDFD!$B:$BG,47,FALSE),0)</f>
        <v>4706</v>
      </c>
      <c r="I69" s="342">
        <f>IFERROR(VLOOKUP(B69,BDFD!$B:$BG,50,FALSE),0)</f>
        <v>6150</v>
      </c>
      <c r="J69" s="342">
        <f>IFERROR(VLOOKUP(B69,BDFD!$B:$BG,53,FALSE),0)</f>
        <v>8863</v>
      </c>
      <c r="K69" s="342">
        <f>IFERROR(VLOOKUP(B69,BDFD!$B:$BG,56,FALSE),0)</f>
        <v>2640</v>
      </c>
      <c r="L69" s="342">
        <v>5500</v>
      </c>
      <c r="M69" s="342">
        <v>5500</v>
      </c>
      <c r="N69" s="342">
        <v>5500</v>
      </c>
      <c r="O69" s="342">
        <v>6000</v>
      </c>
      <c r="P69" s="342">
        <v>5500</v>
      </c>
      <c r="Q69" s="343">
        <f t="shared" si="6"/>
        <v>65748</v>
      </c>
      <c r="R69" s="400"/>
      <c r="S69" s="344">
        <v>19.874963920000003</v>
      </c>
      <c r="T69" s="344">
        <v>14.295448413306762</v>
      </c>
      <c r="U69" s="344">
        <v>14.137333333333336</v>
      </c>
      <c r="V69" s="344">
        <v>12.92</v>
      </c>
      <c r="W69" s="344">
        <v>3.39</v>
      </c>
      <c r="X69" s="346">
        <v>8420.2776462067741</v>
      </c>
      <c r="Y69" s="347">
        <v>0.15</v>
      </c>
      <c r="Z69" s="339">
        <v>13063</v>
      </c>
      <c r="AA69" s="363"/>
      <c r="AB69" s="401" t="s">
        <v>73</v>
      </c>
      <c r="AC69" s="348">
        <v>597.83971288068085</v>
      </c>
      <c r="AD69" s="342">
        <v>623.10054581930103</v>
      </c>
      <c r="AE69" s="342">
        <v>673.62221169654185</v>
      </c>
      <c r="AF69" s="342">
        <v>724.14387757378233</v>
      </c>
      <c r="AG69" s="342">
        <v>757.82498815860947</v>
      </c>
      <c r="AH69" s="342">
        <v>740.9844328661959</v>
      </c>
      <c r="AI69" s="342">
        <v>732.56415521998917</v>
      </c>
      <c r="AJ69" s="342">
        <v>673.62221169654185</v>
      </c>
      <c r="AK69" s="342">
        <v>757.82498815860947</v>
      </c>
      <c r="AL69" s="342">
        <v>774.66554345102315</v>
      </c>
      <c r="AM69" s="342">
        <v>707.30332228136888</v>
      </c>
      <c r="AN69" s="342">
        <v>656.78165640412828</v>
      </c>
      <c r="AO69" s="343">
        <v>8420.2776462067723</v>
      </c>
      <c r="AP69" s="346">
        <v>0</v>
      </c>
      <c r="AQ69" s="346"/>
      <c r="AR69" s="339">
        <v>13063</v>
      </c>
      <c r="AS69" s="363"/>
      <c r="AT69" s="401" t="s">
        <v>73</v>
      </c>
      <c r="AU69" s="342">
        <v>4583.4377987518865</v>
      </c>
      <c r="AV69" s="342">
        <v>4777.1041846146418</v>
      </c>
      <c r="AW69" s="342">
        <v>5164.4369563401542</v>
      </c>
      <c r="AX69" s="342">
        <v>5551.7697280656648</v>
      </c>
      <c r="AY69" s="342">
        <v>5809.9915758826728</v>
      </c>
      <c r="AZ69" s="342">
        <v>5680.8806519741684</v>
      </c>
      <c r="BA69" s="342">
        <v>5616.3251900199175</v>
      </c>
      <c r="BB69" s="342">
        <v>5164.4369563401542</v>
      </c>
      <c r="BC69" s="342">
        <v>5809.9915758826728</v>
      </c>
      <c r="BD69" s="342">
        <v>5939.1024997911773</v>
      </c>
      <c r="BE69" s="342">
        <v>5422.6588041571622</v>
      </c>
      <c r="BF69" s="342">
        <v>5035.3260324316507</v>
      </c>
      <c r="BG69" s="343">
        <v>64555.461954251929</v>
      </c>
      <c r="BH69" s="513">
        <f t="shared" si="7"/>
        <v>37748</v>
      </c>
      <c r="BI69" s="513">
        <f t="shared" si="8"/>
        <v>28000</v>
      </c>
    </row>
    <row r="70" spans="2:75" x14ac:dyDescent="0.25">
      <c r="B70" s="339"/>
      <c r="C70" s="363"/>
      <c r="D70" s="401" t="s">
        <v>510</v>
      </c>
      <c r="E70" s="342">
        <f>IFERROR(VLOOKUP(B70,BDFD!$B:$BG,38,FALSE),0)</f>
        <v>0</v>
      </c>
      <c r="F70" s="342">
        <f>IFERROR(VLOOKUP(B70,BDFD!$B:$BG,41,FALSE),0)</f>
        <v>0</v>
      </c>
      <c r="G70" s="342">
        <f>IFERROR(VLOOKUP(B70,BDFD!$B:$BG,44,FALSE),0)</f>
        <v>0</v>
      </c>
      <c r="H70" s="342">
        <f>IFERROR(VLOOKUP(B70,BDFD!$B:$BG,47,FALSE),0)</f>
        <v>0</v>
      </c>
      <c r="I70" s="342">
        <f>IFERROR(VLOOKUP(B70,BDFD!$B:$BG,50,FALSE),0)</f>
        <v>0</v>
      </c>
      <c r="J70" s="342">
        <f>IFERROR(VLOOKUP(B70,BDFD!$B:$BG,53,FALSE),0)</f>
        <v>0</v>
      </c>
      <c r="K70" s="342">
        <f>IFERROR(VLOOKUP(B70,BDFD!$B:$BG,56,FALSE),0)</f>
        <v>0</v>
      </c>
      <c r="L70" s="342">
        <v>0</v>
      </c>
      <c r="M70" s="342">
        <v>0</v>
      </c>
      <c r="N70" s="342">
        <v>0</v>
      </c>
      <c r="O70" s="342">
        <v>0</v>
      </c>
      <c r="P70" s="342">
        <v>0</v>
      </c>
      <c r="Q70" s="343">
        <f t="shared" si="6"/>
        <v>0</v>
      </c>
      <c r="R70" s="400"/>
      <c r="S70" s="344">
        <v>0</v>
      </c>
      <c r="T70" s="344">
        <v>8.4236000000000004</v>
      </c>
      <c r="U70" s="344">
        <v>8.4236000000000004</v>
      </c>
      <c r="V70" s="344">
        <v>0</v>
      </c>
      <c r="W70" s="344">
        <v>2.87</v>
      </c>
      <c r="X70" s="346">
        <v>0</v>
      </c>
      <c r="Y70" s="347">
        <v>0.25</v>
      </c>
      <c r="Z70" s="339">
        <v>44444</v>
      </c>
      <c r="AA70" s="363"/>
      <c r="AB70" s="401" t="s">
        <v>510</v>
      </c>
      <c r="AC70" s="342">
        <v>0</v>
      </c>
      <c r="AD70" s="342">
        <v>0</v>
      </c>
      <c r="AE70" s="342">
        <v>0</v>
      </c>
      <c r="AF70" s="342">
        <v>0</v>
      </c>
      <c r="AG70" s="342">
        <v>0</v>
      </c>
      <c r="AH70" s="342">
        <v>0</v>
      </c>
      <c r="AI70" s="342">
        <v>0</v>
      </c>
      <c r="AJ70" s="342">
        <v>0</v>
      </c>
      <c r="AK70" s="342">
        <v>0</v>
      </c>
      <c r="AL70" s="342">
        <v>0</v>
      </c>
      <c r="AM70" s="342">
        <v>0</v>
      </c>
      <c r="AN70" s="342">
        <v>0</v>
      </c>
      <c r="AO70" s="343">
        <v>0</v>
      </c>
      <c r="AP70" s="346">
        <v>0</v>
      </c>
      <c r="AQ70" s="346"/>
      <c r="AR70" s="339">
        <v>44444</v>
      </c>
      <c r="AS70" s="363"/>
      <c r="AT70" s="401" t="s">
        <v>510</v>
      </c>
      <c r="AU70" s="342">
        <v>0</v>
      </c>
      <c r="AV70" s="342">
        <v>0</v>
      </c>
      <c r="AW70" s="342">
        <v>0</v>
      </c>
      <c r="AX70" s="342">
        <v>0</v>
      </c>
      <c r="AY70" s="342">
        <v>0</v>
      </c>
      <c r="AZ70" s="342">
        <v>0</v>
      </c>
      <c r="BA70" s="342">
        <v>0</v>
      </c>
      <c r="BB70" s="342">
        <v>0</v>
      </c>
      <c r="BC70" s="342">
        <v>0</v>
      </c>
      <c r="BD70" s="342">
        <v>0</v>
      </c>
      <c r="BE70" s="342">
        <v>0</v>
      </c>
      <c r="BF70" s="342">
        <v>0</v>
      </c>
      <c r="BG70" s="343">
        <v>0</v>
      </c>
      <c r="BH70" s="513">
        <f t="shared" si="7"/>
        <v>0</v>
      </c>
      <c r="BI70" s="513">
        <f t="shared" si="8"/>
        <v>0</v>
      </c>
    </row>
    <row r="71" spans="2:75" x14ac:dyDescent="0.25">
      <c r="B71" s="339"/>
      <c r="C71" s="363"/>
      <c r="D71" s="401" t="s">
        <v>509</v>
      </c>
      <c r="E71" s="342">
        <f>IFERROR(VLOOKUP(B71,BDFD!$B:$BG,38,FALSE),0)</f>
        <v>0</v>
      </c>
      <c r="F71" s="342">
        <f>IFERROR(VLOOKUP(B71,BDFD!$B:$BG,41,FALSE),0)</f>
        <v>0</v>
      </c>
      <c r="G71" s="342">
        <f>IFERROR(VLOOKUP(B71,BDFD!$B:$BG,44,FALSE),0)</f>
        <v>0</v>
      </c>
      <c r="H71" s="342">
        <f>IFERROR(VLOOKUP(B71,BDFD!$B:$BG,47,FALSE),0)</f>
        <v>0</v>
      </c>
      <c r="I71" s="342">
        <f>IFERROR(VLOOKUP(B71,BDFD!$B:$BG,50,FALSE),0)</f>
        <v>0</v>
      </c>
      <c r="J71" s="342">
        <f>IFERROR(VLOOKUP(B71,BDFD!$B:$BG,53,FALSE),0)</f>
        <v>0</v>
      </c>
      <c r="K71" s="342">
        <f>IFERROR(VLOOKUP(B71,BDFD!$B:$BG,56,FALSE),0)</f>
        <v>0</v>
      </c>
      <c r="L71" s="342">
        <v>0</v>
      </c>
      <c r="M71" s="342">
        <v>0</v>
      </c>
      <c r="N71" s="342">
        <v>0</v>
      </c>
      <c r="O71" s="342">
        <v>0</v>
      </c>
      <c r="P71" s="342">
        <v>0</v>
      </c>
      <c r="Q71" s="343">
        <f t="shared" si="6"/>
        <v>0</v>
      </c>
      <c r="R71" s="400"/>
      <c r="S71" s="344">
        <v>0</v>
      </c>
      <c r="T71" s="344">
        <v>2.1133999999999999</v>
      </c>
      <c r="U71" s="344">
        <v>2.1133999999999999</v>
      </c>
      <c r="V71" s="344">
        <v>0</v>
      </c>
      <c r="W71" s="344">
        <v>0.91</v>
      </c>
      <c r="X71" s="346">
        <v>0</v>
      </c>
      <c r="Y71" s="347">
        <v>0.25</v>
      </c>
      <c r="Z71" s="339">
        <v>55555</v>
      </c>
      <c r="AA71" s="363"/>
      <c r="AB71" s="401" t="s">
        <v>509</v>
      </c>
      <c r="AC71" s="342">
        <v>0</v>
      </c>
      <c r="AD71" s="342">
        <v>0</v>
      </c>
      <c r="AE71" s="342">
        <v>0</v>
      </c>
      <c r="AF71" s="342">
        <v>0</v>
      </c>
      <c r="AG71" s="342">
        <v>0</v>
      </c>
      <c r="AH71" s="342">
        <v>0</v>
      </c>
      <c r="AI71" s="342">
        <v>0</v>
      </c>
      <c r="AJ71" s="342">
        <v>0</v>
      </c>
      <c r="AK71" s="342">
        <v>0</v>
      </c>
      <c r="AL71" s="342">
        <v>0</v>
      </c>
      <c r="AM71" s="342">
        <v>0</v>
      </c>
      <c r="AN71" s="342">
        <v>0</v>
      </c>
      <c r="AO71" s="343">
        <v>0</v>
      </c>
      <c r="AP71" s="346">
        <v>0</v>
      </c>
      <c r="AQ71" s="346"/>
      <c r="AR71" s="339">
        <v>55555</v>
      </c>
      <c r="AS71" s="363"/>
      <c r="AT71" s="401" t="s">
        <v>509</v>
      </c>
      <c r="AU71" s="342">
        <v>0</v>
      </c>
      <c r="AV71" s="342">
        <v>0</v>
      </c>
      <c r="AW71" s="342">
        <v>0</v>
      </c>
      <c r="AX71" s="342">
        <v>0</v>
      </c>
      <c r="AY71" s="342">
        <v>0</v>
      </c>
      <c r="AZ71" s="342">
        <v>0</v>
      </c>
      <c r="BA71" s="342">
        <v>0</v>
      </c>
      <c r="BB71" s="342">
        <v>0</v>
      </c>
      <c r="BC71" s="342">
        <v>0</v>
      </c>
      <c r="BD71" s="342">
        <v>0</v>
      </c>
      <c r="BE71" s="342">
        <v>0</v>
      </c>
      <c r="BF71" s="342">
        <v>0</v>
      </c>
      <c r="BG71" s="343">
        <v>0</v>
      </c>
      <c r="BH71" s="513">
        <f t="shared" si="7"/>
        <v>0</v>
      </c>
      <c r="BI71" s="513">
        <f t="shared" si="8"/>
        <v>0</v>
      </c>
    </row>
    <row r="72" spans="2:75" x14ac:dyDescent="0.25">
      <c r="B72" s="339"/>
      <c r="C72" s="363"/>
      <c r="D72" s="401" t="s">
        <v>511</v>
      </c>
      <c r="E72" s="342">
        <f>IFERROR(VLOOKUP(B72,BDFD!$B:$BG,38,FALSE),0)</f>
        <v>0</v>
      </c>
      <c r="F72" s="342">
        <f>IFERROR(VLOOKUP(B72,BDFD!$B:$BG,41,FALSE),0)</f>
        <v>0</v>
      </c>
      <c r="G72" s="342">
        <f>IFERROR(VLOOKUP(B72,BDFD!$B:$BG,44,FALSE),0)</f>
        <v>0</v>
      </c>
      <c r="H72" s="342">
        <f>IFERROR(VLOOKUP(B72,BDFD!$B:$BG,47,FALSE),0)</f>
        <v>0</v>
      </c>
      <c r="I72" s="342">
        <f>IFERROR(VLOOKUP(B72,BDFD!$B:$BG,50,FALSE),0)</f>
        <v>0</v>
      </c>
      <c r="J72" s="342">
        <f>IFERROR(VLOOKUP(B72,BDFD!$B:$BG,53,FALSE),0)</f>
        <v>0</v>
      </c>
      <c r="K72" s="342">
        <f>IFERROR(VLOOKUP(B72,BDFD!$B:$BG,56,FALSE),0)</f>
        <v>0</v>
      </c>
      <c r="L72" s="342">
        <v>0</v>
      </c>
      <c r="M72" s="342">
        <v>0</v>
      </c>
      <c r="N72" s="342">
        <v>0</v>
      </c>
      <c r="O72" s="342">
        <v>0</v>
      </c>
      <c r="P72" s="342">
        <v>0</v>
      </c>
      <c r="Q72" s="343">
        <f t="shared" si="6"/>
        <v>0</v>
      </c>
      <c r="R72" s="400"/>
      <c r="S72" s="344">
        <v>0</v>
      </c>
      <c r="T72" s="344">
        <v>2.8088053333333338</v>
      </c>
      <c r="U72" s="344">
        <v>2.8088053333333338</v>
      </c>
      <c r="V72" s="344">
        <v>0</v>
      </c>
      <c r="W72" s="344">
        <v>0.89</v>
      </c>
      <c r="X72" s="346">
        <v>0</v>
      </c>
      <c r="Y72" s="347">
        <v>0.25</v>
      </c>
      <c r="Z72" s="339">
        <v>66666</v>
      </c>
      <c r="AA72" s="363"/>
      <c r="AB72" s="401" t="s">
        <v>511</v>
      </c>
      <c r="AC72" s="342">
        <v>0</v>
      </c>
      <c r="AD72" s="342">
        <v>0</v>
      </c>
      <c r="AE72" s="342">
        <v>0</v>
      </c>
      <c r="AF72" s="342">
        <v>0</v>
      </c>
      <c r="AG72" s="342">
        <v>0</v>
      </c>
      <c r="AH72" s="342">
        <v>0</v>
      </c>
      <c r="AI72" s="342">
        <v>0</v>
      </c>
      <c r="AJ72" s="342">
        <v>0</v>
      </c>
      <c r="AK72" s="342">
        <v>0</v>
      </c>
      <c r="AL72" s="342">
        <v>0</v>
      </c>
      <c r="AM72" s="342">
        <v>0</v>
      </c>
      <c r="AN72" s="342">
        <v>0</v>
      </c>
      <c r="AO72" s="343">
        <v>0</v>
      </c>
      <c r="AP72" s="346">
        <v>0</v>
      </c>
      <c r="AQ72" s="346"/>
      <c r="AR72" s="339">
        <v>66666</v>
      </c>
      <c r="AS72" s="363"/>
      <c r="AT72" s="401" t="s">
        <v>511</v>
      </c>
      <c r="AU72" s="342">
        <v>0</v>
      </c>
      <c r="AV72" s="342">
        <v>0</v>
      </c>
      <c r="AW72" s="342">
        <v>0</v>
      </c>
      <c r="AX72" s="342">
        <v>0</v>
      </c>
      <c r="AY72" s="342">
        <v>0</v>
      </c>
      <c r="AZ72" s="342">
        <v>0</v>
      </c>
      <c r="BA72" s="342">
        <v>0</v>
      </c>
      <c r="BB72" s="342">
        <v>0</v>
      </c>
      <c r="BC72" s="342">
        <v>0</v>
      </c>
      <c r="BD72" s="342">
        <v>0</v>
      </c>
      <c r="BE72" s="342">
        <v>0</v>
      </c>
      <c r="BF72" s="342">
        <v>0</v>
      </c>
      <c r="BG72" s="343">
        <v>0</v>
      </c>
      <c r="BH72" s="513">
        <f t="shared" si="7"/>
        <v>0</v>
      </c>
      <c r="BI72" s="513">
        <f t="shared" si="8"/>
        <v>0</v>
      </c>
    </row>
    <row r="73" spans="2:75" x14ac:dyDescent="0.25">
      <c r="B73" s="339"/>
      <c r="C73" s="363"/>
      <c r="D73" s="401" t="s">
        <v>512</v>
      </c>
      <c r="E73" s="342">
        <f>IFERROR(VLOOKUP(B73,BDFD!$B:$BG,38,FALSE),0)</f>
        <v>0</v>
      </c>
      <c r="F73" s="342">
        <f>IFERROR(VLOOKUP(B73,BDFD!$B:$BG,41,FALSE),0)</f>
        <v>0</v>
      </c>
      <c r="G73" s="342">
        <f>IFERROR(VLOOKUP(B73,BDFD!$B:$BG,44,FALSE),0)</f>
        <v>0</v>
      </c>
      <c r="H73" s="342">
        <f>IFERROR(VLOOKUP(B73,BDFD!$B:$BG,47,FALSE),0)</f>
        <v>0</v>
      </c>
      <c r="I73" s="342">
        <f>IFERROR(VLOOKUP(B73,BDFD!$B:$BG,50,FALSE),0)</f>
        <v>0</v>
      </c>
      <c r="J73" s="342">
        <f>IFERROR(VLOOKUP(B73,BDFD!$B:$BG,53,FALSE),0)</f>
        <v>0</v>
      </c>
      <c r="K73" s="342">
        <f>IFERROR(VLOOKUP(B73,BDFD!$B:$BG,56,FALSE),0)</f>
        <v>0</v>
      </c>
      <c r="L73" s="342">
        <v>0</v>
      </c>
      <c r="M73" s="342">
        <v>0</v>
      </c>
      <c r="N73" s="342">
        <v>0</v>
      </c>
      <c r="O73" s="342">
        <v>0</v>
      </c>
      <c r="P73" s="342">
        <v>0</v>
      </c>
      <c r="Q73" s="343">
        <f t="shared" si="6"/>
        <v>0</v>
      </c>
      <c r="R73" s="400"/>
      <c r="S73" s="344">
        <v>0</v>
      </c>
      <c r="T73" s="344">
        <v>14.034026666666669</v>
      </c>
      <c r="U73" s="344">
        <v>14.034026666666669</v>
      </c>
      <c r="V73" s="344">
        <v>0</v>
      </c>
      <c r="W73" s="344">
        <v>3.39</v>
      </c>
      <c r="X73" s="346">
        <v>0</v>
      </c>
      <c r="Y73" s="347">
        <v>0.25</v>
      </c>
      <c r="Z73" s="339">
        <v>77777</v>
      </c>
      <c r="AA73" s="363"/>
      <c r="AB73" s="401" t="s">
        <v>512</v>
      </c>
      <c r="AC73" s="342">
        <v>0</v>
      </c>
      <c r="AD73" s="342">
        <v>0</v>
      </c>
      <c r="AE73" s="342">
        <v>0</v>
      </c>
      <c r="AF73" s="342">
        <v>0</v>
      </c>
      <c r="AG73" s="342">
        <v>0</v>
      </c>
      <c r="AH73" s="342">
        <v>0</v>
      </c>
      <c r="AI73" s="342">
        <v>0</v>
      </c>
      <c r="AJ73" s="342">
        <v>0</v>
      </c>
      <c r="AK73" s="342">
        <v>0</v>
      </c>
      <c r="AL73" s="342">
        <v>0</v>
      </c>
      <c r="AM73" s="342">
        <v>0</v>
      </c>
      <c r="AN73" s="342">
        <v>0</v>
      </c>
      <c r="AO73" s="343">
        <v>0</v>
      </c>
      <c r="AP73" s="346">
        <v>0</v>
      </c>
      <c r="AQ73" s="346"/>
      <c r="AR73" s="339">
        <v>77777</v>
      </c>
      <c r="AS73" s="363"/>
      <c r="AT73" s="401" t="s">
        <v>512</v>
      </c>
      <c r="AU73" s="342">
        <v>0</v>
      </c>
      <c r="AV73" s="342">
        <v>0</v>
      </c>
      <c r="AW73" s="342">
        <v>0</v>
      </c>
      <c r="AX73" s="342">
        <v>0</v>
      </c>
      <c r="AY73" s="342">
        <v>0</v>
      </c>
      <c r="AZ73" s="342">
        <v>0</v>
      </c>
      <c r="BA73" s="342">
        <v>0</v>
      </c>
      <c r="BB73" s="342">
        <v>0</v>
      </c>
      <c r="BC73" s="342">
        <v>0</v>
      </c>
      <c r="BD73" s="342">
        <v>0</v>
      </c>
      <c r="BE73" s="342">
        <v>0</v>
      </c>
      <c r="BF73" s="342">
        <v>0</v>
      </c>
      <c r="BG73" s="343">
        <v>0</v>
      </c>
      <c r="BH73" s="513">
        <f t="shared" si="7"/>
        <v>0</v>
      </c>
      <c r="BI73" s="513">
        <f t="shared" si="8"/>
        <v>0</v>
      </c>
    </row>
    <row r="74" spans="2:75" x14ac:dyDescent="0.25">
      <c r="B74">
        <v>13166</v>
      </c>
      <c r="C74" s="363"/>
      <c r="D74" s="401" t="s">
        <v>569</v>
      </c>
      <c r="E74" s="342">
        <f>IFERROR(VLOOKUP(B74,BDFD!$B:$BG,38,FALSE),0)</f>
        <v>0</v>
      </c>
      <c r="F74" s="342">
        <f>IFERROR(VLOOKUP(B74,BDFD!$B:$BG,41,FALSE),0)</f>
        <v>0</v>
      </c>
      <c r="G74" s="342">
        <f>IFERROR(VLOOKUP(B74,BDFD!$B:$BG,44,FALSE),0)</f>
        <v>0</v>
      </c>
      <c r="H74" s="342">
        <f>IFERROR(VLOOKUP(B74,BDFD!$B:$BG,47,FALSE),0)</f>
        <v>0</v>
      </c>
      <c r="I74" s="342">
        <f>IFERROR(VLOOKUP(B74,BDFD!$B:$BG,50,FALSE),0)</f>
        <v>0</v>
      </c>
      <c r="J74" s="342">
        <f>IFERROR(VLOOKUP(B74,BDFD!$B:$BG,53,FALSE),0)</f>
        <v>0</v>
      </c>
      <c r="K74" s="342">
        <f>IFERROR(VLOOKUP(B74,BDFD!$B:$BG,56,FALSE),0)</f>
        <v>6200</v>
      </c>
      <c r="L74" s="342">
        <v>5000</v>
      </c>
      <c r="M74" s="342">
        <v>5000</v>
      </c>
      <c r="N74" s="342">
        <v>5000</v>
      </c>
      <c r="O74" s="342">
        <v>5500</v>
      </c>
      <c r="P74" s="342">
        <v>4500</v>
      </c>
      <c r="Q74" s="343">
        <f t="shared" si="6"/>
        <v>31200</v>
      </c>
      <c r="R74" s="400"/>
      <c r="S74" s="344"/>
      <c r="T74" s="344"/>
      <c r="U74" s="344"/>
      <c r="V74" s="344"/>
      <c r="W74" s="344"/>
      <c r="X74" s="346"/>
      <c r="Y74" s="347"/>
      <c r="Z74" s="339"/>
      <c r="AA74" s="363"/>
      <c r="AB74" s="401"/>
      <c r="AC74" s="342"/>
      <c r="AD74" s="342"/>
      <c r="AE74" s="342"/>
      <c r="AF74" s="342"/>
      <c r="AG74" s="342"/>
      <c r="AH74" s="342"/>
      <c r="AI74" s="342"/>
      <c r="AJ74" s="342"/>
      <c r="AK74" s="342"/>
      <c r="AL74" s="342"/>
      <c r="AM74" s="342"/>
      <c r="AN74" s="342"/>
      <c r="AO74" s="343"/>
      <c r="AP74" s="346"/>
      <c r="AQ74" s="346"/>
      <c r="AR74" s="339"/>
      <c r="AS74" s="363"/>
      <c r="AT74" s="401"/>
      <c r="AU74" s="342"/>
      <c r="AV74" s="342"/>
      <c r="AW74" s="342"/>
      <c r="AX74" s="342"/>
      <c r="AY74" s="342"/>
      <c r="AZ74" s="342"/>
      <c r="BA74" s="342"/>
      <c r="BB74" s="342"/>
      <c r="BC74" s="342"/>
      <c r="BD74" s="342"/>
      <c r="BE74" s="342"/>
      <c r="BF74" s="342"/>
      <c r="BG74" s="343"/>
      <c r="BH74" s="513">
        <f t="shared" si="7"/>
        <v>6200</v>
      </c>
      <c r="BI74" s="513">
        <f t="shared" si="8"/>
        <v>25000</v>
      </c>
    </row>
    <row r="75" spans="2:75" x14ac:dyDescent="0.25">
      <c r="B75">
        <v>13165</v>
      </c>
      <c r="C75" s="363"/>
      <c r="D75" s="401" t="s">
        <v>570</v>
      </c>
      <c r="E75" s="342">
        <f>IFERROR(VLOOKUP(B75,BDFD!$B:$BG,38,FALSE),0)</f>
        <v>0</v>
      </c>
      <c r="F75" s="342">
        <f>IFERROR(VLOOKUP(B75,BDFD!$B:$BG,41,FALSE),0)</f>
        <v>0</v>
      </c>
      <c r="G75" s="342">
        <f>IFERROR(VLOOKUP(B75,BDFD!$B:$BG,44,FALSE),0)</f>
        <v>0</v>
      </c>
      <c r="H75" s="342">
        <f>IFERROR(VLOOKUP(B75,BDFD!$B:$BG,47,FALSE),0)</f>
        <v>0</v>
      </c>
      <c r="I75" s="342">
        <f>IFERROR(VLOOKUP(B75,BDFD!$B:$BG,50,FALSE),0)</f>
        <v>0</v>
      </c>
      <c r="J75" s="342">
        <f>IFERROR(VLOOKUP(B75,BDFD!$B:$BG,53,FALSE),0)</f>
        <v>0</v>
      </c>
      <c r="K75" s="342">
        <f>IFERROR(VLOOKUP(B75,BDFD!$B:$BG,56,FALSE),0)</f>
        <v>2500</v>
      </c>
      <c r="L75" s="342">
        <v>3500</v>
      </c>
      <c r="M75" s="342">
        <v>3500</v>
      </c>
      <c r="N75" s="342">
        <v>3500</v>
      </c>
      <c r="O75" s="342">
        <v>4000</v>
      </c>
      <c r="P75" s="342">
        <v>3000</v>
      </c>
      <c r="Q75" s="343">
        <f t="shared" si="6"/>
        <v>20000</v>
      </c>
      <c r="R75" s="400"/>
      <c r="S75" s="344"/>
      <c r="T75" s="344"/>
      <c r="U75" s="344"/>
      <c r="V75" s="344"/>
      <c r="W75" s="344"/>
      <c r="X75" s="346"/>
      <c r="Y75" s="347"/>
      <c r="Z75" s="339"/>
      <c r="AA75" s="363"/>
      <c r="AB75" s="401"/>
      <c r="AC75" s="342"/>
      <c r="AD75" s="342"/>
      <c r="AE75" s="342"/>
      <c r="AF75" s="342"/>
      <c r="AG75" s="342"/>
      <c r="AH75" s="342"/>
      <c r="AI75" s="342"/>
      <c r="AJ75" s="342"/>
      <c r="AK75" s="342"/>
      <c r="AL75" s="342"/>
      <c r="AM75" s="342"/>
      <c r="AN75" s="342"/>
      <c r="AO75" s="343"/>
      <c r="AP75" s="346"/>
      <c r="AQ75" s="346"/>
      <c r="AR75" s="339"/>
      <c r="AS75" s="363"/>
      <c r="AT75" s="401"/>
      <c r="AU75" s="342"/>
      <c r="AV75" s="342"/>
      <c r="AW75" s="342"/>
      <c r="AX75" s="342"/>
      <c r="AY75" s="342"/>
      <c r="AZ75" s="342"/>
      <c r="BA75" s="342"/>
      <c r="BB75" s="342"/>
      <c r="BC75" s="342"/>
      <c r="BD75" s="342"/>
      <c r="BE75" s="342"/>
      <c r="BF75" s="342"/>
      <c r="BG75" s="343"/>
      <c r="BH75" s="513">
        <f t="shared" si="7"/>
        <v>2500</v>
      </c>
      <c r="BI75" s="513">
        <f t="shared" si="8"/>
        <v>17500</v>
      </c>
    </row>
    <row r="76" spans="2:75" x14ac:dyDescent="0.25">
      <c r="B76" s="339">
        <v>13064</v>
      </c>
      <c r="C76" s="520" t="s">
        <v>100</v>
      </c>
      <c r="D76" s="401" t="s">
        <v>101</v>
      </c>
      <c r="E76" s="342">
        <f>IFERROR(VLOOKUP(B76,BDFD!$B:$BG,38,FALSE),0)</f>
        <v>-107</v>
      </c>
      <c r="F76" s="342">
        <f>IFERROR(VLOOKUP(B76,BDFD!$B:$BG,41,FALSE),0)</f>
        <v>-240</v>
      </c>
      <c r="G76" s="342">
        <f>IFERROR(VLOOKUP(B76,BDFD!$B:$BG,44,FALSE),0)</f>
        <v>-6</v>
      </c>
      <c r="H76" s="342">
        <f>IFERROR(VLOOKUP(B76,BDFD!$B:$BG,47,FALSE),0)</f>
        <v>-53</v>
      </c>
      <c r="I76" s="342">
        <f>IFERROR(VLOOKUP(B76,BDFD!$B:$BG,50,FALSE),0)</f>
        <v>-144</v>
      </c>
      <c r="J76" s="342">
        <f>IFERROR(VLOOKUP(B76,BDFD!$B:$BG,53,FALSE),0)</f>
        <v>-153</v>
      </c>
      <c r="K76" s="342">
        <f>IFERROR(VLOOKUP(B76,BDFD!$B:$BG,56,FALSE),0)</f>
        <v>-109</v>
      </c>
      <c r="L76" s="342">
        <v>0</v>
      </c>
      <c r="M76" s="342">
        <v>0</v>
      </c>
      <c r="N76" s="342">
        <v>0</v>
      </c>
      <c r="O76" s="342">
        <v>0</v>
      </c>
      <c r="P76" s="342">
        <v>0</v>
      </c>
      <c r="Q76" s="343">
        <f t="shared" si="6"/>
        <v>-812</v>
      </c>
      <c r="R76" s="400"/>
      <c r="S76" s="344">
        <v>0</v>
      </c>
      <c r="T76" s="344">
        <v>6.0476380952380957</v>
      </c>
      <c r="U76" s="344">
        <v>6.0649160000000011</v>
      </c>
      <c r="V76" s="344">
        <v>4.51</v>
      </c>
      <c r="W76" s="344"/>
      <c r="X76" s="346">
        <v>0</v>
      </c>
      <c r="Y76" s="347">
        <v>0.2</v>
      </c>
      <c r="Z76" s="339">
        <v>13064</v>
      </c>
      <c r="AA76" s="405" t="s">
        <v>100</v>
      </c>
      <c r="AB76" s="401" t="s">
        <v>101</v>
      </c>
      <c r="AC76" s="342">
        <v>0</v>
      </c>
      <c r="AD76" s="342">
        <v>0</v>
      </c>
      <c r="AE76" s="342">
        <v>0</v>
      </c>
      <c r="AF76" s="342">
        <v>0</v>
      </c>
      <c r="AG76" s="342">
        <v>0</v>
      </c>
      <c r="AH76" s="342">
        <v>0</v>
      </c>
      <c r="AI76" s="342">
        <v>0</v>
      </c>
      <c r="AJ76" s="342">
        <v>0</v>
      </c>
      <c r="AK76" s="342">
        <v>0</v>
      </c>
      <c r="AL76" s="342">
        <v>0</v>
      </c>
      <c r="AM76" s="342">
        <v>0</v>
      </c>
      <c r="AN76" s="342">
        <v>0</v>
      </c>
      <c r="AO76" s="343">
        <v>0</v>
      </c>
      <c r="AP76" s="346">
        <v>0</v>
      </c>
      <c r="AQ76" s="346"/>
      <c r="AR76" s="339">
        <v>13064</v>
      </c>
      <c r="AS76" s="405" t="s">
        <v>100</v>
      </c>
      <c r="AT76" s="401" t="s">
        <v>101</v>
      </c>
      <c r="AU76" s="342">
        <v>0</v>
      </c>
      <c r="AV76" s="342">
        <v>0</v>
      </c>
      <c r="AW76" s="342">
        <v>0</v>
      </c>
      <c r="AX76" s="342">
        <v>0</v>
      </c>
      <c r="AY76" s="342">
        <v>0</v>
      </c>
      <c r="AZ76" s="342">
        <v>0</v>
      </c>
      <c r="BA76" s="342">
        <v>0</v>
      </c>
      <c r="BB76" s="342">
        <v>0</v>
      </c>
      <c r="BC76" s="342">
        <v>0</v>
      </c>
      <c r="BD76" s="342">
        <v>0</v>
      </c>
      <c r="BE76" s="342">
        <v>0</v>
      </c>
      <c r="BF76" s="342">
        <v>0</v>
      </c>
      <c r="BG76" s="343">
        <v>0</v>
      </c>
      <c r="BH76" s="513">
        <f t="shared" si="7"/>
        <v>-812</v>
      </c>
      <c r="BI76" s="513">
        <f t="shared" si="8"/>
        <v>0</v>
      </c>
    </row>
    <row r="77" spans="2:75" x14ac:dyDescent="0.25">
      <c r="B77" s="339">
        <v>13032</v>
      </c>
      <c r="C77" s="351" t="s">
        <v>84</v>
      </c>
      <c r="D77" s="401" t="s">
        <v>85</v>
      </c>
      <c r="E77" s="342">
        <f>IFERROR(VLOOKUP(B77,BDFD!$B:$BG,38,FALSE),0)</f>
        <v>1396</v>
      </c>
      <c r="F77" s="342">
        <f>IFERROR(VLOOKUP(B77,BDFD!$B:$BG,41,FALSE),0)</f>
        <v>3007</v>
      </c>
      <c r="G77" s="342">
        <f>IFERROR(VLOOKUP(B77,BDFD!$B:$BG,44,FALSE),0)</f>
        <v>3882</v>
      </c>
      <c r="H77" s="342">
        <f>IFERROR(VLOOKUP(B77,BDFD!$B:$BG,47,FALSE),0)</f>
        <v>3638</v>
      </c>
      <c r="I77" s="342">
        <f>IFERROR(VLOOKUP(B77,BDFD!$B:$BG,50,FALSE),0)</f>
        <v>4829</v>
      </c>
      <c r="J77" s="342">
        <f>IFERROR(VLOOKUP(B77,BDFD!$B:$BG,53,FALSE),0)</f>
        <v>5194</v>
      </c>
      <c r="K77" s="342">
        <f>IFERROR(VLOOKUP(B77,BDFD!$B:$BG,56,FALSE),0)</f>
        <v>2918</v>
      </c>
      <c r="L77" s="342">
        <v>3800</v>
      </c>
      <c r="M77" s="342">
        <v>3800</v>
      </c>
      <c r="N77" s="342">
        <v>3800</v>
      </c>
      <c r="O77" s="342">
        <v>4000</v>
      </c>
      <c r="P77" s="342">
        <v>3500</v>
      </c>
      <c r="Q77" s="343">
        <f t="shared" si="6"/>
        <v>43764</v>
      </c>
      <c r="R77" s="400"/>
      <c r="S77" s="344">
        <v>12.651050000000001</v>
      </c>
      <c r="T77" s="344">
        <v>12.770804438280166</v>
      </c>
      <c r="U77" s="344">
        <v>12.744806000000004</v>
      </c>
      <c r="V77" s="344">
        <v>7.8</v>
      </c>
      <c r="W77" s="344"/>
      <c r="X77" s="346">
        <v>8573.9429274292761</v>
      </c>
      <c r="Y77" s="347">
        <v>0.2</v>
      </c>
      <c r="Z77" s="339">
        <v>13032</v>
      </c>
      <c r="AA77" s="351" t="s">
        <v>84</v>
      </c>
      <c r="AB77" s="401" t="s">
        <v>85</v>
      </c>
      <c r="AC77" s="348">
        <v>608.74994784747855</v>
      </c>
      <c r="AD77" s="342">
        <v>634.47177662976628</v>
      </c>
      <c r="AE77" s="342">
        <v>685.91543419434208</v>
      </c>
      <c r="AF77" s="342">
        <v>737.35909175891766</v>
      </c>
      <c r="AG77" s="342">
        <v>771.65486346863474</v>
      </c>
      <c r="AH77" s="342">
        <v>754.50697761377614</v>
      </c>
      <c r="AI77" s="342">
        <v>745.9330346863469</v>
      </c>
      <c r="AJ77" s="342">
        <v>685.91543419434208</v>
      </c>
      <c r="AK77" s="342">
        <v>771.65486346863474</v>
      </c>
      <c r="AL77" s="342">
        <v>788.80274932349334</v>
      </c>
      <c r="AM77" s="342">
        <v>720.21120590405917</v>
      </c>
      <c r="AN77" s="342">
        <v>668.76754833948348</v>
      </c>
      <c r="AO77" s="343">
        <v>8573.9429274292761</v>
      </c>
      <c r="AP77" s="346">
        <v>0</v>
      </c>
      <c r="AQ77" s="346"/>
      <c r="AR77" s="339">
        <v>13032</v>
      </c>
      <c r="AS77" s="351" t="s">
        <v>84</v>
      </c>
      <c r="AT77" s="401" t="s">
        <v>85</v>
      </c>
      <c r="AU77" s="342">
        <v>3652.4996870848709</v>
      </c>
      <c r="AV77" s="342">
        <v>3806.8306597785977</v>
      </c>
      <c r="AW77" s="342">
        <v>4115.4926051660523</v>
      </c>
      <c r="AX77" s="342">
        <v>4424.154550553505</v>
      </c>
      <c r="AY77" s="342">
        <v>4629.9291808118087</v>
      </c>
      <c r="AZ77" s="342">
        <v>4527.0418656826569</v>
      </c>
      <c r="BA77" s="342">
        <v>4475.5982081180809</v>
      </c>
      <c r="BB77" s="342">
        <v>4115.4926051660523</v>
      </c>
      <c r="BC77" s="342">
        <v>4629.9291808118087</v>
      </c>
      <c r="BD77" s="342">
        <v>4732.8164959409596</v>
      </c>
      <c r="BE77" s="342">
        <v>4321.267235424355</v>
      </c>
      <c r="BF77" s="342">
        <v>4012.6052900369004</v>
      </c>
      <c r="BG77" s="343">
        <v>51443.657564575653</v>
      </c>
      <c r="BH77" s="513">
        <f t="shared" si="7"/>
        <v>24864</v>
      </c>
      <c r="BI77" s="513">
        <f t="shared" si="8"/>
        <v>18900</v>
      </c>
    </row>
    <row r="78" spans="2:75" x14ac:dyDescent="0.25">
      <c r="B78" s="339">
        <v>13037</v>
      </c>
      <c r="C78" s="368"/>
      <c r="D78" s="401" t="s">
        <v>86</v>
      </c>
      <c r="E78" s="342">
        <f>IFERROR(VLOOKUP(B78,BDFD!$B:$BG,38,FALSE),0)</f>
        <v>2048</v>
      </c>
      <c r="F78" s="342">
        <f>IFERROR(VLOOKUP(B78,BDFD!$B:$BG,41,FALSE),0)</f>
        <v>1537</v>
      </c>
      <c r="G78" s="342">
        <f>IFERROR(VLOOKUP(B78,BDFD!$B:$BG,44,FALSE),0)</f>
        <v>2721</v>
      </c>
      <c r="H78" s="342">
        <f>IFERROR(VLOOKUP(B78,BDFD!$B:$BG,47,FALSE),0)</f>
        <v>2746</v>
      </c>
      <c r="I78" s="342">
        <f>IFERROR(VLOOKUP(B78,BDFD!$B:$BG,50,FALSE),0)</f>
        <v>3138</v>
      </c>
      <c r="J78" s="342">
        <f>IFERROR(VLOOKUP(B78,BDFD!$B:$BG,53,FALSE),0)</f>
        <v>4154</v>
      </c>
      <c r="K78" s="342">
        <f>IFERROR(VLOOKUP(B78,BDFD!$B:$BG,56,FALSE),0)</f>
        <v>2858</v>
      </c>
      <c r="L78" s="342">
        <v>3000</v>
      </c>
      <c r="M78" s="342">
        <v>3000</v>
      </c>
      <c r="N78" s="342">
        <v>3000</v>
      </c>
      <c r="O78" s="342">
        <v>3200</v>
      </c>
      <c r="P78" s="342">
        <v>2000</v>
      </c>
      <c r="Q78" s="343">
        <f t="shared" si="6"/>
        <v>33402</v>
      </c>
      <c r="R78" s="400"/>
      <c r="S78" s="344">
        <v>12.651050000000001</v>
      </c>
      <c r="T78" s="344">
        <v>12.749859016393442</v>
      </c>
      <c r="U78" s="344">
        <v>12.744806000000004</v>
      </c>
      <c r="V78" s="344">
        <v>8.0729005222883519</v>
      </c>
      <c r="W78" s="344"/>
      <c r="X78" s="346">
        <v>6126.4610747845672</v>
      </c>
      <c r="Y78" s="347">
        <v>0.2</v>
      </c>
      <c r="Z78" s="339">
        <v>13037</v>
      </c>
      <c r="AA78" s="368"/>
      <c r="AB78" s="401" t="s">
        <v>86</v>
      </c>
      <c r="AC78" s="348">
        <v>434.97873630970429</v>
      </c>
      <c r="AD78" s="342">
        <v>453.35811953405795</v>
      </c>
      <c r="AE78" s="342">
        <v>490.11688598276533</v>
      </c>
      <c r="AF78" s="342">
        <v>526.87565243147276</v>
      </c>
      <c r="AG78" s="342">
        <v>551.38149673061105</v>
      </c>
      <c r="AH78" s="342">
        <v>539.12857458104179</v>
      </c>
      <c r="AI78" s="342">
        <v>533.00211350625739</v>
      </c>
      <c r="AJ78" s="342">
        <v>490.11688598276533</v>
      </c>
      <c r="AK78" s="342">
        <v>551.38149673061105</v>
      </c>
      <c r="AL78" s="342">
        <v>563.63441888018019</v>
      </c>
      <c r="AM78" s="342">
        <v>514.62273028190373</v>
      </c>
      <c r="AN78" s="342">
        <v>477.86396383319629</v>
      </c>
      <c r="AO78" s="343">
        <v>6126.4610747845672</v>
      </c>
      <c r="AP78" s="346">
        <v>0</v>
      </c>
      <c r="AQ78" s="346"/>
      <c r="AR78" s="339">
        <v>13037</v>
      </c>
      <c r="AS78" s="368"/>
      <c r="AT78" s="401" t="s">
        <v>86</v>
      </c>
      <c r="AU78" s="342">
        <v>2609.8724178582256</v>
      </c>
      <c r="AV78" s="342">
        <v>2720.1487172043476</v>
      </c>
      <c r="AW78" s="342">
        <v>2940.701315896592</v>
      </c>
      <c r="AX78" s="342">
        <v>3161.2539145888363</v>
      </c>
      <c r="AY78" s="342">
        <v>3308.2889803836661</v>
      </c>
      <c r="AZ78" s="342">
        <v>3234.771447486251</v>
      </c>
      <c r="BA78" s="342">
        <v>3198.0126810375441</v>
      </c>
      <c r="BB78" s="342">
        <v>2940.701315896592</v>
      </c>
      <c r="BC78" s="342">
        <v>3308.2889803836661</v>
      </c>
      <c r="BD78" s="342">
        <v>3381.8065132810807</v>
      </c>
      <c r="BE78" s="342">
        <v>3087.7363816914221</v>
      </c>
      <c r="BF78" s="342">
        <v>2867.1837829991773</v>
      </c>
      <c r="BG78" s="343">
        <v>36758.7664487074</v>
      </c>
      <c r="BH78" s="513">
        <f t="shared" si="7"/>
        <v>19202</v>
      </c>
      <c r="BI78" s="513">
        <f t="shared" si="8"/>
        <v>14200</v>
      </c>
    </row>
    <row r="79" spans="2:75" x14ac:dyDescent="0.25">
      <c r="B79" s="339">
        <v>13153</v>
      </c>
      <c r="C79" s="506" t="s">
        <v>87</v>
      </c>
      <c r="D79" s="406" t="s">
        <v>666</v>
      </c>
      <c r="E79" s="342">
        <f>IFERROR(VLOOKUP(B79,BDFD!$B:$BG,38,FALSE),0)</f>
        <v>0</v>
      </c>
      <c r="F79" s="342">
        <f>IFERROR(VLOOKUP(B79,BDFD!$B:$BG,41,FALSE),0)</f>
        <v>0</v>
      </c>
      <c r="G79" s="342">
        <f>IFERROR(VLOOKUP(B79,BDFD!$B:$BG,44,FALSE),0)</f>
        <v>2970</v>
      </c>
      <c r="H79" s="342">
        <f>IFERROR(VLOOKUP(B79,BDFD!$B:$BG,47,FALSE),0)</f>
        <v>7454</v>
      </c>
      <c r="I79" s="342">
        <f>IFERROR(VLOOKUP(B79,BDFD!$B:$BG,50,FALSE),0)</f>
        <v>1008</v>
      </c>
      <c r="J79" s="342">
        <f>IFERROR(VLOOKUP(B79,BDFD!$B:$BG,53,FALSE),0)</f>
        <v>0</v>
      </c>
      <c r="K79" s="342">
        <f>IFERROR(VLOOKUP(B79,BDFD!$B:$BG,56,FALSE),0)</f>
        <v>1368</v>
      </c>
      <c r="L79" s="342">
        <v>1927.8</v>
      </c>
      <c r="M79" s="342">
        <v>2142</v>
      </c>
      <c r="N79" s="342">
        <v>2142</v>
      </c>
      <c r="O79" s="342">
        <v>2142</v>
      </c>
      <c r="P79" s="342">
        <v>1927.8</v>
      </c>
      <c r="Q79" s="343">
        <f t="shared" si="6"/>
        <v>23081.599999999999</v>
      </c>
      <c r="R79" s="400"/>
      <c r="S79" s="344">
        <v>1.7499999999999998</v>
      </c>
      <c r="T79" s="344">
        <v>1.7499999999999998</v>
      </c>
      <c r="U79" s="344">
        <v>1.6116560000000002</v>
      </c>
      <c r="V79" s="344">
        <v>0.72</v>
      </c>
      <c r="W79" s="344"/>
      <c r="X79" s="346">
        <v>23210.282919548234</v>
      </c>
      <c r="Y79" s="347">
        <v>0.25</v>
      </c>
      <c r="Z79" s="339">
        <v>13153</v>
      </c>
      <c r="AA79" s="506" t="s">
        <v>87</v>
      </c>
      <c r="AB79" s="406" t="s">
        <v>666</v>
      </c>
      <c r="AC79" s="348">
        <v>1647.9300872879246</v>
      </c>
      <c r="AD79" s="342">
        <v>1717.5609360465694</v>
      </c>
      <c r="AE79" s="342">
        <v>1856.822633563859</v>
      </c>
      <c r="AF79" s="342">
        <v>1996.0843310811483</v>
      </c>
      <c r="AG79" s="342">
        <v>2088.9254627593414</v>
      </c>
      <c r="AH79" s="342">
        <v>2042.5048969202448</v>
      </c>
      <c r="AI79" s="342">
        <v>2019.2946140006966</v>
      </c>
      <c r="AJ79" s="342">
        <v>1856.822633563859</v>
      </c>
      <c r="AK79" s="342">
        <v>2088.9254627593414</v>
      </c>
      <c r="AL79" s="342">
        <v>2135.3460285984379</v>
      </c>
      <c r="AM79" s="342">
        <v>1949.663765242052</v>
      </c>
      <c r="AN79" s="342">
        <v>1810.4020677247624</v>
      </c>
      <c r="AO79" s="343">
        <v>23210.282919548234</v>
      </c>
      <c r="AP79" s="346">
        <v>0</v>
      </c>
      <c r="AQ79" s="346"/>
      <c r="AR79" s="339">
        <v>13153</v>
      </c>
      <c r="AS79" s="506" t="s">
        <v>87</v>
      </c>
      <c r="AT79" s="406" t="s">
        <v>666</v>
      </c>
      <c r="AU79" s="342">
        <v>8239.6504364396224</v>
      </c>
      <c r="AV79" s="342">
        <v>8587.8046802328463</v>
      </c>
      <c r="AW79" s="342">
        <v>9284.1131678192942</v>
      </c>
      <c r="AX79" s="342">
        <v>9980.4216554057421</v>
      </c>
      <c r="AY79" s="342">
        <v>10444.627313796707</v>
      </c>
      <c r="AZ79" s="342">
        <v>10212.524484601225</v>
      </c>
      <c r="BA79" s="342">
        <v>10096.473070003483</v>
      </c>
      <c r="BB79" s="342">
        <v>9284.1131678192942</v>
      </c>
      <c r="BC79" s="342">
        <v>10444.627313796707</v>
      </c>
      <c r="BD79" s="342">
        <v>10676.73014299219</v>
      </c>
      <c r="BE79" s="342">
        <v>9748.3188262102594</v>
      </c>
      <c r="BF79" s="342">
        <v>9052.0103386238115</v>
      </c>
      <c r="BG79" s="343">
        <v>116051.41459774118</v>
      </c>
      <c r="BH79" s="513">
        <f t="shared" si="7"/>
        <v>12800</v>
      </c>
      <c r="BI79" s="513">
        <f t="shared" si="8"/>
        <v>10281.599999999999</v>
      </c>
      <c r="BL79" s="342">
        <f>+L79*1.02</f>
        <v>1966.356</v>
      </c>
      <c r="BM79" s="342">
        <f t="shared" ref="BM79:BP79" si="9">+M79*1.02</f>
        <v>2184.84</v>
      </c>
      <c r="BN79" s="342">
        <f t="shared" si="9"/>
        <v>2184.84</v>
      </c>
      <c r="BO79" s="342">
        <f t="shared" si="9"/>
        <v>2184.84</v>
      </c>
      <c r="BP79" s="342">
        <f t="shared" si="9"/>
        <v>1966.356</v>
      </c>
      <c r="BS79" s="342">
        <f>+L79*1.05</f>
        <v>2024.19</v>
      </c>
      <c r="BT79" s="342">
        <f t="shared" ref="BT79:BW87" si="10">+M79*1.05</f>
        <v>2249.1</v>
      </c>
      <c r="BU79" s="342">
        <f t="shared" si="10"/>
        <v>2249.1</v>
      </c>
      <c r="BV79" s="342">
        <f t="shared" si="10"/>
        <v>2249.1</v>
      </c>
      <c r="BW79" s="342">
        <f t="shared" si="10"/>
        <v>2024.19</v>
      </c>
    </row>
    <row r="80" spans="2:75" x14ac:dyDescent="0.25">
      <c r="B80" s="339">
        <v>13152</v>
      </c>
      <c r="C80" s="507"/>
      <c r="D80" s="406" t="s">
        <v>667</v>
      </c>
      <c r="E80" s="342">
        <f>IFERROR(VLOOKUP(B80,BDFD!$B:$BG,38,FALSE),0)</f>
        <v>0</v>
      </c>
      <c r="F80" s="342">
        <f>IFERROR(VLOOKUP(B80,BDFD!$B:$BG,41,FALSE),0)</f>
        <v>0</v>
      </c>
      <c r="G80" s="342">
        <f>IFERROR(VLOOKUP(B80,BDFD!$B:$BG,44,FALSE),0)</f>
        <v>2200</v>
      </c>
      <c r="H80" s="342">
        <f>IFERROR(VLOOKUP(B80,BDFD!$B:$BG,47,FALSE),0)</f>
        <v>8108</v>
      </c>
      <c r="I80" s="342">
        <f>IFERROR(VLOOKUP(B80,BDFD!$B:$BG,50,FALSE),0)</f>
        <v>4368</v>
      </c>
      <c r="J80" s="342">
        <f>IFERROR(VLOOKUP(B80,BDFD!$B:$BG,53,FALSE),0)</f>
        <v>792</v>
      </c>
      <c r="K80" s="342">
        <f>IFERROR(VLOOKUP(B80,BDFD!$B:$BG,56,FALSE),0)</f>
        <v>2232</v>
      </c>
      <c r="L80" s="342">
        <v>2784.6</v>
      </c>
      <c r="M80" s="342">
        <v>3213</v>
      </c>
      <c r="N80" s="342">
        <v>3213</v>
      </c>
      <c r="O80" s="342">
        <v>3213</v>
      </c>
      <c r="P80" s="342">
        <v>2784.6</v>
      </c>
      <c r="Q80" s="343">
        <f t="shared" si="6"/>
        <v>32908.199999999997</v>
      </c>
      <c r="R80" s="400"/>
      <c r="S80" s="344">
        <v>2.46</v>
      </c>
      <c r="T80" s="344">
        <v>2.3952080000000002</v>
      </c>
      <c r="U80" s="344">
        <v>2.2619733333333341</v>
      </c>
      <c r="V80" s="344">
        <v>1.0900000000000001</v>
      </c>
      <c r="W80" s="344"/>
      <c r="X80" s="346">
        <v>24305.198033053814</v>
      </c>
      <c r="Y80" s="347">
        <v>0.25</v>
      </c>
      <c r="Z80" s="339">
        <v>13152</v>
      </c>
      <c r="AA80" s="507"/>
      <c r="AB80" s="406" t="s">
        <v>667</v>
      </c>
      <c r="AC80" s="348">
        <v>1725.6690603468205</v>
      </c>
      <c r="AD80" s="342">
        <v>1798.5846544459821</v>
      </c>
      <c r="AE80" s="342">
        <v>1944.415842644305</v>
      </c>
      <c r="AF80" s="342">
        <v>2090.2470308426277</v>
      </c>
      <c r="AG80" s="342">
        <v>2187.4678229748433</v>
      </c>
      <c r="AH80" s="342">
        <v>2138.8574269087353</v>
      </c>
      <c r="AI80" s="342">
        <v>2114.5522288756815</v>
      </c>
      <c r="AJ80" s="342">
        <v>1944.415842644305</v>
      </c>
      <c r="AK80" s="342">
        <v>2187.4678229748433</v>
      </c>
      <c r="AL80" s="342">
        <v>2236.0782190409509</v>
      </c>
      <c r="AM80" s="342">
        <v>2041.6366347765204</v>
      </c>
      <c r="AN80" s="342">
        <v>1895.8054465781975</v>
      </c>
      <c r="AO80" s="343">
        <v>24305.198033053814</v>
      </c>
      <c r="AP80" s="346">
        <v>0</v>
      </c>
      <c r="AQ80" s="346"/>
      <c r="AR80" s="339">
        <v>13152</v>
      </c>
      <c r="AS80" s="507"/>
      <c r="AT80" s="406" t="s">
        <v>667</v>
      </c>
      <c r="AU80" s="342">
        <v>8628.3453017341017</v>
      </c>
      <c r="AV80" s="342">
        <v>8992.9232722299112</v>
      </c>
      <c r="AW80" s="342">
        <v>9722.0792132215247</v>
      </c>
      <c r="AX80" s="342">
        <v>10451.235154213138</v>
      </c>
      <c r="AY80" s="342">
        <v>10937.339114874216</v>
      </c>
      <c r="AZ80" s="342">
        <v>10694.287134543676</v>
      </c>
      <c r="BA80" s="342">
        <v>10572.761144378408</v>
      </c>
      <c r="BB80" s="342">
        <v>9722.0792132215247</v>
      </c>
      <c r="BC80" s="342">
        <v>10937.339114874216</v>
      </c>
      <c r="BD80" s="342">
        <v>11180.391095204755</v>
      </c>
      <c r="BE80" s="342">
        <v>10208.183173882602</v>
      </c>
      <c r="BF80" s="342">
        <v>9479.0272328909869</v>
      </c>
      <c r="BG80" s="343">
        <v>121525.99016526909</v>
      </c>
      <c r="BH80" s="513">
        <f t="shared" si="7"/>
        <v>17700</v>
      </c>
      <c r="BI80" s="513">
        <f t="shared" si="8"/>
        <v>15208.2</v>
      </c>
      <c r="BL80" s="342">
        <f t="shared" ref="BL80:BL87" si="11">+L80*1.02</f>
        <v>2840.2919999999999</v>
      </c>
      <c r="BM80" s="342">
        <f t="shared" ref="BM80:BM87" si="12">+M80*1.02</f>
        <v>3277.26</v>
      </c>
      <c r="BN80" s="342">
        <f t="shared" ref="BN80:BN87" si="13">+N80*1.02</f>
        <v>3277.26</v>
      </c>
      <c r="BO80" s="342">
        <f t="shared" ref="BO80:BO87" si="14">+O80*1.02</f>
        <v>3277.26</v>
      </c>
      <c r="BP80" s="342">
        <f t="shared" ref="BP80:BP87" si="15">+P80*1.02</f>
        <v>2840.2919999999999</v>
      </c>
      <c r="BS80" s="342">
        <f t="shared" ref="BS80:BS87" si="16">+L80*1.05</f>
        <v>2923.83</v>
      </c>
      <c r="BT80" s="342">
        <f t="shared" si="10"/>
        <v>3373.65</v>
      </c>
      <c r="BU80" s="342">
        <f t="shared" si="10"/>
        <v>3373.65</v>
      </c>
      <c r="BV80" s="342">
        <f t="shared" si="10"/>
        <v>3373.65</v>
      </c>
      <c r="BW80" s="342">
        <f t="shared" si="10"/>
        <v>2923.83</v>
      </c>
    </row>
    <row r="81" spans="2:75" x14ac:dyDescent="0.25">
      <c r="B81" s="350">
        <v>13108</v>
      </c>
      <c r="C81" s="507"/>
      <c r="D81" s="406" t="s">
        <v>668</v>
      </c>
      <c r="E81" s="342">
        <f>IFERROR(VLOOKUP(B81,BDFD!$B:$BG,38,FALSE),0)</f>
        <v>0</v>
      </c>
      <c r="F81" s="342">
        <f>IFERROR(VLOOKUP(B81,BDFD!$B:$BG,41,FALSE),0)</f>
        <v>-12</v>
      </c>
      <c r="G81" s="342">
        <f>IFERROR(VLOOKUP(B81,BDFD!$B:$BG,44,FALSE),0)</f>
        <v>2400</v>
      </c>
      <c r="H81" s="342">
        <f>IFERROR(VLOOKUP(B81,BDFD!$B:$BG,47,FALSE),0)</f>
        <v>4450</v>
      </c>
      <c r="I81" s="342">
        <f>IFERROR(VLOOKUP(B81,BDFD!$B:$BG,50,FALSE),0)</f>
        <v>1008</v>
      </c>
      <c r="J81" s="342">
        <f>IFERROR(VLOOKUP(B81,BDFD!$B:$BG,53,FALSE),0)</f>
        <v>0</v>
      </c>
      <c r="K81" s="342">
        <f>IFERROR(VLOOKUP(B81,BDFD!$B:$BG,56,FALSE),0)</f>
        <v>360</v>
      </c>
      <c r="L81" s="342">
        <v>1285.2</v>
      </c>
      <c r="M81" s="342">
        <v>1606.5</v>
      </c>
      <c r="N81" s="342">
        <v>1606.5</v>
      </c>
      <c r="O81" s="342">
        <v>1606.5</v>
      </c>
      <c r="P81" s="342">
        <v>1285.2</v>
      </c>
      <c r="Q81" s="343">
        <f t="shared" si="6"/>
        <v>15595.900000000001</v>
      </c>
      <c r="R81" s="400"/>
      <c r="S81" s="344">
        <v>1.96</v>
      </c>
      <c r="T81" s="344">
        <v>1.8713959969597163</v>
      </c>
      <c r="U81" s="344">
        <v>1.8025100000000003</v>
      </c>
      <c r="V81" s="344">
        <v>0.78</v>
      </c>
      <c r="W81" s="344"/>
      <c r="X81" s="346">
        <v>8585.0524949373248</v>
      </c>
      <c r="Y81" s="347">
        <v>0.25</v>
      </c>
      <c r="Z81" s="350">
        <v>13108</v>
      </c>
      <c r="AA81" s="507"/>
      <c r="AB81" s="406" t="s">
        <v>668</v>
      </c>
      <c r="AC81" s="348">
        <v>609.53872714055001</v>
      </c>
      <c r="AD81" s="342">
        <v>635.29388462536201</v>
      </c>
      <c r="AE81" s="342">
        <v>686.80419959498602</v>
      </c>
      <c r="AF81" s="342">
        <v>738.31451456460991</v>
      </c>
      <c r="AG81" s="342">
        <v>772.65472454435917</v>
      </c>
      <c r="AH81" s="342">
        <v>755.48461955448454</v>
      </c>
      <c r="AI81" s="342">
        <v>746.89956705954717</v>
      </c>
      <c r="AJ81" s="342">
        <v>686.80419959498602</v>
      </c>
      <c r="AK81" s="342">
        <v>772.65472454435917</v>
      </c>
      <c r="AL81" s="342">
        <v>789.82482953423391</v>
      </c>
      <c r="AM81" s="342">
        <v>721.14440957473528</v>
      </c>
      <c r="AN81" s="342">
        <v>669.63409460511139</v>
      </c>
      <c r="AO81" s="343">
        <v>8585.0524949373248</v>
      </c>
      <c r="AP81" s="346">
        <v>0</v>
      </c>
      <c r="AQ81" s="346"/>
      <c r="AR81" s="350">
        <v>13108</v>
      </c>
      <c r="AS81" s="507"/>
      <c r="AT81" s="406" t="s">
        <v>668</v>
      </c>
      <c r="AU81" s="342">
        <v>3047.6936357027498</v>
      </c>
      <c r="AV81" s="342">
        <v>3176.4694231268099</v>
      </c>
      <c r="AW81" s="342">
        <v>3434.0209979749302</v>
      </c>
      <c r="AX81" s="342">
        <v>3691.5725728230495</v>
      </c>
      <c r="AY81" s="342">
        <v>3863.2736227217956</v>
      </c>
      <c r="AZ81" s="342">
        <v>3777.4230977724228</v>
      </c>
      <c r="BA81" s="342">
        <v>3734.4978352977359</v>
      </c>
      <c r="BB81" s="342">
        <v>3434.0209979749302</v>
      </c>
      <c r="BC81" s="342">
        <v>3863.2736227217956</v>
      </c>
      <c r="BD81" s="342">
        <v>3949.1241476711693</v>
      </c>
      <c r="BE81" s="342">
        <v>3605.7220478736763</v>
      </c>
      <c r="BF81" s="342">
        <v>3348.1704730255569</v>
      </c>
      <c r="BG81" s="343">
        <v>42925.262474686628</v>
      </c>
      <c r="BH81" s="513">
        <f t="shared" si="7"/>
        <v>8206</v>
      </c>
      <c r="BI81" s="513">
        <f t="shared" si="8"/>
        <v>7389.9</v>
      </c>
      <c r="BL81" s="342">
        <f t="shared" si="11"/>
        <v>1310.904</v>
      </c>
      <c r="BM81" s="342">
        <f t="shared" si="12"/>
        <v>1638.63</v>
      </c>
      <c r="BN81" s="342">
        <f t="shared" si="13"/>
        <v>1638.63</v>
      </c>
      <c r="BO81" s="342">
        <f t="shared" si="14"/>
        <v>1638.63</v>
      </c>
      <c r="BP81" s="342">
        <f t="shared" si="15"/>
        <v>1310.904</v>
      </c>
      <c r="BS81" s="342">
        <f t="shared" si="16"/>
        <v>1349.46</v>
      </c>
      <c r="BT81" s="342">
        <f t="shared" si="10"/>
        <v>1686.825</v>
      </c>
      <c r="BU81" s="342">
        <f t="shared" si="10"/>
        <v>1686.825</v>
      </c>
      <c r="BV81" s="342">
        <f t="shared" si="10"/>
        <v>1686.825</v>
      </c>
      <c r="BW81" s="342">
        <f t="shared" si="10"/>
        <v>1349.46</v>
      </c>
    </row>
    <row r="82" spans="2:75" x14ac:dyDescent="0.25">
      <c r="B82" s="350">
        <v>13149</v>
      </c>
      <c r="C82" s="507"/>
      <c r="D82" s="406" t="s">
        <v>669</v>
      </c>
      <c r="E82" s="342">
        <f>IFERROR(VLOOKUP(B82,BDFD!$B:$BG,38,FALSE),0)</f>
        <v>0</v>
      </c>
      <c r="F82" s="342">
        <f>IFERROR(VLOOKUP(B82,BDFD!$B:$BG,41,FALSE),0)</f>
        <v>0</v>
      </c>
      <c r="G82" s="342">
        <f>IFERROR(VLOOKUP(B82,BDFD!$B:$BG,44,FALSE),0)</f>
        <v>10800</v>
      </c>
      <c r="H82" s="342">
        <f>IFERROR(VLOOKUP(B82,BDFD!$B:$BG,47,FALSE),0)</f>
        <v>9312</v>
      </c>
      <c r="I82" s="342">
        <f>IFERROR(VLOOKUP(B82,BDFD!$B:$BG,50,FALSE),0)</f>
        <v>6552</v>
      </c>
      <c r="J82" s="342">
        <f>IFERROR(VLOOKUP(B82,BDFD!$B:$BG,53,FALSE),0)</f>
        <v>384</v>
      </c>
      <c r="K82" s="342">
        <f>IFERROR(VLOOKUP(B82,BDFD!$B:$BG,56,FALSE),0)</f>
        <v>3286</v>
      </c>
      <c r="L82" s="342">
        <v>4605.3</v>
      </c>
      <c r="M82" s="342">
        <v>4819.5</v>
      </c>
      <c r="N82" s="342">
        <v>4819.5</v>
      </c>
      <c r="O82" s="342">
        <v>4819.5</v>
      </c>
      <c r="P82" s="342">
        <v>4605.3</v>
      </c>
      <c r="Q82" s="343">
        <f t="shared" si="6"/>
        <v>54003.100000000006</v>
      </c>
      <c r="R82" s="400"/>
      <c r="S82" s="344">
        <v>2.75</v>
      </c>
      <c r="T82" s="344">
        <v>2.3670409051348997</v>
      </c>
      <c r="U82" s="344">
        <v>2.5305826666666671</v>
      </c>
      <c r="V82" s="344">
        <v>1.17</v>
      </c>
      <c r="W82" s="344"/>
      <c r="X82" s="346">
        <v>28030.658494866857</v>
      </c>
      <c r="Y82" s="347">
        <v>0.25</v>
      </c>
      <c r="Z82" s="350">
        <v>13149</v>
      </c>
      <c r="AA82" s="507"/>
      <c r="AB82" s="406" t="s">
        <v>669</v>
      </c>
      <c r="AC82" s="348">
        <v>1990.1767531355467</v>
      </c>
      <c r="AD82" s="342">
        <v>2074.2687286201472</v>
      </c>
      <c r="AE82" s="342">
        <v>2242.4526795893485</v>
      </c>
      <c r="AF82" s="342">
        <v>2410.6366305585493</v>
      </c>
      <c r="AG82" s="342">
        <v>2522.7592645380169</v>
      </c>
      <c r="AH82" s="342">
        <v>2466.6979475482831</v>
      </c>
      <c r="AI82" s="342">
        <v>2438.6672890534164</v>
      </c>
      <c r="AJ82" s="342">
        <v>2242.4526795893485</v>
      </c>
      <c r="AK82" s="342">
        <v>2522.7592645380169</v>
      </c>
      <c r="AL82" s="342">
        <v>2578.8205815277506</v>
      </c>
      <c r="AM82" s="342">
        <v>2354.575313568816</v>
      </c>
      <c r="AN82" s="342">
        <v>2186.3913625996147</v>
      </c>
      <c r="AO82" s="343">
        <v>28030.658494866857</v>
      </c>
      <c r="AP82" s="346">
        <v>0</v>
      </c>
      <c r="AQ82" s="346"/>
      <c r="AR82" s="350">
        <v>13149</v>
      </c>
      <c r="AS82" s="507"/>
      <c r="AT82" s="406" t="s">
        <v>669</v>
      </c>
      <c r="AU82" s="342">
        <v>9950.8837656777341</v>
      </c>
      <c r="AV82" s="342">
        <v>10371.343643100736</v>
      </c>
      <c r="AW82" s="342">
        <v>11212.263397946743</v>
      </c>
      <c r="AX82" s="342">
        <v>12053.183152792746</v>
      </c>
      <c r="AY82" s="342">
        <v>12613.796322690085</v>
      </c>
      <c r="AZ82" s="342">
        <v>12333.489737741416</v>
      </c>
      <c r="BA82" s="342">
        <v>12193.336445267083</v>
      </c>
      <c r="BB82" s="342">
        <v>11212.263397946743</v>
      </c>
      <c r="BC82" s="342">
        <v>12613.796322690085</v>
      </c>
      <c r="BD82" s="342">
        <v>12894.102907638753</v>
      </c>
      <c r="BE82" s="342">
        <v>11772.87656784408</v>
      </c>
      <c r="BF82" s="342">
        <v>10931.956812998073</v>
      </c>
      <c r="BG82" s="343">
        <v>140153.29247433427</v>
      </c>
      <c r="BH82" s="513">
        <f t="shared" si="7"/>
        <v>30334</v>
      </c>
      <c r="BI82" s="513">
        <f t="shared" si="8"/>
        <v>23669.1</v>
      </c>
      <c r="BL82" s="342">
        <f t="shared" si="11"/>
        <v>4697.4059999999999</v>
      </c>
      <c r="BM82" s="342">
        <f t="shared" si="12"/>
        <v>4915.8900000000003</v>
      </c>
      <c r="BN82" s="342">
        <f t="shared" si="13"/>
        <v>4915.8900000000003</v>
      </c>
      <c r="BO82" s="342">
        <f t="shared" si="14"/>
        <v>4915.8900000000003</v>
      </c>
      <c r="BP82" s="342">
        <f t="shared" si="15"/>
        <v>4697.4059999999999</v>
      </c>
      <c r="BS82" s="342">
        <f t="shared" si="16"/>
        <v>4835.5650000000005</v>
      </c>
      <c r="BT82" s="342">
        <f t="shared" si="10"/>
        <v>5060.4750000000004</v>
      </c>
      <c r="BU82" s="342">
        <f t="shared" si="10"/>
        <v>5060.4750000000004</v>
      </c>
      <c r="BV82" s="342">
        <f t="shared" si="10"/>
        <v>5060.4750000000004</v>
      </c>
      <c r="BW82" s="342">
        <f t="shared" si="10"/>
        <v>4835.5650000000005</v>
      </c>
    </row>
    <row r="83" spans="2:75" x14ac:dyDescent="0.25">
      <c r="B83" s="350">
        <v>13157</v>
      </c>
      <c r="C83" s="507"/>
      <c r="D83" s="406" t="s">
        <v>670</v>
      </c>
      <c r="E83" s="342">
        <f>IFERROR(VLOOKUP(B83,BDFD!$B:$BG,38,FALSE),0)</f>
        <v>0</v>
      </c>
      <c r="F83" s="342">
        <f>IFERROR(VLOOKUP(B83,BDFD!$B:$BG,41,FALSE),0)</f>
        <v>0</v>
      </c>
      <c r="G83" s="342">
        <f>IFERROR(VLOOKUP(B83,BDFD!$B:$BG,44,FALSE),0)</f>
        <v>8500</v>
      </c>
      <c r="H83" s="342">
        <f>IFERROR(VLOOKUP(B83,BDFD!$B:$BG,47,FALSE),0)</f>
        <v>7390</v>
      </c>
      <c r="I83" s="342">
        <f>IFERROR(VLOOKUP(B83,BDFD!$B:$BG,50,FALSE),0)</f>
        <v>4980</v>
      </c>
      <c r="J83" s="342">
        <f>IFERROR(VLOOKUP(B83,BDFD!$B:$BG,53,FALSE),0)</f>
        <v>864</v>
      </c>
      <c r="K83" s="342">
        <f>IFERROR(VLOOKUP(B83,BDFD!$B:$BG,56,FALSE),0)</f>
        <v>3070</v>
      </c>
      <c r="L83" s="342">
        <v>3855.6</v>
      </c>
      <c r="M83" s="342">
        <v>4284</v>
      </c>
      <c r="N83" s="342">
        <v>4284</v>
      </c>
      <c r="O83" s="342">
        <v>4284</v>
      </c>
      <c r="P83" s="342">
        <v>3855.6</v>
      </c>
      <c r="Q83" s="343">
        <f t="shared" si="6"/>
        <v>45367.199999999997</v>
      </c>
      <c r="R83" s="400"/>
      <c r="S83" s="344">
        <v>2.46</v>
      </c>
      <c r="T83" s="344">
        <v>2.4117893333333331</v>
      </c>
      <c r="U83" s="344">
        <v>2.2619733333333341</v>
      </c>
      <c r="V83" s="344">
        <v>1.0900000000000001</v>
      </c>
      <c r="W83" s="344"/>
      <c r="X83" s="346">
        <v>21139.916807360813</v>
      </c>
      <c r="Y83" s="347">
        <v>0.25</v>
      </c>
      <c r="Z83" s="350">
        <v>13157</v>
      </c>
      <c r="AA83" s="507"/>
      <c r="AB83" s="406" t="s">
        <v>670</v>
      </c>
      <c r="AC83" s="348">
        <v>1500.9340933226174</v>
      </c>
      <c r="AD83" s="342">
        <v>1564.3538437446998</v>
      </c>
      <c r="AE83" s="342">
        <v>1691.1933445888646</v>
      </c>
      <c r="AF83" s="342">
        <v>1818.0328454330295</v>
      </c>
      <c r="AG83" s="342">
        <v>1902.5925126624727</v>
      </c>
      <c r="AH83" s="342">
        <v>1860.3126790477511</v>
      </c>
      <c r="AI83" s="342">
        <v>1839.1727622403903</v>
      </c>
      <c r="AJ83" s="342">
        <v>1691.1933445888646</v>
      </c>
      <c r="AK83" s="342">
        <v>1902.5925126624727</v>
      </c>
      <c r="AL83" s="342">
        <v>1944.8723462771943</v>
      </c>
      <c r="AM83" s="342">
        <v>1775.7530118183081</v>
      </c>
      <c r="AN83" s="342">
        <v>1648.913510974143</v>
      </c>
      <c r="AO83" s="343">
        <v>21139.916807360813</v>
      </c>
      <c r="AP83" s="346">
        <v>0</v>
      </c>
      <c r="AQ83" s="346"/>
      <c r="AR83" s="350">
        <v>13157</v>
      </c>
      <c r="AS83" s="507"/>
      <c r="AT83" s="406" t="s">
        <v>670</v>
      </c>
      <c r="AU83" s="342">
        <v>7504.6704666130872</v>
      </c>
      <c r="AV83" s="342">
        <v>7821.7692187234989</v>
      </c>
      <c r="AW83" s="342">
        <v>8455.9667229443239</v>
      </c>
      <c r="AX83" s="342">
        <v>9090.1642271651472</v>
      </c>
      <c r="AY83" s="342">
        <v>9512.9625633123633</v>
      </c>
      <c r="AZ83" s="342">
        <v>9301.5633952387561</v>
      </c>
      <c r="BA83" s="342">
        <v>9195.8638112019507</v>
      </c>
      <c r="BB83" s="342">
        <v>8455.9667229443239</v>
      </c>
      <c r="BC83" s="342">
        <v>9512.9625633123633</v>
      </c>
      <c r="BD83" s="342">
        <v>9724.3617313859722</v>
      </c>
      <c r="BE83" s="342">
        <v>8878.76505909154</v>
      </c>
      <c r="BF83" s="342">
        <v>8244.567554870715</v>
      </c>
      <c r="BG83" s="343">
        <v>105699.58403680407</v>
      </c>
      <c r="BH83" s="513">
        <f t="shared" si="7"/>
        <v>24804</v>
      </c>
      <c r="BI83" s="513">
        <f t="shared" si="8"/>
        <v>20563.199999999997</v>
      </c>
      <c r="BL83" s="342">
        <f t="shared" si="11"/>
        <v>3932.712</v>
      </c>
      <c r="BM83" s="342">
        <f t="shared" si="12"/>
        <v>4369.68</v>
      </c>
      <c r="BN83" s="342">
        <f t="shared" si="13"/>
        <v>4369.68</v>
      </c>
      <c r="BO83" s="342">
        <f t="shared" si="14"/>
        <v>4369.68</v>
      </c>
      <c r="BP83" s="342">
        <f t="shared" si="15"/>
        <v>3932.712</v>
      </c>
      <c r="BS83" s="342">
        <f t="shared" si="16"/>
        <v>4048.38</v>
      </c>
      <c r="BT83" s="342">
        <f t="shared" si="10"/>
        <v>4498.2</v>
      </c>
      <c r="BU83" s="342">
        <f t="shared" si="10"/>
        <v>4498.2</v>
      </c>
      <c r="BV83" s="342">
        <f t="shared" si="10"/>
        <v>4498.2</v>
      </c>
      <c r="BW83" s="342">
        <f t="shared" si="10"/>
        <v>4048.38</v>
      </c>
    </row>
    <row r="84" spans="2:75" x14ac:dyDescent="0.25">
      <c r="B84" s="350">
        <v>13155</v>
      </c>
      <c r="C84" s="507"/>
      <c r="D84" s="406" t="s">
        <v>671</v>
      </c>
      <c r="E84" s="342">
        <f>IFERROR(VLOOKUP(B84,BDFD!$B:$BG,38,FALSE),0)</f>
        <v>0</v>
      </c>
      <c r="F84" s="342">
        <f>IFERROR(VLOOKUP(B84,BDFD!$B:$BG,41,FALSE),0)</f>
        <v>0</v>
      </c>
      <c r="G84" s="342">
        <f>IFERROR(VLOOKUP(B84,BDFD!$B:$BG,44,FALSE),0)</f>
        <v>6099</v>
      </c>
      <c r="H84" s="342">
        <f>IFERROR(VLOOKUP(B84,BDFD!$B:$BG,47,FALSE),0)</f>
        <v>8808</v>
      </c>
      <c r="I84" s="342">
        <f>IFERROR(VLOOKUP(B84,BDFD!$B:$BG,50,FALSE),0)</f>
        <v>1511</v>
      </c>
      <c r="J84" s="342">
        <f>IFERROR(VLOOKUP(B84,BDFD!$B:$BG,53,FALSE),0)</f>
        <v>0</v>
      </c>
      <c r="K84" s="342">
        <f>IFERROR(VLOOKUP(B84,BDFD!$B:$BG,56,FALSE),0)</f>
        <v>672</v>
      </c>
      <c r="L84" s="342">
        <v>2142</v>
      </c>
      <c r="M84" s="342">
        <v>2677.5</v>
      </c>
      <c r="N84" s="342">
        <v>2677.5</v>
      </c>
      <c r="O84" s="342">
        <v>2677.5</v>
      </c>
      <c r="P84" s="342">
        <v>2142</v>
      </c>
      <c r="Q84" s="343">
        <f t="shared" si="6"/>
        <v>29406.5</v>
      </c>
      <c r="R84" s="400"/>
      <c r="S84" s="344">
        <v>1.75</v>
      </c>
      <c r="T84" s="344">
        <v>1.7167611764705881</v>
      </c>
      <c r="U84" s="344">
        <v>1.6116560000000002</v>
      </c>
      <c r="V84" s="344">
        <v>0.72</v>
      </c>
      <c r="W84" s="344"/>
      <c r="X84" s="346">
        <v>25094.570280038261</v>
      </c>
      <c r="Y84" s="347">
        <v>0.25</v>
      </c>
      <c r="Z84" s="350">
        <v>13155</v>
      </c>
      <c r="AA84" s="507"/>
      <c r="AB84" s="406" t="s">
        <v>671</v>
      </c>
      <c r="AC84" s="348">
        <v>1781.7144898827166</v>
      </c>
      <c r="AD84" s="342">
        <v>1856.9982007228314</v>
      </c>
      <c r="AE84" s="342">
        <v>2007.5656224030611</v>
      </c>
      <c r="AF84" s="342">
        <v>2158.1330440832908</v>
      </c>
      <c r="AG84" s="342">
        <v>2258.5113252034439</v>
      </c>
      <c r="AH84" s="342">
        <v>2208.3221846433671</v>
      </c>
      <c r="AI84" s="342">
        <v>2183.2276143633289</v>
      </c>
      <c r="AJ84" s="342">
        <v>2007.5656224030611</v>
      </c>
      <c r="AK84" s="342">
        <v>2258.5113252034439</v>
      </c>
      <c r="AL84" s="342">
        <v>2308.7004657635202</v>
      </c>
      <c r="AM84" s="342">
        <v>2107.9439035232144</v>
      </c>
      <c r="AN84" s="342">
        <v>1957.3764818429845</v>
      </c>
      <c r="AO84" s="343">
        <v>25094.570280038261</v>
      </c>
      <c r="AP84" s="346">
        <v>0</v>
      </c>
      <c r="AQ84" s="346"/>
      <c r="AR84" s="350">
        <v>13155</v>
      </c>
      <c r="AS84" s="507"/>
      <c r="AT84" s="406" t="s">
        <v>671</v>
      </c>
      <c r="AU84" s="342">
        <v>8908.5724494135829</v>
      </c>
      <c r="AV84" s="342">
        <v>9284.9910036141573</v>
      </c>
      <c r="AW84" s="342">
        <v>10037.828112015306</v>
      </c>
      <c r="AX84" s="342">
        <v>10790.665220416453</v>
      </c>
      <c r="AY84" s="342">
        <v>11292.55662601722</v>
      </c>
      <c r="AZ84" s="342">
        <v>11041.610923216835</v>
      </c>
      <c r="BA84" s="342">
        <v>10916.138071816644</v>
      </c>
      <c r="BB84" s="342">
        <v>10037.828112015306</v>
      </c>
      <c r="BC84" s="342">
        <v>11292.55662601722</v>
      </c>
      <c r="BD84" s="342">
        <v>11543.502328817602</v>
      </c>
      <c r="BE84" s="342">
        <v>10539.719517616071</v>
      </c>
      <c r="BF84" s="342">
        <v>9786.8824092149225</v>
      </c>
      <c r="BG84" s="343">
        <v>125472.85140019134</v>
      </c>
      <c r="BH84" s="513">
        <f t="shared" si="7"/>
        <v>17090</v>
      </c>
      <c r="BI84" s="513">
        <f t="shared" si="8"/>
        <v>12316.5</v>
      </c>
      <c r="BL84" s="342">
        <f t="shared" si="11"/>
        <v>2184.84</v>
      </c>
      <c r="BM84" s="342">
        <f t="shared" si="12"/>
        <v>2731.05</v>
      </c>
      <c r="BN84" s="342">
        <f t="shared" si="13"/>
        <v>2731.05</v>
      </c>
      <c r="BO84" s="342">
        <f t="shared" si="14"/>
        <v>2731.05</v>
      </c>
      <c r="BP84" s="342">
        <f t="shared" si="15"/>
        <v>2184.84</v>
      </c>
      <c r="BS84" s="342">
        <f t="shared" si="16"/>
        <v>2249.1</v>
      </c>
      <c r="BT84" s="342">
        <f t="shared" si="10"/>
        <v>2811.375</v>
      </c>
      <c r="BU84" s="342">
        <f t="shared" si="10"/>
        <v>2811.375</v>
      </c>
      <c r="BV84" s="342">
        <f t="shared" si="10"/>
        <v>2811.375</v>
      </c>
      <c r="BW84" s="342">
        <f t="shared" si="10"/>
        <v>2249.1</v>
      </c>
    </row>
    <row r="85" spans="2:75" x14ac:dyDescent="0.25">
      <c r="B85" s="350">
        <v>13154</v>
      </c>
      <c r="C85" s="507"/>
      <c r="D85" s="406" t="s">
        <v>672</v>
      </c>
      <c r="E85" s="342">
        <f>IFERROR(VLOOKUP(B85,BDFD!$B:$BG,38,FALSE),0)</f>
        <v>0</v>
      </c>
      <c r="F85" s="342">
        <f>IFERROR(VLOOKUP(B85,BDFD!$B:$BG,41,FALSE),0)</f>
        <v>-2</v>
      </c>
      <c r="G85" s="342">
        <f>IFERROR(VLOOKUP(B85,BDFD!$B:$BG,44,FALSE),0)</f>
        <v>2200</v>
      </c>
      <c r="H85" s="342">
        <f>IFERROR(VLOOKUP(B85,BDFD!$B:$BG,47,FALSE),0)</f>
        <v>8400</v>
      </c>
      <c r="I85" s="342">
        <f>IFERROR(VLOOKUP(B85,BDFD!$B:$BG,50,FALSE),0)</f>
        <v>3504</v>
      </c>
      <c r="J85" s="342">
        <f>IFERROR(VLOOKUP(B85,BDFD!$B:$BG,53,FALSE),0)</f>
        <v>1128</v>
      </c>
      <c r="K85" s="342">
        <f>IFERROR(VLOOKUP(B85,BDFD!$B:$BG,56,FALSE),0)</f>
        <v>2856</v>
      </c>
      <c r="L85" s="342">
        <v>2784.6</v>
      </c>
      <c r="M85" s="342">
        <v>3213</v>
      </c>
      <c r="N85" s="342">
        <v>3213</v>
      </c>
      <c r="O85" s="342">
        <v>3213</v>
      </c>
      <c r="P85" s="342">
        <v>2784.6</v>
      </c>
      <c r="Q85" s="343">
        <f t="shared" si="6"/>
        <v>33294.199999999997</v>
      </c>
      <c r="R85" s="400"/>
      <c r="S85" s="344">
        <v>2.46</v>
      </c>
      <c r="T85" s="344">
        <v>2.4214786666666668</v>
      </c>
      <c r="U85" s="344">
        <v>2.2619733333333341</v>
      </c>
      <c r="V85" s="344">
        <v>1.0900000000000001</v>
      </c>
      <c r="W85" s="344"/>
      <c r="X85" s="346">
        <v>24554.427545793707</v>
      </c>
      <c r="Y85" s="347">
        <v>0.25</v>
      </c>
      <c r="Z85" s="350">
        <v>13154</v>
      </c>
      <c r="AA85" s="507"/>
      <c r="AB85" s="406" t="s">
        <v>672</v>
      </c>
      <c r="AC85" s="348">
        <v>1743.3643557513531</v>
      </c>
      <c r="AD85" s="342">
        <v>1817.0276383887342</v>
      </c>
      <c r="AE85" s="342">
        <v>1964.3542036634967</v>
      </c>
      <c r="AF85" s="342">
        <v>2111.6807689382586</v>
      </c>
      <c r="AG85" s="342">
        <v>2209.8984791214334</v>
      </c>
      <c r="AH85" s="342">
        <v>2160.789624029846</v>
      </c>
      <c r="AI85" s="342">
        <v>2136.2351964840523</v>
      </c>
      <c r="AJ85" s="342">
        <v>1964.3542036634967</v>
      </c>
      <c r="AK85" s="342">
        <v>2209.8984791214334</v>
      </c>
      <c r="AL85" s="342">
        <v>2259.0073342130208</v>
      </c>
      <c r="AM85" s="342">
        <v>2062.5719138466716</v>
      </c>
      <c r="AN85" s="342">
        <v>1915.2453485719091</v>
      </c>
      <c r="AO85" s="343">
        <v>24554.427545793707</v>
      </c>
      <c r="AP85" s="346">
        <v>0</v>
      </c>
      <c r="AQ85" s="346"/>
      <c r="AR85" s="350">
        <v>13154</v>
      </c>
      <c r="AS85" s="507"/>
      <c r="AT85" s="406" t="s">
        <v>672</v>
      </c>
      <c r="AU85" s="342">
        <v>8716.8217787567646</v>
      </c>
      <c r="AV85" s="342">
        <v>9085.1381919436717</v>
      </c>
      <c r="AW85" s="342">
        <v>9821.771018317484</v>
      </c>
      <c r="AX85" s="342">
        <v>10558.403844691293</v>
      </c>
      <c r="AY85" s="342">
        <v>11049.492395607167</v>
      </c>
      <c r="AZ85" s="342">
        <v>10803.948120149231</v>
      </c>
      <c r="BA85" s="342">
        <v>10681.175982420262</v>
      </c>
      <c r="BB85" s="342">
        <v>9821.771018317484</v>
      </c>
      <c r="BC85" s="342">
        <v>11049.492395607167</v>
      </c>
      <c r="BD85" s="342">
        <v>11295.036671065103</v>
      </c>
      <c r="BE85" s="342">
        <v>10312.859569233358</v>
      </c>
      <c r="BF85" s="342">
        <v>9576.226742859546</v>
      </c>
      <c r="BG85" s="343">
        <v>122772.13772896855</v>
      </c>
      <c r="BH85" s="513">
        <f t="shared" si="7"/>
        <v>18086</v>
      </c>
      <c r="BI85" s="513">
        <f t="shared" si="8"/>
        <v>15208.2</v>
      </c>
      <c r="BL85" s="342">
        <f t="shared" si="11"/>
        <v>2840.2919999999999</v>
      </c>
      <c r="BM85" s="342">
        <f t="shared" si="12"/>
        <v>3277.26</v>
      </c>
      <c r="BN85" s="342">
        <f t="shared" si="13"/>
        <v>3277.26</v>
      </c>
      <c r="BO85" s="342">
        <f t="shared" si="14"/>
        <v>3277.26</v>
      </c>
      <c r="BP85" s="342">
        <f t="shared" si="15"/>
        <v>2840.2919999999999</v>
      </c>
      <c r="BS85" s="342">
        <f t="shared" si="16"/>
        <v>2923.83</v>
      </c>
      <c r="BT85" s="342">
        <f t="shared" si="10"/>
        <v>3373.65</v>
      </c>
      <c r="BU85" s="342">
        <f t="shared" si="10"/>
        <v>3373.65</v>
      </c>
      <c r="BV85" s="342">
        <f t="shared" si="10"/>
        <v>3373.65</v>
      </c>
      <c r="BW85" s="342">
        <f t="shared" si="10"/>
        <v>2923.83</v>
      </c>
    </row>
    <row r="86" spans="2:75" x14ac:dyDescent="0.25">
      <c r="B86" s="350">
        <v>13151</v>
      </c>
      <c r="C86" s="507"/>
      <c r="D86" s="406" t="s">
        <v>673</v>
      </c>
      <c r="E86" s="342">
        <f>IFERROR(VLOOKUP(B86,BDFD!$B:$BG,38,FALSE),0)</f>
        <v>0</v>
      </c>
      <c r="F86" s="342">
        <f>IFERROR(VLOOKUP(B86,BDFD!$B:$BG,41,FALSE),0)</f>
        <v>-1</v>
      </c>
      <c r="G86" s="342">
        <f>IFERROR(VLOOKUP(B86,BDFD!$B:$BG,44,FALSE),0)</f>
        <v>1530</v>
      </c>
      <c r="H86" s="342">
        <f>IFERROR(VLOOKUP(B86,BDFD!$B:$BG,47,FALSE),0)</f>
        <v>0</v>
      </c>
      <c r="I86" s="342">
        <f>IFERROR(VLOOKUP(B86,BDFD!$B:$BG,50,FALSE),0)</f>
        <v>4800</v>
      </c>
      <c r="J86" s="342">
        <f>IFERROR(VLOOKUP(B86,BDFD!$B:$BG,53,FALSE),0)</f>
        <v>0</v>
      </c>
      <c r="K86" s="342">
        <f>IFERROR(VLOOKUP(B86,BDFD!$B:$BG,56,FALSE),0)</f>
        <v>0</v>
      </c>
      <c r="L86" s="342">
        <v>856.80000000000007</v>
      </c>
      <c r="M86" s="342">
        <v>1071</v>
      </c>
      <c r="N86" s="342">
        <v>1071</v>
      </c>
      <c r="O86" s="342">
        <v>1071</v>
      </c>
      <c r="P86" s="342">
        <v>856.80000000000007</v>
      </c>
      <c r="Q86" s="343">
        <f t="shared" si="6"/>
        <v>11255.599999999999</v>
      </c>
      <c r="R86" s="400"/>
      <c r="S86" s="344">
        <v>1.78925</v>
      </c>
      <c r="T86" s="344">
        <v>1.96</v>
      </c>
      <c r="U86" s="344">
        <v>1.8025100000000003</v>
      </c>
      <c r="V86" s="344">
        <v>0.78</v>
      </c>
      <c r="W86" s="344"/>
      <c r="X86" s="346">
        <v>2699.7252423059258</v>
      </c>
      <c r="Y86" s="347">
        <v>0.25</v>
      </c>
      <c r="Z86" s="350">
        <v>13151</v>
      </c>
      <c r="AA86" s="507"/>
      <c r="AB86" s="406" t="s">
        <v>673</v>
      </c>
      <c r="AC86" s="348">
        <v>191.68049220372072</v>
      </c>
      <c r="AD86" s="342">
        <v>199.77966793063851</v>
      </c>
      <c r="AE86" s="342">
        <v>215.97801938447407</v>
      </c>
      <c r="AF86" s="342">
        <v>232.17637083830959</v>
      </c>
      <c r="AG86" s="342">
        <v>242.97527180753332</v>
      </c>
      <c r="AH86" s="342">
        <v>237.57582132292146</v>
      </c>
      <c r="AI86" s="342">
        <v>234.87609608061553</v>
      </c>
      <c r="AJ86" s="342">
        <v>215.97801938447407</v>
      </c>
      <c r="AK86" s="342">
        <v>242.97527180753332</v>
      </c>
      <c r="AL86" s="342">
        <v>248.37472229214518</v>
      </c>
      <c r="AM86" s="342">
        <v>226.77692035369779</v>
      </c>
      <c r="AN86" s="342">
        <v>210.5785688998622</v>
      </c>
      <c r="AO86" s="343">
        <v>2699.7252423059258</v>
      </c>
      <c r="AP86" s="346">
        <v>0</v>
      </c>
      <c r="AQ86" s="346"/>
      <c r="AR86" s="350">
        <v>13151</v>
      </c>
      <c r="AS86" s="507"/>
      <c r="AT86" s="406" t="s">
        <v>673</v>
      </c>
      <c r="AU86" s="342">
        <v>958.40246101860362</v>
      </c>
      <c r="AV86" s="342">
        <v>998.89833965319258</v>
      </c>
      <c r="AW86" s="342">
        <v>1079.8900969223703</v>
      </c>
      <c r="AX86" s="342">
        <v>1160.881854191548</v>
      </c>
      <c r="AY86" s="342">
        <v>1214.8763590376666</v>
      </c>
      <c r="AZ86" s="342">
        <v>1187.8791066146073</v>
      </c>
      <c r="BA86" s="342">
        <v>1174.3804804030776</v>
      </c>
      <c r="BB86" s="342">
        <v>1079.8900969223703</v>
      </c>
      <c r="BC86" s="342">
        <v>1214.8763590376666</v>
      </c>
      <c r="BD86" s="342">
        <v>1241.8736114607259</v>
      </c>
      <c r="BE86" s="342">
        <v>1133.8846017684889</v>
      </c>
      <c r="BF86" s="342">
        <v>1052.892844499311</v>
      </c>
      <c r="BG86" s="343">
        <v>13498.626211529625</v>
      </c>
      <c r="BH86" s="513">
        <f t="shared" si="7"/>
        <v>6329</v>
      </c>
      <c r="BI86" s="513">
        <f t="shared" si="8"/>
        <v>4926.6000000000004</v>
      </c>
      <c r="BL86" s="342">
        <f t="shared" si="11"/>
        <v>873.93600000000004</v>
      </c>
      <c r="BM86" s="342">
        <f t="shared" si="12"/>
        <v>1092.42</v>
      </c>
      <c r="BN86" s="342">
        <f t="shared" si="13"/>
        <v>1092.42</v>
      </c>
      <c r="BO86" s="342">
        <f t="shared" si="14"/>
        <v>1092.42</v>
      </c>
      <c r="BP86" s="342">
        <f t="shared" si="15"/>
        <v>873.93600000000004</v>
      </c>
      <c r="BS86" s="342">
        <f t="shared" si="16"/>
        <v>899.6400000000001</v>
      </c>
      <c r="BT86" s="342">
        <f t="shared" si="10"/>
        <v>1124.55</v>
      </c>
      <c r="BU86" s="342">
        <f t="shared" si="10"/>
        <v>1124.55</v>
      </c>
      <c r="BV86" s="342">
        <f t="shared" si="10"/>
        <v>1124.55</v>
      </c>
      <c r="BW86" s="342">
        <f t="shared" si="10"/>
        <v>899.6400000000001</v>
      </c>
    </row>
    <row r="87" spans="2:75" x14ac:dyDescent="0.25">
      <c r="B87" s="350">
        <v>13150</v>
      </c>
      <c r="C87" s="507"/>
      <c r="D87" s="406" t="s">
        <v>674</v>
      </c>
      <c r="E87" s="342">
        <f>IFERROR(VLOOKUP(B87,BDFD!$B:$BG,38,FALSE),0)</f>
        <v>4120</v>
      </c>
      <c r="F87" s="342">
        <f>IFERROR(VLOOKUP(B87,BDFD!$B:$BG,41,FALSE),0)</f>
        <v>1800</v>
      </c>
      <c r="G87" s="342">
        <f>IFERROR(VLOOKUP(B87,BDFD!$B:$BG,44,FALSE),0)</f>
        <v>7540</v>
      </c>
      <c r="H87" s="342">
        <f>IFERROR(VLOOKUP(B87,BDFD!$B:$BG,47,FALSE),0)</f>
        <v>0</v>
      </c>
      <c r="I87" s="342">
        <f>IFERROR(VLOOKUP(B87,BDFD!$B:$BG,50,FALSE),0)</f>
        <v>5207</v>
      </c>
      <c r="J87" s="342">
        <f>IFERROR(VLOOKUP(B87,BDFD!$B:$BG,53,FALSE),0)</f>
        <v>0</v>
      </c>
      <c r="K87" s="342">
        <f>IFERROR(VLOOKUP(B87,BDFD!$B:$BG,56,FALSE),0)</f>
        <v>384</v>
      </c>
      <c r="L87" s="342">
        <v>2998.8</v>
      </c>
      <c r="M87" s="342">
        <v>3213</v>
      </c>
      <c r="N87" s="342">
        <v>3213</v>
      </c>
      <c r="O87" s="342">
        <v>3213</v>
      </c>
      <c r="P87" s="342">
        <v>2998.8</v>
      </c>
      <c r="Q87" s="343">
        <f t="shared" si="6"/>
        <v>34687.599999999999</v>
      </c>
      <c r="R87" s="400"/>
      <c r="S87" s="344">
        <v>2.611966666666667</v>
      </c>
      <c r="T87" s="344">
        <v>2.7324159999999997</v>
      </c>
      <c r="U87" s="344">
        <v>2.5305826666666671</v>
      </c>
      <c r="V87" s="344">
        <v>1.17</v>
      </c>
      <c r="W87" s="344"/>
      <c r="X87" s="346">
        <v>9506.2182728048356</v>
      </c>
      <c r="Y87" s="347">
        <v>0.25</v>
      </c>
      <c r="Z87" s="350">
        <v>13150</v>
      </c>
      <c r="AA87" s="507"/>
      <c r="AB87" s="406" t="s">
        <v>674</v>
      </c>
      <c r="AC87" s="348">
        <v>674.94149736914335</v>
      </c>
      <c r="AD87" s="342">
        <v>703.46015218755792</v>
      </c>
      <c r="AE87" s="342">
        <v>760.49746182438696</v>
      </c>
      <c r="AF87" s="342">
        <v>817.534771461216</v>
      </c>
      <c r="AG87" s="342">
        <v>855.55964455243532</v>
      </c>
      <c r="AH87" s="342">
        <v>836.5472080068256</v>
      </c>
      <c r="AI87" s="342">
        <v>827.04098973402074</v>
      </c>
      <c r="AJ87" s="342">
        <v>760.49746182438696</v>
      </c>
      <c r="AK87" s="342">
        <v>855.55964455243532</v>
      </c>
      <c r="AL87" s="342">
        <v>874.57208109804503</v>
      </c>
      <c r="AM87" s="342">
        <v>798.52233491560639</v>
      </c>
      <c r="AN87" s="342">
        <v>741.48502527877736</v>
      </c>
      <c r="AO87" s="343">
        <v>9506.2182728048356</v>
      </c>
      <c r="AP87" s="346">
        <v>0</v>
      </c>
      <c r="AQ87" s="346"/>
      <c r="AR87" s="350">
        <v>13150</v>
      </c>
      <c r="AS87" s="507"/>
      <c r="AT87" s="406" t="s">
        <v>674</v>
      </c>
      <c r="AU87" s="342">
        <v>3374.7074868457166</v>
      </c>
      <c r="AV87" s="342">
        <v>3517.3007609377896</v>
      </c>
      <c r="AW87" s="342">
        <v>3802.4873091219347</v>
      </c>
      <c r="AX87" s="342">
        <v>4087.6738573060802</v>
      </c>
      <c r="AY87" s="342">
        <v>4277.7982227621769</v>
      </c>
      <c r="AZ87" s="342">
        <v>4182.7360400341277</v>
      </c>
      <c r="BA87" s="342">
        <v>4135.2049486701035</v>
      </c>
      <c r="BB87" s="342">
        <v>3802.4873091219347</v>
      </c>
      <c r="BC87" s="342">
        <v>4277.7982227621769</v>
      </c>
      <c r="BD87" s="342">
        <v>4372.8604054902253</v>
      </c>
      <c r="BE87" s="342">
        <v>3992.6116745780319</v>
      </c>
      <c r="BF87" s="342">
        <v>3707.4251263938868</v>
      </c>
      <c r="BG87" s="343">
        <v>47531.091364024178</v>
      </c>
      <c r="BH87" s="513">
        <f t="shared" si="7"/>
        <v>19051</v>
      </c>
      <c r="BI87" s="513">
        <f t="shared" si="8"/>
        <v>15636.599999999999</v>
      </c>
      <c r="BL87" s="342">
        <f t="shared" si="11"/>
        <v>3058.7760000000003</v>
      </c>
      <c r="BM87" s="342">
        <f t="shared" si="12"/>
        <v>3277.26</v>
      </c>
      <c r="BN87" s="342">
        <f t="shared" si="13"/>
        <v>3277.26</v>
      </c>
      <c r="BO87" s="342">
        <f t="shared" si="14"/>
        <v>3277.26</v>
      </c>
      <c r="BP87" s="342">
        <f t="shared" si="15"/>
        <v>3058.7760000000003</v>
      </c>
      <c r="BS87" s="342">
        <f t="shared" si="16"/>
        <v>3148.7400000000002</v>
      </c>
      <c r="BT87" s="342">
        <f t="shared" si="10"/>
        <v>3373.65</v>
      </c>
      <c r="BU87" s="342">
        <f t="shared" si="10"/>
        <v>3373.65</v>
      </c>
      <c r="BV87" s="342">
        <f t="shared" si="10"/>
        <v>3373.65</v>
      </c>
      <c r="BW87" s="342">
        <f t="shared" si="10"/>
        <v>3148.7400000000002</v>
      </c>
    </row>
    <row r="88" spans="2:75" x14ac:dyDescent="0.25">
      <c r="B88" s="350">
        <v>13093</v>
      </c>
      <c r="C88" s="507"/>
      <c r="D88" s="407" t="s">
        <v>675</v>
      </c>
      <c r="E88" s="342">
        <f>IFERROR(VLOOKUP(B88,BDFD!$B:$BG,38,FALSE),0)</f>
        <v>1775</v>
      </c>
      <c r="F88" s="342">
        <f>IFERROR(VLOOKUP(B88,BDFD!$B:$BG,41,FALSE),0)</f>
        <v>3547</v>
      </c>
      <c r="G88" s="342">
        <f>IFERROR(VLOOKUP(B88,BDFD!$B:$BG,44,FALSE),0)</f>
        <v>5520</v>
      </c>
      <c r="H88" s="342">
        <f>IFERROR(VLOOKUP(B88,BDFD!$B:$BG,47,FALSE),0)</f>
        <v>3922</v>
      </c>
      <c r="I88" s="342">
        <f>IFERROR(VLOOKUP(B88,BDFD!$B:$BG,50,FALSE),0)</f>
        <v>10722</v>
      </c>
      <c r="J88" s="342">
        <f>IFERROR(VLOOKUP(B88,BDFD!$B:$BG,53,FALSE),0)</f>
        <v>2514</v>
      </c>
      <c r="K88" s="342">
        <f>IFERROR(VLOOKUP(B88,BDFD!$B:$BG,56,FALSE),0)</f>
        <v>1200</v>
      </c>
      <c r="L88" s="342">
        <v>3800</v>
      </c>
      <c r="M88" s="342">
        <v>3800</v>
      </c>
      <c r="N88" s="342">
        <v>3800</v>
      </c>
      <c r="O88" s="342">
        <v>4000</v>
      </c>
      <c r="P88" s="342">
        <v>3500</v>
      </c>
      <c r="Q88" s="343">
        <f t="shared" si="6"/>
        <v>48100</v>
      </c>
      <c r="R88" s="400"/>
      <c r="S88" s="344">
        <v>4.9540782588913324</v>
      </c>
      <c r="T88" s="344">
        <v>4.8153678634490875</v>
      </c>
      <c r="U88" s="344">
        <v>5.0894400000000006</v>
      </c>
      <c r="V88" s="344">
        <v>2.98</v>
      </c>
      <c r="W88" s="344"/>
      <c r="X88" s="346">
        <v>6488.0958365197794</v>
      </c>
      <c r="Y88" s="347">
        <v>0.2</v>
      </c>
      <c r="Z88" s="350">
        <v>13093</v>
      </c>
      <c r="AA88" s="507"/>
      <c r="AB88" s="407" t="s">
        <v>675</v>
      </c>
      <c r="AC88" s="348">
        <v>460.65480439290417</v>
      </c>
      <c r="AD88" s="342">
        <v>480.11909190246354</v>
      </c>
      <c r="AE88" s="342">
        <v>519.04766692158216</v>
      </c>
      <c r="AF88" s="342">
        <v>557.97624194070079</v>
      </c>
      <c r="AG88" s="342">
        <v>583.92862528677995</v>
      </c>
      <c r="AH88" s="342">
        <v>570.95243361374048</v>
      </c>
      <c r="AI88" s="342">
        <v>564.46433777722063</v>
      </c>
      <c r="AJ88" s="342">
        <v>519.04766692158216</v>
      </c>
      <c r="AK88" s="342">
        <v>583.92862528677995</v>
      </c>
      <c r="AL88" s="342">
        <v>596.90481695981953</v>
      </c>
      <c r="AM88" s="342">
        <v>545.00005026766132</v>
      </c>
      <c r="AN88" s="342">
        <v>506.07147524854264</v>
      </c>
      <c r="AO88" s="343">
        <v>6488.0958365197775</v>
      </c>
      <c r="AP88" s="346">
        <v>0</v>
      </c>
      <c r="AQ88" s="346"/>
      <c r="AR88" s="350">
        <v>13093</v>
      </c>
      <c r="AS88" s="507"/>
      <c r="AT88" s="407" t="s">
        <v>675</v>
      </c>
      <c r="AU88" s="342">
        <v>2763.9288263574249</v>
      </c>
      <c r="AV88" s="342">
        <v>2880.714551414781</v>
      </c>
      <c r="AW88" s="342">
        <v>3114.2860015294932</v>
      </c>
      <c r="AX88" s="342">
        <v>3347.8574516442045</v>
      </c>
      <c r="AY88" s="342">
        <v>3503.5717517206799</v>
      </c>
      <c r="AZ88" s="342">
        <v>3425.7146016824427</v>
      </c>
      <c r="BA88" s="342">
        <v>3386.7860266633234</v>
      </c>
      <c r="BB88" s="342">
        <v>3114.2860015294932</v>
      </c>
      <c r="BC88" s="342">
        <v>3503.5717517206799</v>
      </c>
      <c r="BD88" s="342">
        <v>3581.4289017589172</v>
      </c>
      <c r="BE88" s="342">
        <v>3270.0003016059677</v>
      </c>
      <c r="BF88" s="342">
        <v>3036.428851491256</v>
      </c>
      <c r="BG88" s="343">
        <v>38928.575019118667</v>
      </c>
      <c r="BH88" s="513">
        <f t="shared" si="7"/>
        <v>29200</v>
      </c>
      <c r="BI88" s="513">
        <f t="shared" si="8"/>
        <v>18900</v>
      </c>
    </row>
    <row r="89" spans="2:75" x14ac:dyDescent="0.25">
      <c r="B89" s="350">
        <v>13091</v>
      </c>
      <c r="C89" s="507"/>
      <c r="D89" s="407" t="s">
        <v>676</v>
      </c>
      <c r="E89" s="342">
        <f>IFERROR(VLOOKUP(B89,BDFD!$B:$BG,38,FALSE),0)</f>
        <v>2640</v>
      </c>
      <c r="F89" s="342">
        <f>IFERROR(VLOOKUP(B89,BDFD!$B:$BG,41,FALSE),0)</f>
        <v>3900</v>
      </c>
      <c r="G89" s="342">
        <f>IFERROR(VLOOKUP(B89,BDFD!$B:$BG,44,FALSE),0)</f>
        <v>4687</v>
      </c>
      <c r="H89" s="342">
        <f>IFERROR(VLOOKUP(B89,BDFD!$B:$BG,47,FALSE),0)</f>
        <v>9525</v>
      </c>
      <c r="I89" s="342">
        <f>IFERROR(VLOOKUP(B89,BDFD!$B:$BG,50,FALSE),0)</f>
        <v>7460</v>
      </c>
      <c r="J89" s="342">
        <f>IFERROR(VLOOKUP(B89,BDFD!$B:$BG,53,FALSE),0)</f>
        <v>1185</v>
      </c>
      <c r="K89" s="342">
        <f>IFERROR(VLOOKUP(B89,BDFD!$B:$BG,56,FALSE),0)</f>
        <v>6600</v>
      </c>
      <c r="L89" s="342">
        <v>5000</v>
      </c>
      <c r="M89" s="342">
        <v>5000</v>
      </c>
      <c r="N89" s="342">
        <v>5000</v>
      </c>
      <c r="O89" s="342">
        <v>5500</v>
      </c>
      <c r="P89" s="342">
        <v>4500</v>
      </c>
      <c r="Q89" s="343">
        <f t="shared" si="6"/>
        <v>60997</v>
      </c>
      <c r="R89" s="400"/>
      <c r="S89" s="344">
        <v>5.189797846142536</v>
      </c>
      <c r="T89" s="344">
        <v>3.5928500000000003</v>
      </c>
      <c r="U89" s="344">
        <v>5.0894400000000006</v>
      </c>
      <c r="V89" s="344">
        <v>2.97</v>
      </c>
      <c r="W89" s="344"/>
      <c r="X89" s="346">
        <v>8476.8851864072294</v>
      </c>
      <c r="Y89" s="347">
        <v>0.2</v>
      </c>
      <c r="Z89" s="350">
        <v>13091</v>
      </c>
      <c r="AA89" s="507"/>
      <c r="AB89" s="407" t="s">
        <v>676</v>
      </c>
      <c r="AC89" s="348">
        <v>601.85884823491335</v>
      </c>
      <c r="AD89" s="342">
        <v>627.28950379413504</v>
      </c>
      <c r="AE89" s="342">
        <v>678.15081491257843</v>
      </c>
      <c r="AF89" s="342">
        <v>729.01212603102181</v>
      </c>
      <c r="AG89" s="342">
        <v>762.91966677665073</v>
      </c>
      <c r="AH89" s="342">
        <v>745.96589640383627</v>
      </c>
      <c r="AI89" s="342">
        <v>737.48901121742904</v>
      </c>
      <c r="AJ89" s="342">
        <v>678.15081491257843</v>
      </c>
      <c r="AK89" s="342">
        <v>762.91966677665073</v>
      </c>
      <c r="AL89" s="342">
        <v>779.87343714946519</v>
      </c>
      <c r="AM89" s="342">
        <v>712.05835565820746</v>
      </c>
      <c r="AN89" s="342">
        <v>661.19704453976408</v>
      </c>
      <c r="AO89" s="343">
        <v>8476.8851864072312</v>
      </c>
      <c r="AP89" s="346">
        <v>0</v>
      </c>
      <c r="AQ89" s="346"/>
      <c r="AR89" s="350">
        <v>13091</v>
      </c>
      <c r="AS89" s="507"/>
      <c r="AT89" s="407" t="s">
        <v>676</v>
      </c>
      <c r="AU89" s="342">
        <v>3611.1530894094799</v>
      </c>
      <c r="AV89" s="342">
        <v>3763.7370227648098</v>
      </c>
      <c r="AW89" s="342">
        <v>4068.9048894754706</v>
      </c>
      <c r="AX89" s="342">
        <v>4374.0727561861304</v>
      </c>
      <c r="AY89" s="342">
        <v>4577.5180006599039</v>
      </c>
      <c r="AZ89" s="342">
        <v>4475.7953784230176</v>
      </c>
      <c r="BA89" s="342">
        <v>4424.9340673045745</v>
      </c>
      <c r="BB89" s="342">
        <v>4068.9048894754706</v>
      </c>
      <c r="BC89" s="342">
        <v>4577.5180006599039</v>
      </c>
      <c r="BD89" s="342">
        <v>4679.2406228967911</v>
      </c>
      <c r="BE89" s="342">
        <v>4272.350133949245</v>
      </c>
      <c r="BF89" s="342">
        <v>3967.1822672385842</v>
      </c>
      <c r="BG89" s="343">
        <v>50861.311118443373</v>
      </c>
      <c r="BH89" s="513">
        <f t="shared" si="7"/>
        <v>35997</v>
      </c>
      <c r="BI89" s="513">
        <f t="shared" si="8"/>
        <v>25000</v>
      </c>
    </row>
    <row r="90" spans="2:75" x14ac:dyDescent="0.25">
      <c r="B90" s="350">
        <v>13089</v>
      </c>
      <c r="C90" s="507"/>
      <c r="D90" s="406" t="s">
        <v>677</v>
      </c>
      <c r="E90" s="342">
        <f>IFERROR(VLOOKUP(B90,BDFD!$B:$BG,38,FALSE),0)</f>
        <v>4847</v>
      </c>
      <c r="F90" s="342">
        <f>IFERROR(VLOOKUP(B90,BDFD!$B:$BG,41,FALSE),0)</f>
        <v>5300</v>
      </c>
      <c r="G90" s="342">
        <f>IFERROR(VLOOKUP(B90,BDFD!$B:$BG,44,FALSE),0)</f>
        <v>5547</v>
      </c>
      <c r="H90" s="342">
        <f>IFERROR(VLOOKUP(B90,BDFD!$B:$BG,47,FALSE),0)</f>
        <v>400</v>
      </c>
      <c r="I90" s="342">
        <f>IFERROR(VLOOKUP(B90,BDFD!$B:$BG,50,FALSE),0)</f>
        <v>9992</v>
      </c>
      <c r="J90" s="342">
        <f>IFERROR(VLOOKUP(B90,BDFD!$B:$BG,53,FALSE),0)</f>
        <v>5450</v>
      </c>
      <c r="K90" s="342">
        <f>IFERROR(VLOOKUP(B90,BDFD!$B:$BG,56,FALSE),0)</f>
        <v>7228</v>
      </c>
      <c r="L90" s="342">
        <v>5100</v>
      </c>
      <c r="M90" s="342">
        <v>5100</v>
      </c>
      <c r="N90" s="342">
        <v>5100</v>
      </c>
      <c r="O90" s="342">
        <v>5500</v>
      </c>
      <c r="P90" s="342">
        <v>4800</v>
      </c>
      <c r="Q90" s="343">
        <f t="shared" si="6"/>
        <v>64364</v>
      </c>
      <c r="R90" s="400"/>
      <c r="S90" s="344">
        <v>5.2021870998426811</v>
      </c>
      <c r="T90" s="344">
        <v>4.8950565709312448</v>
      </c>
      <c r="U90" s="344">
        <v>5.0894400000000006</v>
      </c>
      <c r="V90" s="344">
        <v>2.97</v>
      </c>
      <c r="W90" s="344"/>
      <c r="X90" s="346">
        <v>8713.0295462219547</v>
      </c>
      <c r="Y90" s="347">
        <v>0.2</v>
      </c>
      <c r="Z90" s="350">
        <v>13089</v>
      </c>
      <c r="AA90" s="507"/>
      <c r="AB90" s="406" t="s">
        <v>677</v>
      </c>
      <c r="AC90" s="348">
        <v>618.62509778175865</v>
      </c>
      <c r="AD90" s="342">
        <v>644.76418642042461</v>
      </c>
      <c r="AE90" s="342">
        <v>697.0423636977564</v>
      </c>
      <c r="AF90" s="342">
        <v>749.32054097508808</v>
      </c>
      <c r="AG90" s="342">
        <v>784.17265915997586</v>
      </c>
      <c r="AH90" s="342">
        <v>766.74660006753197</v>
      </c>
      <c r="AI90" s="342">
        <v>758.03357052131003</v>
      </c>
      <c r="AJ90" s="342">
        <v>697.0423636977564</v>
      </c>
      <c r="AK90" s="342">
        <v>784.17265915997586</v>
      </c>
      <c r="AL90" s="342">
        <v>801.59871825241976</v>
      </c>
      <c r="AM90" s="342">
        <v>731.89448188264419</v>
      </c>
      <c r="AN90" s="342">
        <v>679.61630460531251</v>
      </c>
      <c r="AO90" s="343">
        <v>8713.0295462219547</v>
      </c>
      <c r="AP90" s="346">
        <v>0</v>
      </c>
      <c r="AQ90" s="346"/>
      <c r="AR90" s="350">
        <v>13089</v>
      </c>
      <c r="AS90" s="507"/>
      <c r="AT90" s="406" t="s">
        <v>677</v>
      </c>
      <c r="AU90" s="342">
        <v>3711.7505866905517</v>
      </c>
      <c r="AV90" s="342">
        <v>3868.5851185225474</v>
      </c>
      <c r="AW90" s="342">
        <v>4182.2541821865379</v>
      </c>
      <c r="AX90" s="342">
        <v>4495.9232458505285</v>
      </c>
      <c r="AY90" s="342">
        <v>4705.0359549598552</v>
      </c>
      <c r="AZ90" s="342">
        <v>4600.4796004051914</v>
      </c>
      <c r="BA90" s="342">
        <v>4548.2014231278599</v>
      </c>
      <c r="BB90" s="342">
        <v>4182.2541821865379</v>
      </c>
      <c r="BC90" s="342">
        <v>4705.0359549598552</v>
      </c>
      <c r="BD90" s="342">
        <v>4809.5923095145181</v>
      </c>
      <c r="BE90" s="342">
        <v>4391.3668912958647</v>
      </c>
      <c r="BF90" s="342">
        <v>4077.6978276318746</v>
      </c>
      <c r="BG90" s="343">
        <v>52278.177277331728</v>
      </c>
      <c r="BH90" s="513">
        <f t="shared" si="7"/>
        <v>38764</v>
      </c>
      <c r="BI90" s="513">
        <f t="shared" si="8"/>
        <v>25600</v>
      </c>
    </row>
    <row r="91" spans="2:75" x14ac:dyDescent="0.25">
      <c r="B91" s="339">
        <v>13015</v>
      </c>
      <c r="C91" s="502" t="s">
        <v>103</v>
      </c>
      <c r="D91" s="406" t="s">
        <v>104</v>
      </c>
      <c r="E91" s="342">
        <f>IFERROR(VLOOKUP(B91,BDFD!$B:$BG,38,FALSE),0)</f>
        <v>154</v>
      </c>
      <c r="F91" s="342">
        <f>IFERROR(VLOOKUP(B91,BDFD!$B:$BG,41,FALSE),0)</f>
        <v>1214</v>
      </c>
      <c r="G91" s="342">
        <f>IFERROR(VLOOKUP(B91,BDFD!$B:$BG,44,FALSE),0)</f>
        <v>640</v>
      </c>
      <c r="H91" s="342">
        <f>IFERROR(VLOOKUP(B91,BDFD!$B:$BG,47,FALSE),0)</f>
        <v>1086</v>
      </c>
      <c r="I91" s="342">
        <f>IFERROR(VLOOKUP(B91,BDFD!$B:$BG,50,FALSE),0)</f>
        <v>920</v>
      </c>
      <c r="J91" s="342">
        <f>IFERROR(VLOOKUP(B91,BDFD!$B:$BG,53,FALSE),0)</f>
        <v>898</v>
      </c>
      <c r="K91" s="342">
        <f>IFERROR(VLOOKUP(B91,BDFD!$B:$BG,56,FALSE),0)</f>
        <v>922</v>
      </c>
      <c r="L91" s="342">
        <v>900</v>
      </c>
      <c r="M91" s="342">
        <v>900</v>
      </c>
      <c r="N91" s="342">
        <v>900</v>
      </c>
      <c r="O91" s="342">
        <v>1000</v>
      </c>
      <c r="P91" s="342">
        <v>800</v>
      </c>
      <c r="Q91" s="343">
        <f t="shared" si="6"/>
        <v>10334</v>
      </c>
      <c r="R91" s="400"/>
      <c r="S91" s="344">
        <v>4.6417260273972598</v>
      </c>
      <c r="T91" s="344">
        <v>4.4352442159383028</v>
      </c>
      <c r="U91" s="344">
        <v>4.7572126666666676</v>
      </c>
      <c r="V91" s="344">
        <v>2.72</v>
      </c>
      <c r="W91" s="344"/>
      <c r="X91" s="346">
        <v>1651.9600754183357</v>
      </c>
      <c r="Y91" s="347">
        <v>0.15</v>
      </c>
      <c r="Z91" s="339">
        <v>13015</v>
      </c>
      <c r="AA91" s="502" t="s">
        <v>103</v>
      </c>
      <c r="AB91" s="406" t="s">
        <v>104</v>
      </c>
      <c r="AC91" s="348">
        <v>117.28916535470184</v>
      </c>
      <c r="AD91" s="342">
        <v>122.24504558095686</v>
      </c>
      <c r="AE91" s="342">
        <v>132.15680603346686</v>
      </c>
      <c r="AF91" s="342">
        <v>142.06856648597687</v>
      </c>
      <c r="AG91" s="342">
        <v>148.67640678765022</v>
      </c>
      <c r="AH91" s="342">
        <v>145.37248663681356</v>
      </c>
      <c r="AI91" s="342">
        <v>143.72052656139522</v>
      </c>
      <c r="AJ91" s="342">
        <v>132.15680603346686</v>
      </c>
      <c r="AK91" s="342">
        <v>148.67640678765022</v>
      </c>
      <c r="AL91" s="342">
        <v>151.98032693848691</v>
      </c>
      <c r="AM91" s="342">
        <v>138.76464633514021</v>
      </c>
      <c r="AN91" s="342">
        <v>128.8528858826302</v>
      </c>
      <c r="AO91" s="343">
        <v>1651.9600754183359</v>
      </c>
      <c r="AP91" s="346">
        <v>0</v>
      </c>
      <c r="AQ91" s="346"/>
      <c r="AR91" s="339">
        <v>13015</v>
      </c>
      <c r="AS91" s="502" t="s">
        <v>103</v>
      </c>
      <c r="AT91" s="406" t="s">
        <v>104</v>
      </c>
      <c r="AU91" s="342">
        <v>899.21693438604746</v>
      </c>
      <c r="AV91" s="342">
        <v>937.2120161206692</v>
      </c>
      <c r="AW91" s="342">
        <v>1013.2021795899127</v>
      </c>
      <c r="AX91" s="342">
        <v>1089.192343059156</v>
      </c>
      <c r="AY91" s="342">
        <v>1139.8524520386518</v>
      </c>
      <c r="AZ91" s="342">
        <v>1114.5223975489039</v>
      </c>
      <c r="BA91" s="342">
        <v>1101.8573703040302</v>
      </c>
      <c r="BB91" s="342">
        <v>1013.2021795899127</v>
      </c>
      <c r="BC91" s="342">
        <v>1139.8524520386518</v>
      </c>
      <c r="BD91" s="342">
        <v>1165.1825065283997</v>
      </c>
      <c r="BE91" s="342">
        <v>1063.8622885694083</v>
      </c>
      <c r="BF91" s="342">
        <v>987.87212510016491</v>
      </c>
      <c r="BG91" s="343">
        <v>12665.027244873909</v>
      </c>
      <c r="BH91" s="513">
        <f t="shared" si="7"/>
        <v>5834</v>
      </c>
      <c r="BI91" s="513">
        <f t="shared" si="8"/>
        <v>4500</v>
      </c>
    </row>
    <row r="92" spans="2:75" x14ac:dyDescent="0.25">
      <c r="B92" s="339">
        <v>13023</v>
      </c>
      <c r="C92" s="503"/>
      <c r="D92" s="408" t="s">
        <v>105</v>
      </c>
      <c r="E92" s="342">
        <f>IFERROR(VLOOKUP(B92,BDFD!$B:$BG,38,FALSE),0)</f>
        <v>447</v>
      </c>
      <c r="F92" s="342">
        <f>IFERROR(VLOOKUP(B92,BDFD!$B:$BG,41,FALSE),0)</f>
        <v>-76</v>
      </c>
      <c r="G92" s="342">
        <f>IFERROR(VLOOKUP(B92,BDFD!$B:$BG,44,FALSE),0)</f>
        <v>-158</v>
      </c>
      <c r="H92" s="342">
        <f>IFERROR(VLOOKUP(B92,BDFD!$B:$BG,47,FALSE),0)</f>
        <v>-51</v>
      </c>
      <c r="I92" s="342">
        <f>IFERROR(VLOOKUP(B92,BDFD!$B:$BG,50,FALSE),0)</f>
        <v>1748</v>
      </c>
      <c r="J92" s="342">
        <f>IFERROR(VLOOKUP(B92,BDFD!$B:$BG,53,FALSE),0)</f>
        <v>2076</v>
      </c>
      <c r="K92" s="342">
        <f>IFERROR(VLOOKUP(B92,BDFD!$B:$BG,56,FALSE),0)</f>
        <v>2375</v>
      </c>
      <c r="L92" s="342">
        <v>0</v>
      </c>
      <c r="M92" s="342">
        <v>0</v>
      </c>
      <c r="N92" s="342">
        <v>0</v>
      </c>
      <c r="O92" s="342">
        <v>3000</v>
      </c>
      <c r="P92" s="342">
        <v>1500</v>
      </c>
      <c r="Q92" s="343">
        <f t="shared" si="6"/>
        <v>10861</v>
      </c>
      <c r="R92" s="400"/>
      <c r="S92" s="344">
        <v>4.9419999999999993</v>
      </c>
      <c r="T92" s="344">
        <v>5.3088059701492538</v>
      </c>
      <c r="U92" s="344">
        <v>5.6054526666666673</v>
      </c>
      <c r="V92" s="344">
        <v>2.73</v>
      </c>
      <c r="W92" s="344"/>
      <c r="X92" s="346">
        <v>0</v>
      </c>
      <c r="Y92" s="347">
        <v>0.15</v>
      </c>
      <c r="Z92" s="339">
        <v>13023</v>
      </c>
      <c r="AA92" s="503"/>
      <c r="AB92" s="408" t="s">
        <v>105</v>
      </c>
      <c r="AC92" s="342">
        <v>0</v>
      </c>
      <c r="AD92" s="342">
        <v>0</v>
      </c>
      <c r="AE92" s="342">
        <v>0</v>
      </c>
      <c r="AF92" s="342">
        <v>0</v>
      </c>
      <c r="AG92" s="342">
        <v>0</v>
      </c>
      <c r="AH92" s="342">
        <v>0</v>
      </c>
      <c r="AI92" s="342">
        <v>0</v>
      </c>
      <c r="AJ92" s="342">
        <v>0</v>
      </c>
      <c r="AK92" s="342">
        <v>0</v>
      </c>
      <c r="AL92" s="342">
        <v>0</v>
      </c>
      <c r="AM92" s="342">
        <v>0</v>
      </c>
      <c r="AN92" s="342">
        <v>0</v>
      </c>
      <c r="AO92" s="343">
        <v>0</v>
      </c>
      <c r="AP92" s="346">
        <v>0</v>
      </c>
      <c r="AQ92" s="346"/>
      <c r="AR92" s="339">
        <v>13023</v>
      </c>
      <c r="AS92" s="503"/>
      <c r="AT92" s="408" t="s">
        <v>105</v>
      </c>
      <c r="AU92" s="342">
        <v>0</v>
      </c>
      <c r="AV92" s="342">
        <v>0</v>
      </c>
      <c r="AW92" s="342">
        <v>0</v>
      </c>
      <c r="AX92" s="342">
        <v>0</v>
      </c>
      <c r="AY92" s="342">
        <v>0</v>
      </c>
      <c r="AZ92" s="342">
        <v>0</v>
      </c>
      <c r="BA92" s="342">
        <v>0</v>
      </c>
      <c r="BB92" s="342">
        <v>0</v>
      </c>
      <c r="BC92" s="342">
        <v>0</v>
      </c>
      <c r="BD92" s="342">
        <v>0</v>
      </c>
      <c r="BE92" s="342">
        <v>0</v>
      </c>
      <c r="BF92" s="342">
        <v>0</v>
      </c>
      <c r="BG92" s="343">
        <v>0</v>
      </c>
      <c r="BH92" s="513">
        <f t="shared" si="7"/>
        <v>6361</v>
      </c>
      <c r="BI92" s="513">
        <f t="shared" si="8"/>
        <v>4500</v>
      </c>
    </row>
    <row r="93" spans="2:75" x14ac:dyDescent="0.25">
      <c r="B93" s="339">
        <v>13145</v>
      </c>
      <c r="C93" s="340" t="s">
        <v>106</v>
      </c>
      <c r="D93" s="409" t="s">
        <v>107</v>
      </c>
      <c r="E93" s="342">
        <f>IFERROR(VLOOKUP(B93,BDFD!$B:$BG,38,FALSE),0)</f>
        <v>450</v>
      </c>
      <c r="F93" s="342">
        <f>IFERROR(VLOOKUP(B93,BDFD!$B:$BG,41,FALSE),0)</f>
        <v>3230</v>
      </c>
      <c r="G93" s="342">
        <f>IFERROR(VLOOKUP(B93,BDFD!$B:$BG,44,FALSE),0)</f>
        <v>1650</v>
      </c>
      <c r="H93" s="342">
        <f>IFERROR(VLOOKUP(B93,BDFD!$B:$BG,47,FALSE),0)</f>
        <v>4302</v>
      </c>
      <c r="I93" s="342">
        <f>IFERROR(VLOOKUP(B93,BDFD!$B:$BG,50,FALSE),0)</f>
        <v>0</v>
      </c>
      <c r="J93" s="342">
        <f>IFERROR(VLOOKUP(B93,BDFD!$B:$BG,53,FALSE),0)</f>
        <v>1260</v>
      </c>
      <c r="K93" s="342">
        <f>IFERROR(VLOOKUP(B93,BDFD!$B:$BG,56,FALSE),0)</f>
        <v>2386</v>
      </c>
      <c r="L93" s="342">
        <v>2300</v>
      </c>
      <c r="M93" s="342">
        <v>2300</v>
      </c>
      <c r="N93" s="342">
        <v>2300</v>
      </c>
      <c r="O93" s="342">
        <v>3300</v>
      </c>
      <c r="P93" s="342">
        <v>1800</v>
      </c>
      <c r="Q93" s="343">
        <f t="shared" si="6"/>
        <v>25278</v>
      </c>
      <c r="R93" s="400"/>
      <c r="S93" s="344">
        <v>7.1380705452554736</v>
      </c>
      <c r="T93" s="344">
        <v>6.9504094890510943</v>
      </c>
      <c r="U93" s="344">
        <v>6.4961046666666675</v>
      </c>
      <c r="V93" s="344">
        <v>4.42</v>
      </c>
      <c r="W93" s="344"/>
      <c r="X93" s="346">
        <v>13425.868712254573</v>
      </c>
      <c r="Y93" s="347">
        <v>0.25</v>
      </c>
      <c r="Z93" s="339">
        <v>13145</v>
      </c>
      <c r="AA93" s="340" t="s">
        <v>106</v>
      </c>
      <c r="AB93" s="409" t="s">
        <v>107</v>
      </c>
      <c r="AC93" s="348">
        <v>953.23667857007456</v>
      </c>
      <c r="AD93" s="342">
        <v>993.51428470683834</v>
      </c>
      <c r="AE93" s="342">
        <v>1074.0694969803658</v>
      </c>
      <c r="AF93" s="342">
        <v>1154.6247092538931</v>
      </c>
      <c r="AG93" s="342">
        <v>1208.3281841029116</v>
      </c>
      <c r="AH93" s="342">
        <v>1181.4764466784022</v>
      </c>
      <c r="AI93" s="342">
        <v>1168.0505779661478</v>
      </c>
      <c r="AJ93" s="342">
        <v>1074.0694969803658</v>
      </c>
      <c r="AK93" s="342">
        <v>1208.3281841029116</v>
      </c>
      <c r="AL93" s="342">
        <v>1235.1799215274207</v>
      </c>
      <c r="AM93" s="342">
        <v>1127.7729718293842</v>
      </c>
      <c r="AN93" s="342">
        <v>1047.2177595558567</v>
      </c>
      <c r="AO93" s="343">
        <v>13425.868712254573</v>
      </c>
      <c r="AP93" s="346">
        <v>0</v>
      </c>
      <c r="AQ93" s="346"/>
      <c r="AR93" s="339">
        <v>13145</v>
      </c>
      <c r="AS93" s="340" t="s">
        <v>106</v>
      </c>
      <c r="AT93" s="409" t="s">
        <v>107</v>
      </c>
      <c r="AU93" s="342">
        <v>4766.1833928503729</v>
      </c>
      <c r="AV93" s="342">
        <v>4967.571423534192</v>
      </c>
      <c r="AW93" s="342">
        <v>5370.3474849018294</v>
      </c>
      <c r="AX93" s="342">
        <v>5773.1235462694658</v>
      </c>
      <c r="AY93" s="342">
        <v>6041.6409205145574</v>
      </c>
      <c r="AZ93" s="342">
        <v>5907.3822333920107</v>
      </c>
      <c r="BA93" s="342">
        <v>5840.2528898307392</v>
      </c>
      <c r="BB93" s="342">
        <v>5370.3474849018294</v>
      </c>
      <c r="BC93" s="342">
        <v>6041.6409205145574</v>
      </c>
      <c r="BD93" s="342">
        <v>6175.8996076371031</v>
      </c>
      <c r="BE93" s="342">
        <v>5638.8648591469209</v>
      </c>
      <c r="BF93" s="342">
        <v>5236.0887977792836</v>
      </c>
      <c r="BG93" s="343">
        <v>67129.343561272864</v>
      </c>
      <c r="BH93" s="513">
        <f t="shared" si="7"/>
        <v>13278</v>
      </c>
      <c r="BI93" s="513">
        <f t="shared" si="8"/>
        <v>12000</v>
      </c>
    </row>
    <row r="94" spans="2:75" x14ac:dyDescent="0.25">
      <c r="B94" s="339">
        <v>13087</v>
      </c>
      <c r="C94" s="351" t="s">
        <v>108</v>
      </c>
      <c r="D94" s="409" t="s">
        <v>678</v>
      </c>
      <c r="E94" s="342">
        <f>IFERROR(VLOOKUP(B94,BDFD!$B:$BG,38,FALSE),0)</f>
        <v>-728</v>
      </c>
      <c r="F94" s="342">
        <f>IFERROR(VLOOKUP(B94,BDFD!$B:$BG,41,FALSE),0)</f>
        <v>-92</v>
      </c>
      <c r="G94" s="342">
        <f>IFERROR(VLOOKUP(B94,BDFD!$B:$BG,44,FALSE),0)</f>
        <v>-131</v>
      </c>
      <c r="H94" s="342">
        <f>IFERROR(VLOOKUP(B94,BDFD!$B:$BG,47,FALSE),0)</f>
        <v>-190</v>
      </c>
      <c r="I94" s="342">
        <f>IFERROR(VLOOKUP(B94,BDFD!$B:$BG,50,FALSE),0)</f>
        <v>3644</v>
      </c>
      <c r="J94" s="342">
        <f>IFERROR(VLOOKUP(B94,BDFD!$B:$BG,53,FALSE),0)</f>
        <v>3023</v>
      </c>
      <c r="K94" s="342">
        <f>IFERROR(VLOOKUP(B94,BDFD!$B:$BG,56,FALSE),0)</f>
        <v>2783</v>
      </c>
      <c r="L94" s="342">
        <v>2500</v>
      </c>
      <c r="M94" s="342">
        <v>2500</v>
      </c>
      <c r="N94" s="342">
        <v>2500</v>
      </c>
      <c r="O94" s="342">
        <v>2500</v>
      </c>
      <c r="P94" s="342">
        <v>2000</v>
      </c>
      <c r="Q94" s="343">
        <f t="shared" si="6"/>
        <v>20309</v>
      </c>
      <c r="R94" s="400"/>
      <c r="S94" s="344">
        <v>2.6308984864864864</v>
      </c>
      <c r="T94" s="344">
        <v>2.8507299270072992</v>
      </c>
      <c r="U94" s="344">
        <v>3.0041833333333341</v>
      </c>
      <c r="V94" s="344">
        <v>1.18</v>
      </c>
      <c r="W94" s="344"/>
      <c r="X94" s="346">
        <v>5482.2972365339592</v>
      </c>
      <c r="Y94" s="347">
        <v>0.2</v>
      </c>
      <c r="Z94" s="339">
        <v>13087</v>
      </c>
      <c r="AA94" s="351" t="s">
        <v>108</v>
      </c>
      <c r="AB94" s="409" t="s">
        <v>678</v>
      </c>
      <c r="AC94" s="348">
        <v>389.24310379391108</v>
      </c>
      <c r="AD94" s="342">
        <v>405.68999550351293</v>
      </c>
      <c r="AE94" s="342">
        <v>438.58377892271665</v>
      </c>
      <c r="AF94" s="342">
        <v>471.47756234192042</v>
      </c>
      <c r="AG94" s="342">
        <v>493.40675128805628</v>
      </c>
      <c r="AH94" s="342">
        <v>482.44215681498838</v>
      </c>
      <c r="AI94" s="342">
        <v>476.95985957845437</v>
      </c>
      <c r="AJ94" s="342">
        <v>438.58377892271665</v>
      </c>
      <c r="AK94" s="342">
        <v>493.40675128805628</v>
      </c>
      <c r="AL94" s="342">
        <v>504.37134576112425</v>
      </c>
      <c r="AM94" s="342">
        <v>460.51296786885251</v>
      </c>
      <c r="AN94" s="342">
        <v>427.6191844496488</v>
      </c>
      <c r="AO94" s="343">
        <v>5482.2972365339583</v>
      </c>
      <c r="AP94" s="346">
        <v>0</v>
      </c>
      <c r="AQ94" s="346"/>
      <c r="AR94" s="339">
        <v>13087</v>
      </c>
      <c r="AS94" s="351" t="s">
        <v>108</v>
      </c>
      <c r="AT94" s="409" t="s">
        <v>678</v>
      </c>
      <c r="AU94" s="342">
        <v>2335.4586227634663</v>
      </c>
      <c r="AV94" s="342">
        <v>2434.1399730210774</v>
      </c>
      <c r="AW94" s="342">
        <v>2631.5026735362999</v>
      </c>
      <c r="AX94" s="342">
        <v>2828.8653740515224</v>
      </c>
      <c r="AY94" s="342">
        <v>2960.4405077283373</v>
      </c>
      <c r="AZ94" s="342">
        <v>2894.6529408899301</v>
      </c>
      <c r="BA94" s="342">
        <v>2861.7591574707258</v>
      </c>
      <c r="BB94" s="342">
        <v>2631.5026735362999</v>
      </c>
      <c r="BC94" s="342">
        <v>2960.4405077283373</v>
      </c>
      <c r="BD94" s="342">
        <v>3026.2280745667454</v>
      </c>
      <c r="BE94" s="342">
        <v>2763.0778072131152</v>
      </c>
      <c r="BF94" s="342">
        <v>2565.7151066978927</v>
      </c>
      <c r="BG94" s="343">
        <v>32893.783419203748</v>
      </c>
      <c r="BH94" s="513">
        <f t="shared" si="7"/>
        <v>8309</v>
      </c>
      <c r="BI94" s="513">
        <f t="shared" si="8"/>
        <v>12000</v>
      </c>
    </row>
    <row r="95" spans="2:75" ht="15.75" thickBot="1" x14ac:dyDescent="0.3">
      <c r="B95" s="339">
        <v>13085</v>
      </c>
      <c r="C95" s="352"/>
      <c r="D95" s="410" t="s">
        <v>110</v>
      </c>
      <c r="E95" s="342">
        <f>IFERROR(VLOOKUP(B95,BDFD!$B:$BG,38,FALSE),0)</f>
        <v>-2</v>
      </c>
      <c r="F95" s="342">
        <f>IFERROR(VLOOKUP(B95,BDFD!$B:$BG,41,FALSE),0)</f>
        <v>0</v>
      </c>
      <c r="G95" s="342">
        <f>IFERROR(VLOOKUP(B95,BDFD!$B:$BG,44,FALSE),0)</f>
        <v>-138</v>
      </c>
      <c r="H95" s="342">
        <f>IFERROR(VLOOKUP(B95,BDFD!$B:$BG,47,FALSE),0)</f>
        <v>-1</v>
      </c>
      <c r="I95" s="342">
        <f>IFERROR(VLOOKUP(B95,BDFD!$B:$BG,50,FALSE),0)</f>
        <v>0</v>
      </c>
      <c r="J95" s="342">
        <f>IFERROR(VLOOKUP(B95,BDFD!$B:$BG,53,FALSE),0)</f>
        <v>895</v>
      </c>
      <c r="K95" s="342">
        <f>IFERROR(VLOOKUP(B95,BDFD!$B:$BG,56,FALSE),0)</f>
        <v>1106</v>
      </c>
      <c r="L95" s="342">
        <v>800</v>
      </c>
      <c r="M95" s="342">
        <v>850</v>
      </c>
      <c r="N95" s="342">
        <v>850</v>
      </c>
      <c r="O95" s="342">
        <v>850</v>
      </c>
      <c r="P95" s="342">
        <v>850</v>
      </c>
      <c r="Q95" s="343">
        <f t="shared" si="6"/>
        <v>6060</v>
      </c>
      <c r="R95" s="400"/>
      <c r="S95" s="344">
        <v>7.0832897650897229</v>
      </c>
      <c r="T95" s="344">
        <v>6.6715177304964541</v>
      </c>
      <c r="U95" s="344">
        <v>9.0125500000000009</v>
      </c>
      <c r="V95" s="344">
        <v>2.5299999999999998</v>
      </c>
      <c r="W95" s="344"/>
      <c r="X95" s="346">
        <v>2150.7010159287597</v>
      </c>
      <c r="Y95" s="347">
        <v>0.2</v>
      </c>
      <c r="Z95" s="339">
        <v>13085</v>
      </c>
      <c r="AA95" s="352"/>
      <c r="AB95" s="410" t="s">
        <v>110</v>
      </c>
      <c r="AC95" s="348">
        <v>152.69977213094191</v>
      </c>
      <c r="AD95" s="342">
        <v>159.15187517872818</v>
      </c>
      <c r="AE95" s="342">
        <v>172.05608127430074</v>
      </c>
      <c r="AF95" s="342">
        <v>184.9602873698733</v>
      </c>
      <c r="AG95" s="342">
        <v>193.56309143358831</v>
      </c>
      <c r="AH95" s="342">
        <v>189.26168940173079</v>
      </c>
      <c r="AI95" s="342">
        <v>187.11098838580205</v>
      </c>
      <c r="AJ95" s="342">
        <v>172.05608127430074</v>
      </c>
      <c r="AK95" s="342">
        <v>193.56309143358831</v>
      </c>
      <c r="AL95" s="342">
        <v>197.86449346544583</v>
      </c>
      <c r="AM95" s="342">
        <v>180.65888533801581</v>
      </c>
      <c r="AN95" s="342">
        <v>167.75467924244322</v>
      </c>
      <c r="AO95" s="343">
        <v>2150.7010159287593</v>
      </c>
      <c r="AP95" s="346">
        <v>0</v>
      </c>
      <c r="AQ95" s="346"/>
      <c r="AR95" s="339">
        <v>13085</v>
      </c>
      <c r="AS95" s="352"/>
      <c r="AT95" s="410" t="s">
        <v>110</v>
      </c>
      <c r="AU95" s="342">
        <v>916.1986327856514</v>
      </c>
      <c r="AV95" s="342">
        <v>954.91125107236894</v>
      </c>
      <c r="AW95" s="342">
        <v>1032.3364876458045</v>
      </c>
      <c r="AX95" s="342">
        <v>1109.7617242192396</v>
      </c>
      <c r="AY95" s="342">
        <v>1161.3785486015299</v>
      </c>
      <c r="AZ95" s="342">
        <v>1135.5701364103847</v>
      </c>
      <c r="BA95" s="342">
        <v>1122.6659303148122</v>
      </c>
      <c r="BB95" s="342">
        <v>1032.3364876458045</v>
      </c>
      <c r="BC95" s="342">
        <v>1161.3785486015299</v>
      </c>
      <c r="BD95" s="342">
        <v>1187.1869607926749</v>
      </c>
      <c r="BE95" s="342">
        <v>1083.9533120280948</v>
      </c>
      <c r="BF95" s="342">
        <v>1006.5280754546593</v>
      </c>
      <c r="BG95" s="343">
        <v>12904.20609557255</v>
      </c>
      <c r="BH95" s="513">
        <f t="shared" si="7"/>
        <v>1860</v>
      </c>
      <c r="BI95" s="513">
        <f t="shared" si="8"/>
        <v>4200</v>
      </c>
    </row>
    <row r="96" spans="2:75" x14ac:dyDescent="0.25">
      <c r="B96" s="339"/>
      <c r="C96" s="376"/>
      <c r="D96" s="377"/>
      <c r="E96" s="381"/>
      <c r="F96" s="379"/>
      <c r="G96" s="379"/>
      <c r="H96" s="379"/>
      <c r="I96" s="379"/>
      <c r="J96" s="379"/>
      <c r="K96" s="379"/>
      <c r="L96" s="379"/>
      <c r="M96" s="379"/>
      <c r="N96" s="379"/>
      <c r="O96" s="379"/>
      <c r="P96" s="379"/>
      <c r="Q96" s="379"/>
      <c r="R96" s="346"/>
      <c r="S96" s="346"/>
      <c r="T96" s="344"/>
      <c r="U96" s="346"/>
      <c r="V96" s="388"/>
      <c r="W96" s="388"/>
      <c r="Y96" s="347"/>
      <c r="Z96" s="339"/>
      <c r="AA96" s="376"/>
      <c r="AB96" s="377"/>
      <c r="AC96" s="381"/>
      <c r="AD96" s="379"/>
      <c r="AE96" s="379"/>
      <c r="AF96" s="379"/>
      <c r="AG96" s="379"/>
      <c r="AH96" s="379"/>
      <c r="AI96" s="379"/>
      <c r="AJ96" s="379"/>
      <c r="AK96" s="379"/>
      <c r="AL96" s="379"/>
      <c r="AM96" s="379"/>
      <c r="AN96" s="379"/>
      <c r="AO96" s="379"/>
      <c r="AP96" s="346"/>
      <c r="AQ96" s="346"/>
      <c r="AR96" s="339"/>
      <c r="AS96" s="376"/>
      <c r="AT96" s="377"/>
      <c r="AU96" s="381"/>
      <c r="AV96" s="379"/>
      <c r="AW96" s="379"/>
      <c r="AX96" s="379"/>
      <c r="AY96" s="379"/>
      <c r="AZ96" s="379"/>
      <c r="BA96" s="379"/>
      <c r="BB96" s="379"/>
      <c r="BC96" s="379"/>
      <c r="BD96" s="379"/>
      <c r="BE96" s="379"/>
      <c r="BF96" s="379"/>
      <c r="BG96" s="379"/>
      <c r="BH96" s="513"/>
      <c r="BI96" s="513"/>
    </row>
    <row r="97" spans="2:61" x14ac:dyDescent="0.25">
      <c r="B97" s="339"/>
      <c r="C97" s="382"/>
      <c r="D97" s="383" t="s">
        <v>150</v>
      </c>
      <c r="E97" s="380">
        <f>SUM(E57:E96)</f>
        <v>62624</v>
      </c>
      <c r="F97" s="380">
        <f t="shared" ref="F97:P97" si="17">SUM(F57:F96)</f>
        <v>59117</v>
      </c>
      <c r="G97" s="380">
        <f t="shared" si="17"/>
        <v>117094</v>
      </c>
      <c r="H97" s="380">
        <f t="shared" si="17"/>
        <v>135182</v>
      </c>
      <c r="I97" s="380">
        <f t="shared" si="17"/>
        <v>144493</v>
      </c>
      <c r="J97" s="380">
        <f t="shared" si="17"/>
        <v>85154</v>
      </c>
      <c r="K97" s="380">
        <f t="shared" si="17"/>
        <v>89505</v>
      </c>
      <c r="L97" s="380">
        <f t="shared" si="17"/>
        <v>98790.700000000012</v>
      </c>
      <c r="M97" s="380">
        <f t="shared" si="17"/>
        <v>104639.5</v>
      </c>
      <c r="N97" s="380">
        <f t="shared" si="17"/>
        <v>105639.5</v>
      </c>
      <c r="O97" s="380">
        <f t="shared" si="17"/>
        <v>115139.5</v>
      </c>
      <c r="P97" s="380">
        <f t="shared" si="17"/>
        <v>98240.700000000012</v>
      </c>
      <c r="Q97" s="380">
        <f>SUM(Q57:Q95)</f>
        <v>1215618.8999999999</v>
      </c>
      <c r="R97" s="346"/>
      <c r="S97" s="346"/>
      <c r="T97" s="346"/>
      <c r="U97" s="346"/>
      <c r="V97" s="388"/>
      <c r="W97" s="388"/>
      <c r="X97" s="346">
        <v>339907.37163782626</v>
      </c>
      <c r="Y97" s="347"/>
      <c r="Z97" s="339"/>
      <c r="AA97" s="382"/>
      <c r="AB97" s="383" t="s">
        <v>150</v>
      </c>
      <c r="AC97" s="380">
        <v>23257.755680045069</v>
      </c>
      <c r="AD97" s="380">
        <v>24240.477751032893</v>
      </c>
      <c r="AE97" s="380">
        <v>26205.921893008537</v>
      </c>
      <c r="AF97" s="380">
        <v>28171.36603498417</v>
      </c>
      <c r="AG97" s="380">
        <v>31483.348604634601</v>
      </c>
      <c r="AH97" s="380">
        <v>30829.433882309382</v>
      </c>
      <c r="AI97" s="380">
        <v>29586.457648715397</v>
      </c>
      <c r="AJ97" s="380">
        <v>27293.43948307716</v>
      </c>
      <c r="AK97" s="380">
        <v>30660.135599716872</v>
      </c>
      <c r="AL97" s="380">
        <v>31678.466426959814</v>
      </c>
      <c r="AM97" s="380">
        <v>29366.205487658968</v>
      </c>
      <c r="AN97" s="380">
        <v>27134.363145683321</v>
      </c>
      <c r="AO97" s="380">
        <v>339907.37163782626</v>
      </c>
      <c r="AP97" s="346">
        <v>0</v>
      </c>
      <c r="AQ97" s="346"/>
      <c r="AR97" s="339"/>
      <c r="AS97" s="382"/>
      <c r="AT97" s="383" t="s">
        <v>150</v>
      </c>
      <c r="AU97" s="380">
        <v>127515.75147022642</v>
      </c>
      <c r="AV97" s="380">
        <v>132903.7409689684</v>
      </c>
      <c r="AW97" s="380">
        <v>143679.71996645237</v>
      </c>
      <c r="AX97" s="380">
        <v>154455.69896393624</v>
      </c>
      <c r="AY97" s="380">
        <v>171648.11733725888</v>
      </c>
      <c r="AZ97" s="380">
        <v>168062.29096309753</v>
      </c>
      <c r="BA97" s="380">
        <v>161689.28341386004</v>
      </c>
      <c r="BB97" s="380">
        <v>149117.30791679549</v>
      </c>
      <c r="BC97" s="380">
        <v>167532.05231267025</v>
      </c>
      <c r="BD97" s="380">
        <v>172939.95921142018</v>
      </c>
      <c r="BE97" s="380">
        <v>160113.64346477494</v>
      </c>
      <c r="BF97" s="380">
        <v>148005.67346729105</v>
      </c>
      <c r="BG97" s="380">
        <v>1857663.2394567516</v>
      </c>
      <c r="BH97" s="513">
        <f t="shared" ref="BH78:BH102" si="18">SUM(E97:K97)</f>
        <v>693169</v>
      </c>
      <c r="BI97" s="513">
        <f t="shared" ref="BI78:BI102" si="19">SUM(L97:P97)</f>
        <v>522449.9</v>
      </c>
    </row>
    <row r="98" spans="2:61" ht="15.75" thickBot="1" x14ac:dyDescent="0.3">
      <c r="B98" s="339"/>
      <c r="C98" s="384"/>
      <c r="D98" s="385"/>
      <c r="E98" s="387"/>
      <c r="F98" s="387"/>
      <c r="G98" s="387"/>
      <c r="H98" s="387"/>
      <c r="I98" s="387"/>
      <c r="J98" s="387"/>
      <c r="K98" s="387"/>
      <c r="L98" s="387"/>
      <c r="M98" s="387"/>
      <c r="N98" s="387"/>
      <c r="O98" s="387"/>
      <c r="P98" s="387"/>
      <c r="Q98" s="387"/>
      <c r="R98" s="346"/>
      <c r="S98" s="346"/>
      <c r="T98" s="346"/>
      <c r="U98" s="346"/>
      <c r="V98" s="388"/>
      <c r="W98" s="388"/>
      <c r="Y98" s="347"/>
      <c r="Z98" s="339"/>
      <c r="AA98" s="384"/>
      <c r="AB98" s="385"/>
      <c r="AC98" s="387"/>
      <c r="AD98" s="387"/>
      <c r="AE98" s="387"/>
      <c r="AF98" s="387"/>
      <c r="AG98" s="387"/>
      <c r="AH98" s="387"/>
      <c r="AI98" s="387"/>
      <c r="AJ98" s="387"/>
      <c r="AK98" s="387"/>
      <c r="AL98" s="387"/>
      <c r="AM98" s="387"/>
      <c r="AN98" s="387"/>
      <c r="AO98" s="387"/>
      <c r="AP98" s="346"/>
      <c r="AQ98" s="346"/>
      <c r="AR98" s="339"/>
      <c r="AS98" s="384"/>
      <c r="AT98" s="385"/>
      <c r="AU98" s="387"/>
      <c r="AV98" s="387"/>
      <c r="AW98" s="387"/>
      <c r="AX98" s="387"/>
      <c r="AY98" s="387"/>
      <c r="AZ98" s="387"/>
      <c r="BA98" s="387"/>
      <c r="BB98" s="387"/>
      <c r="BC98" s="387"/>
      <c r="BD98" s="387"/>
      <c r="BE98" s="387"/>
      <c r="BF98" s="387"/>
      <c r="BG98" s="387"/>
      <c r="BH98" s="513"/>
      <c r="BI98" s="513"/>
    </row>
    <row r="99" spans="2:61" x14ac:dyDescent="0.25">
      <c r="B99" s="339"/>
      <c r="C99" s="411"/>
      <c r="D99" s="412"/>
      <c r="E99" s="392"/>
      <c r="F99" s="392"/>
      <c r="G99" s="392"/>
      <c r="H99" s="392"/>
      <c r="I99" s="392"/>
      <c r="J99" s="392"/>
      <c r="K99" s="392"/>
      <c r="L99" s="392"/>
      <c r="M99" s="392"/>
      <c r="N99" s="392"/>
      <c r="O99" s="392"/>
      <c r="P99" s="392"/>
      <c r="Q99" s="392"/>
      <c r="R99" s="346"/>
      <c r="S99" s="346"/>
      <c r="T99" s="346"/>
      <c r="U99" s="346"/>
      <c r="V99" s="388"/>
      <c r="W99" s="388"/>
      <c r="Y99" s="347"/>
      <c r="Z99" s="339"/>
      <c r="AA99" s="411"/>
      <c r="AB99" s="412"/>
      <c r="AC99" s="392"/>
      <c r="AD99" s="392"/>
      <c r="AE99" s="392"/>
      <c r="AF99" s="392"/>
      <c r="AG99" s="392"/>
      <c r="AH99" s="392"/>
      <c r="AI99" s="392"/>
      <c r="AJ99" s="392"/>
      <c r="AK99" s="392"/>
      <c r="AL99" s="392"/>
      <c r="AM99" s="392"/>
      <c r="AN99" s="392"/>
      <c r="AO99" s="392"/>
      <c r="AP99" s="346"/>
      <c r="AQ99" s="346"/>
      <c r="AR99" s="339"/>
      <c r="AS99" s="411"/>
      <c r="AT99" s="412"/>
      <c r="AU99" s="392"/>
      <c r="AV99" s="392"/>
      <c r="AW99" s="392"/>
      <c r="AX99" s="392"/>
      <c r="AY99" s="392"/>
      <c r="AZ99" s="392"/>
      <c r="BA99" s="392"/>
      <c r="BB99" s="392"/>
      <c r="BC99" s="392"/>
      <c r="BD99" s="392"/>
      <c r="BE99" s="392"/>
      <c r="BF99" s="392"/>
      <c r="BG99" s="392"/>
      <c r="BH99" s="513"/>
      <c r="BI99" s="513"/>
    </row>
    <row r="100" spans="2:61" ht="15.75" thickBot="1" x14ac:dyDescent="0.3">
      <c r="B100" s="339"/>
      <c r="C100" s="411"/>
      <c r="D100" s="412"/>
      <c r="E100" s="392"/>
      <c r="F100" s="392"/>
      <c r="G100" s="392"/>
      <c r="H100" s="392"/>
      <c r="I100" s="392"/>
      <c r="J100" s="392"/>
      <c r="K100" s="392"/>
      <c r="L100" s="392"/>
      <c r="M100" s="392"/>
      <c r="N100" s="392"/>
      <c r="O100" s="392"/>
      <c r="P100" s="392"/>
      <c r="Q100" s="392"/>
      <c r="R100" s="346"/>
      <c r="S100" s="346"/>
      <c r="T100" s="346"/>
      <c r="U100" s="346"/>
      <c r="V100" s="388"/>
      <c r="W100" s="388"/>
      <c r="Y100" s="347"/>
      <c r="Z100" s="339"/>
      <c r="AA100" s="411"/>
      <c r="AB100" s="412"/>
      <c r="AC100" s="392"/>
      <c r="AD100" s="392"/>
      <c r="AE100" s="392"/>
      <c r="AF100" s="392"/>
      <c r="AG100" s="392"/>
      <c r="AH100" s="392"/>
      <c r="AI100" s="392"/>
      <c r="AJ100" s="392"/>
      <c r="AK100" s="392"/>
      <c r="AL100" s="392"/>
      <c r="AM100" s="392"/>
      <c r="AN100" s="392"/>
      <c r="AO100" s="392"/>
      <c r="AP100" s="346"/>
      <c r="AQ100" s="346"/>
      <c r="AR100" s="339"/>
      <c r="AS100" s="411"/>
      <c r="AT100" s="412"/>
      <c r="AU100" s="392"/>
      <c r="AV100" s="392"/>
      <c r="AW100" s="392"/>
      <c r="AX100" s="392"/>
      <c r="AY100" s="392"/>
      <c r="AZ100" s="392"/>
      <c r="BA100" s="392"/>
      <c r="BB100" s="392"/>
      <c r="BC100" s="392"/>
      <c r="BD100" s="392"/>
      <c r="BE100" s="392"/>
      <c r="BF100" s="392"/>
      <c r="BG100" s="392"/>
      <c r="BH100" s="513"/>
      <c r="BI100" s="513"/>
    </row>
    <row r="101" spans="2:61" x14ac:dyDescent="0.25">
      <c r="B101" s="339"/>
      <c r="C101" s="376"/>
      <c r="D101" s="377"/>
      <c r="E101" s="413"/>
      <c r="F101" s="414"/>
      <c r="G101" s="414"/>
      <c r="H101" s="414"/>
      <c r="I101" s="414"/>
      <c r="J101" s="414"/>
      <c r="K101" s="414"/>
      <c r="L101" s="414"/>
      <c r="M101" s="414"/>
      <c r="N101" s="414"/>
      <c r="O101" s="414"/>
      <c r="P101" s="414"/>
      <c r="Q101" s="414"/>
      <c r="R101" s="346"/>
      <c r="S101" s="346"/>
      <c r="T101" s="346"/>
      <c r="U101" s="346"/>
      <c r="V101" s="388"/>
      <c r="W101" s="388"/>
      <c r="Y101" s="347"/>
      <c r="Z101" s="339"/>
      <c r="AA101" s="376"/>
      <c r="AB101" s="377"/>
      <c r="AC101" s="413"/>
      <c r="AD101" s="414"/>
      <c r="AE101" s="414"/>
      <c r="AF101" s="414"/>
      <c r="AG101" s="414"/>
      <c r="AH101" s="414"/>
      <c r="AI101" s="414"/>
      <c r="AJ101" s="414"/>
      <c r="AK101" s="414"/>
      <c r="AL101" s="414"/>
      <c r="AM101" s="414"/>
      <c r="AN101" s="414"/>
      <c r="AO101" s="414"/>
      <c r="AP101" s="346"/>
      <c r="AQ101" s="346"/>
      <c r="AR101" s="339"/>
      <c r="AS101" s="376"/>
      <c r="AT101" s="377"/>
      <c r="AU101" s="413"/>
      <c r="AV101" s="414"/>
      <c r="AW101" s="414"/>
      <c r="AX101" s="414"/>
      <c r="AY101" s="414"/>
      <c r="AZ101" s="414"/>
      <c r="BA101" s="414"/>
      <c r="BB101" s="414"/>
      <c r="BC101" s="414"/>
      <c r="BD101" s="414"/>
      <c r="BE101" s="414"/>
      <c r="BF101" s="414"/>
      <c r="BG101" s="414"/>
      <c r="BH101" s="513"/>
      <c r="BI101" s="513"/>
    </row>
    <row r="102" spans="2:61" x14ac:dyDescent="0.25">
      <c r="B102" s="339"/>
      <c r="C102" s="415" t="s">
        <v>151</v>
      </c>
      <c r="D102" s="383"/>
      <c r="E102" s="380">
        <f>SUM(E52,E97)</f>
        <v>153670</v>
      </c>
      <c r="F102" s="380">
        <f t="shared" ref="F102:Q102" si="20">SUM(F52,F97)</f>
        <v>149037</v>
      </c>
      <c r="G102" s="380">
        <f t="shared" si="20"/>
        <v>192223</v>
      </c>
      <c r="H102" s="380">
        <f t="shared" si="20"/>
        <v>217781</v>
      </c>
      <c r="I102" s="380">
        <f t="shared" si="20"/>
        <v>242742</v>
      </c>
      <c r="J102" s="380">
        <f t="shared" si="20"/>
        <v>193896</v>
      </c>
      <c r="K102" s="380">
        <f t="shared" si="20"/>
        <v>200324</v>
      </c>
      <c r="L102" s="380">
        <f t="shared" si="20"/>
        <v>193292.7</v>
      </c>
      <c r="M102" s="380">
        <f t="shared" si="20"/>
        <v>197634.5</v>
      </c>
      <c r="N102" s="380">
        <f t="shared" si="20"/>
        <v>201266.5</v>
      </c>
      <c r="O102" s="380">
        <f t="shared" si="20"/>
        <v>216862.5</v>
      </c>
      <c r="P102" s="380">
        <f t="shared" si="20"/>
        <v>186915.7</v>
      </c>
      <c r="Q102" s="380">
        <f t="shared" si="20"/>
        <v>2345644.9</v>
      </c>
      <c r="R102" s="346"/>
      <c r="S102" s="346"/>
      <c r="T102" s="346"/>
      <c r="U102" s="346"/>
      <c r="V102" s="388"/>
      <c r="W102" s="388"/>
      <c r="X102" s="346">
        <v>698772.70455588459</v>
      </c>
      <c r="Y102" s="347"/>
      <c r="Z102" s="339"/>
      <c r="AA102" s="415" t="s">
        <v>151</v>
      </c>
      <c r="AB102" s="383"/>
      <c r="AC102" s="380">
        <v>48563.031317227214</v>
      </c>
      <c r="AD102" s="380">
        <v>50614.990386969206</v>
      </c>
      <c r="AE102" s="380">
        <v>54718.908526453204</v>
      </c>
      <c r="AF102" s="380">
        <v>58966.576665937195</v>
      </c>
      <c r="AG102" s="380">
        <v>63664.708567259862</v>
      </c>
      <c r="AH102" s="380">
        <v>62299.969179098523</v>
      </c>
      <c r="AI102" s="380">
        <v>60701.830612586476</v>
      </c>
      <c r="AJ102" s="380">
        <v>55918.926116521827</v>
      </c>
      <c r="AK102" s="380">
        <v>63279.745562342141</v>
      </c>
      <c r="AL102" s="380">
        <v>64870.901055421185</v>
      </c>
      <c r="AM102" s="380">
        <v>59749.841452775887</v>
      </c>
      <c r="AN102" s="380">
        <v>55423.275113291878</v>
      </c>
      <c r="AO102" s="380">
        <v>698772.7045558847</v>
      </c>
      <c r="AP102" s="346">
        <v>0</v>
      </c>
      <c r="AQ102" s="346"/>
      <c r="AR102" s="339"/>
      <c r="AS102" s="415" t="s">
        <v>151</v>
      </c>
      <c r="AT102" s="383"/>
      <c r="AU102" s="380">
        <v>225065.80377169029</v>
      </c>
      <c r="AV102" s="380">
        <v>234575.62646626879</v>
      </c>
      <c r="AW102" s="380">
        <v>253595.27185542573</v>
      </c>
      <c r="AX102" s="380">
        <v>273333.66724458261</v>
      </c>
      <c r="AY102" s="380">
        <v>295824.3632123539</v>
      </c>
      <c r="AZ102" s="380">
        <v>289500.64804096823</v>
      </c>
      <c r="BA102" s="380">
        <v>281759.94609311857</v>
      </c>
      <c r="BB102" s="380">
        <v>259595.35980576888</v>
      </c>
      <c r="BC102" s="380">
        <v>293899.54818776529</v>
      </c>
      <c r="BD102" s="380">
        <v>301355.34388373955</v>
      </c>
      <c r="BE102" s="380">
        <v>277749.97294819698</v>
      </c>
      <c r="BF102" s="380">
        <v>257617.08655904009</v>
      </c>
      <c r="BG102" s="380">
        <v>3243872.6380689181</v>
      </c>
      <c r="BH102" s="513">
        <f t="shared" si="18"/>
        <v>1349673</v>
      </c>
      <c r="BI102" s="513">
        <f t="shared" si="19"/>
        <v>995971.89999999991</v>
      </c>
    </row>
    <row r="103" spans="2:61" ht="15.75" thickBot="1" x14ac:dyDescent="0.3">
      <c r="B103" s="339"/>
      <c r="C103" s="384"/>
      <c r="D103" s="385"/>
      <c r="E103" s="387"/>
      <c r="F103" s="387"/>
      <c r="G103" s="387"/>
      <c r="H103" s="387"/>
      <c r="I103" s="387"/>
      <c r="J103" s="387"/>
      <c r="K103" s="387"/>
      <c r="L103" s="387"/>
      <c r="M103" s="387"/>
      <c r="N103" s="387"/>
      <c r="O103" s="387"/>
      <c r="P103" s="387"/>
      <c r="Q103" s="387"/>
      <c r="R103" s="346"/>
      <c r="S103" s="346"/>
      <c r="T103" s="346"/>
      <c r="U103" s="346"/>
      <c r="V103" s="388"/>
      <c r="W103" s="388"/>
      <c r="Y103" s="347"/>
      <c r="Z103" s="339"/>
      <c r="AA103" s="384"/>
      <c r="AB103" s="385"/>
      <c r="AC103" s="387"/>
      <c r="AD103" s="387"/>
      <c r="AE103" s="387"/>
      <c r="AF103" s="387"/>
      <c r="AG103" s="387"/>
      <c r="AH103" s="387"/>
      <c r="AI103" s="387"/>
      <c r="AJ103" s="387"/>
      <c r="AK103" s="387"/>
      <c r="AL103" s="387"/>
      <c r="AM103" s="387"/>
      <c r="AN103" s="387"/>
      <c r="AO103" s="387"/>
      <c r="AP103" s="346"/>
      <c r="AQ103" s="346"/>
      <c r="AR103" s="339"/>
      <c r="AS103" s="384"/>
      <c r="AT103" s="385"/>
      <c r="AU103" s="387"/>
      <c r="AV103" s="387"/>
      <c r="AW103" s="387"/>
      <c r="AX103" s="387"/>
      <c r="AY103" s="387"/>
      <c r="AZ103" s="387"/>
      <c r="BA103" s="387"/>
      <c r="BB103" s="387"/>
      <c r="BC103" s="387"/>
      <c r="BD103" s="387"/>
      <c r="BE103" s="387"/>
      <c r="BF103" s="387"/>
      <c r="BG103" s="387"/>
    </row>
    <row r="104" spans="2:61" x14ac:dyDescent="0.25">
      <c r="E104" s="394"/>
      <c r="F104" s="394"/>
      <c r="G104" s="394"/>
      <c r="H104" s="394"/>
      <c r="I104" s="394"/>
      <c r="J104" s="394"/>
      <c r="K104" s="394"/>
      <c r="L104" s="394"/>
      <c r="M104" s="394"/>
      <c r="N104" s="394"/>
      <c r="O104" s="394"/>
      <c r="P104" s="394"/>
      <c r="Q104" s="394"/>
    </row>
    <row r="105" spans="2:61" x14ac:dyDescent="0.25">
      <c r="E105" s="416"/>
      <c r="F105" s="416"/>
      <c r="G105" s="416"/>
      <c r="H105" s="416"/>
      <c r="I105" s="416"/>
      <c r="J105" s="416"/>
      <c r="K105" s="416"/>
      <c r="L105" s="416"/>
      <c r="M105" s="416"/>
      <c r="N105" s="416"/>
      <c r="O105" s="416"/>
      <c r="P105" s="416"/>
      <c r="Q105" s="392"/>
      <c r="X105" s="346"/>
      <c r="AC105" s="346"/>
      <c r="AD105" s="346"/>
      <c r="AE105" s="346"/>
      <c r="AF105" s="346"/>
      <c r="AG105" s="346"/>
      <c r="AH105" s="346"/>
      <c r="AI105" s="346"/>
      <c r="AJ105" s="346"/>
      <c r="AK105" s="346"/>
      <c r="AL105" s="346"/>
      <c r="AM105" s="346"/>
      <c r="AN105" s="346"/>
      <c r="AO105" s="346"/>
      <c r="AU105" s="346"/>
      <c r="AV105" s="346"/>
      <c r="AW105" s="346"/>
      <c r="AX105" s="346"/>
      <c r="AY105" s="346"/>
      <c r="AZ105" s="346"/>
      <c r="BA105" s="346"/>
      <c r="BB105" s="346"/>
      <c r="BC105" s="346"/>
      <c r="BD105" s="346"/>
      <c r="BE105" s="346"/>
      <c r="BF105" s="346"/>
      <c r="BG105" s="346"/>
    </row>
    <row r="112" spans="2:61" x14ac:dyDescent="0.25">
      <c r="C112">
        <v>13117</v>
      </c>
      <c r="D112" s="453" t="s">
        <v>703</v>
      </c>
    </row>
    <row r="113" spans="3:4" x14ac:dyDescent="0.25">
      <c r="C113">
        <v>13115</v>
      </c>
      <c r="D113" s="453" t="s">
        <v>704</v>
      </c>
    </row>
    <row r="114" spans="3:4" x14ac:dyDescent="0.25">
      <c r="C114">
        <v>13049</v>
      </c>
      <c r="D114" s="453" t="s">
        <v>705</v>
      </c>
    </row>
    <row r="115" spans="3:4" x14ac:dyDescent="0.25">
      <c r="C115">
        <v>13159</v>
      </c>
      <c r="D115" s="453" t="s">
        <v>706</v>
      </c>
    </row>
    <row r="116" spans="3:4" x14ac:dyDescent="0.25">
      <c r="C116">
        <v>13166</v>
      </c>
      <c r="D116" s="453" t="s">
        <v>707</v>
      </c>
    </row>
    <row r="117" spans="3:4" x14ac:dyDescent="0.25">
      <c r="C117">
        <v>13165</v>
      </c>
      <c r="D117" s="453" t="s">
        <v>708</v>
      </c>
    </row>
  </sheetData>
  <mergeCells count="12">
    <mergeCell ref="C29:C30"/>
    <mergeCell ref="AA29:AA30"/>
    <mergeCell ref="AS29:AS30"/>
    <mergeCell ref="C34:C38"/>
    <mergeCell ref="AA34:AA38"/>
    <mergeCell ref="AS34:AS38"/>
    <mergeCell ref="C79:C90"/>
    <mergeCell ref="AA79:AA90"/>
    <mergeCell ref="AS79:AS90"/>
    <mergeCell ref="C91:C92"/>
    <mergeCell ref="AA91:AA92"/>
    <mergeCell ref="AS91:AS92"/>
  </mergeCell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1:AB2547"/>
  <sheetViews>
    <sheetView tabSelected="1" topLeftCell="B1" zoomScale="90" zoomScaleNormal="90" workbookViewId="0">
      <pane xSplit="3" ySplit="3" topLeftCell="E4" activePane="bottomRight" state="frozen"/>
      <selection activeCell="B1" sqref="B1"/>
      <selection pane="topRight" activeCell="E1" sqref="E1"/>
      <selection pane="bottomLeft" activeCell="B4" sqref="B4"/>
      <selection pane="bottomRight" activeCell="I10" sqref="I10"/>
    </sheetView>
  </sheetViews>
  <sheetFormatPr baseColWidth="10" defaultRowHeight="12.75" x14ac:dyDescent="0.2"/>
  <cols>
    <col min="1" max="1" width="0.7109375" style="53" customWidth="1"/>
    <col min="2" max="2" width="7.42578125" style="1" customWidth="1"/>
    <col min="3" max="3" width="17.42578125" style="1" customWidth="1"/>
    <col min="4" max="4" width="26.140625" style="52" customWidth="1"/>
    <col min="5" max="5" width="13.28515625" style="1" bestFit="1" customWidth="1"/>
    <col min="6" max="6" width="12" style="1" customWidth="1"/>
    <col min="7" max="7" width="0" style="421" hidden="1" customWidth="1"/>
    <col min="8" max="8" width="12.7109375" style="421" hidden="1" customWidth="1"/>
    <col min="9" max="9" width="11.42578125" style="1"/>
    <col min="10" max="10" width="12.5703125" style="1" customWidth="1"/>
    <col min="11" max="12" width="0" style="421" hidden="1" customWidth="1"/>
    <col min="13" max="21" width="11.42578125" style="1"/>
    <col min="22" max="22" width="1.42578125" style="527" customWidth="1"/>
    <col min="23" max="16384" width="11.42578125" style="1"/>
  </cols>
  <sheetData>
    <row r="1" spans="1:28" s="33" customFormat="1" x14ac:dyDescent="0.2">
      <c r="D1" s="40"/>
      <c r="E1" s="510" t="s">
        <v>681</v>
      </c>
      <c r="F1" s="510"/>
      <c r="G1" s="511" t="s">
        <v>682</v>
      </c>
      <c r="H1" s="511"/>
      <c r="I1" s="510" t="s">
        <v>710</v>
      </c>
      <c r="J1" s="510"/>
      <c r="K1" s="511" t="s">
        <v>683</v>
      </c>
      <c r="L1" s="511"/>
      <c r="M1" s="509" t="s">
        <v>719</v>
      </c>
      <c r="N1" s="509"/>
      <c r="P1" s="510" t="s">
        <v>720</v>
      </c>
      <c r="Q1" s="510"/>
      <c r="R1" s="510" t="s">
        <v>721</v>
      </c>
      <c r="S1" s="510"/>
      <c r="T1" s="509" t="s">
        <v>719</v>
      </c>
      <c r="U1" s="509"/>
      <c r="V1" s="527"/>
      <c r="W1" s="510" t="s">
        <v>722</v>
      </c>
      <c r="X1" s="510"/>
      <c r="Y1" s="510" t="s">
        <v>723</v>
      </c>
      <c r="Z1" s="510"/>
      <c r="AA1" s="509" t="s">
        <v>719</v>
      </c>
      <c r="AB1" s="509"/>
    </row>
    <row r="2" spans="1:28" x14ac:dyDescent="0.2">
      <c r="A2" s="33"/>
      <c r="B2" s="33"/>
      <c r="C2" s="33"/>
      <c r="D2" s="40"/>
      <c r="E2" s="286" t="s">
        <v>275</v>
      </c>
      <c r="F2" s="286" t="s">
        <v>680</v>
      </c>
      <c r="G2" s="420" t="s">
        <v>275</v>
      </c>
      <c r="H2" s="420" t="s">
        <v>680</v>
      </c>
      <c r="I2" s="286" t="s">
        <v>275</v>
      </c>
      <c r="J2" s="286" t="s">
        <v>680</v>
      </c>
      <c r="K2" s="420" t="s">
        <v>275</v>
      </c>
      <c r="L2" s="420" t="s">
        <v>680</v>
      </c>
      <c r="M2" s="286" t="s">
        <v>275</v>
      </c>
      <c r="N2" s="286" t="s">
        <v>680</v>
      </c>
      <c r="P2" s="286" t="s">
        <v>275</v>
      </c>
      <c r="Q2" s="286" t="s">
        <v>680</v>
      </c>
      <c r="R2" s="286" t="s">
        <v>275</v>
      </c>
      <c r="S2" s="286" t="s">
        <v>680</v>
      </c>
      <c r="T2" s="286" t="s">
        <v>275</v>
      </c>
      <c r="U2" s="286" t="s">
        <v>680</v>
      </c>
      <c r="W2" s="286" t="s">
        <v>275</v>
      </c>
      <c r="X2" s="286" t="s">
        <v>680</v>
      </c>
      <c r="Y2" s="286" t="s">
        <v>275</v>
      </c>
      <c r="Z2" s="286" t="s">
        <v>680</v>
      </c>
      <c r="AA2" s="286" t="s">
        <v>275</v>
      </c>
      <c r="AB2" s="286" t="s">
        <v>680</v>
      </c>
    </row>
    <row r="3" spans="1:28" s="33" customFormat="1" x14ac:dyDescent="0.2">
      <c r="D3" s="40"/>
      <c r="V3" s="527"/>
    </row>
    <row r="4" spans="1:28" x14ac:dyDescent="0.2">
      <c r="A4" s="33"/>
      <c r="B4" s="31">
        <v>13017</v>
      </c>
      <c r="C4" s="440" t="s">
        <v>5</v>
      </c>
      <c r="D4" s="41" t="s">
        <v>6</v>
      </c>
      <c r="E4" s="463">
        <f>IFERROR(VLOOKUP(B4,'Resumen de Unidades'!$B$4:$Q$124,16,FALSE),0)</f>
        <v>0</v>
      </c>
      <c r="F4" s="250">
        <f>VLOOKUP(B4,USD!$B$4:$Q$124,16,FALSE)</f>
        <v>0</v>
      </c>
      <c r="G4" s="465">
        <f>IFERROR(VLOOKUP(B4,BDFD!$B:$CE,80,FALSE),0)</f>
        <v>6438</v>
      </c>
      <c r="H4" s="422">
        <f>IFERROR(VLOOKUP(B4,BDFDUSD!$B:$AO,38,FALSE),0)</f>
        <v>3464.5900000000006</v>
      </c>
      <c r="I4" s="463">
        <f>IFERROR(VLOOKUP(B4,BDPPTO!$B:$Q,16,FALSE),0)</f>
        <v>-2838</v>
      </c>
      <c r="J4" s="250">
        <f>IFERROR(VLOOKUP(B4,BDPPTOUSD!$B:$Q,16,FALSE),0)</f>
        <v>-8572.9900000000016</v>
      </c>
      <c r="K4" s="461">
        <f>IFERROR((E4-G4)/ABS(G4),0)</f>
        <v>-1</v>
      </c>
      <c r="L4" s="461">
        <f>IFERROR((F4-H4)/ABS(H4),0)</f>
        <v>-1</v>
      </c>
      <c r="M4" s="462">
        <f>IFERROR((E4-I4)/ABS(I4),0)</f>
        <v>1</v>
      </c>
      <c r="N4" s="462">
        <f>IFERROR((F4-J4)/ABS(J4),0)</f>
        <v>1</v>
      </c>
    </row>
    <row r="5" spans="1:28" x14ac:dyDescent="0.2">
      <c r="A5" s="33"/>
      <c r="B5" s="31">
        <v>13016</v>
      </c>
      <c r="C5" s="6"/>
      <c r="D5" s="41" t="s">
        <v>7</v>
      </c>
      <c r="E5" s="463">
        <f>VLOOKUP(B5,'Resumen de Unidades'!$B$4:$Q$124,16,FALSE)</f>
        <v>6299</v>
      </c>
      <c r="F5" s="250">
        <f>VLOOKUP(B5,USD!$B$4:$Q$124,16,FALSE)</f>
        <v>13050.268200000002</v>
      </c>
      <c r="G5" s="465">
        <f>IFERROR(VLOOKUP(B5,BDFD!$B:$CE,80,FALSE),0)</f>
        <v>4067</v>
      </c>
      <c r="H5" s="422">
        <f>IFERROR(VLOOKUP(B5,BDFDUSD!$B:$AO,38,FALSE),0)</f>
        <v>-35274.25</v>
      </c>
      <c r="I5" s="463">
        <f>IFERROR(VLOOKUP(B5,BDPPTO!$B:$Q,16,FALSE),0)</f>
        <v>1409</v>
      </c>
      <c r="J5" s="250">
        <f>IFERROR(VLOOKUP(B5,BDPPTOUSD!$B:$Q,16,FALSE),0)</f>
        <v>-3133.01</v>
      </c>
      <c r="K5" s="461">
        <f t="shared" ref="K5:K68" si="0">IFERROR((E5-G5)/ABS(G5),0)</f>
        <v>0.54880747479714775</v>
      </c>
      <c r="L5" s="461">
        <f t="shared" ref="L5:L68" si="1">IFERROR((F5-H5)/ABS(H5),0)</f>
        <v>1.3699658589480996</v>
      </c>
      <c r="M5" s="462">
        <f t="shared" ref="M5:M68" si="2">IFERROR((E5-I5)/ABS(I5),0)</f>
        <v>3.4705464868701208</v>
      </c>
      <c r="N5" s="462">
        <f t="shared" ref="N5:N68" si="3">IFERROR((F5-J5)/ABS(J5),0)</f>
        <v>5.1654090475293728</v>
      </c>
    </row>
    <row r="6" spans="1:28" x14ac:dyDescent="0.2">
      <c r="A6" s="33"/>
      <c r="B6" s="31"/>
      <c r="C6" s="4" t="s">
        <v>428</v>
      </c>
      <c r="D6" s="424"/>
      <c r="E6" s="464">
        <f>SUM(E4:E5)</f>
        <v>6299</v>
      </c>
      <c r="F6" s="460">
        <f t="shared" ref="F6:J6" si="4">SUM(F4:F5)</f>
        <v>13050.268200000002</v>
      </c>
      <c r="G6" s="464">
        <f t="shared" si="4"/>
        <v>10505</v>
      </c>
      <c r="H6" s="460">
        <f t="shared" si="4"/>
        <v>-31809.66</v>
      </c>
      <c r="I6" s="464">
        <f t="shared" si="4"/>
        <v>-1429</v>
      </c>
      <c r="J6" s="460">
        <f t="shared" si="4"/>
        <v>-11706.000000000002</v>
      </c>
      <c r="K6" s="466">
        <f t="shared" si="0"/>
        <v>-0.40038077106139935</v>
      </c>
      <c r="L6" s="466">
        <f t="shared" si="1"/>
        <v>1.4102611659477027</v>
      </c>
      <c r="M6" s="466">
        <f t="shared" si="2"/>
        <v>5.407977606717985</v>
      </c>
      <c r="N6" s="466">
        <f t="shared" si="3"/>
        <v>2.1148358277806256</v>
      </c>
      <c r="P6" s="104">
        <f>+E6</f>
        <v>6299</v>
      </c>
      <c r="Q6" s="524">
        <f>+F6</f>
        <v>13050.268200000002</v>
      </c>
      <c r="R6" s="104">
        <f>+I6</f>
        <v>-1429</v>
      </c>
      <c r="S6" s="524">
        <f>+J6</f>
        <v>-11706.000000000002</v>
      </c>
      <c r="T6" s="525">
        <f>+M6</f>
        <v>5.407977606717985</v>
      </c>
      <c r="U6" s="525">
        <f>+N6</f>
        <v>2.1148358277806256</v>
      </c>
    </row>
    <row r="7" spans="1:28" x14ac:dyDescent="0.2">
      <c r="A7" s="33"/>
      <c r="B7" s="261">
        <v>13078</v>
      </c>
      <c r="C7" s="441" t="s">
        <v>8</v>
      </c>
      <c r="D7" s="42" t="s">
        <v>9</v>
      </c>
      <c r="E7" s="463">
        <f>VLOOKUP(B7,'Resumen de Unidades'!$B$4:$Q$124,16,FALSE)</f>
        <v>8708</v>
      </c>
      <c r="F7" s="250">
        <f>VLOOKUP(B7,USD!$B$4:$Q$124,16,FALSE)</f>
        <v>174687.70479999998</v>
      </c>
      <c r="G7" s="465">
        <f>IFERROR(VLOOKUP(B7,BDFD!$B:$CE,80,FALSE),0)</f>
        <v>11419</v>
      </c>
      <c r="H7" s="422">
        <f>IFERROR(VLOOKUP(B7,BDFDUSD!$B:$AO,38,FALSE),0)</f>
        <v>256932.71000000002</v>
      </c>
      <c r="I7" s="463">
        <f>IFERROR(VLOOKUP(B7,BDPPTO!$B:$Q,16,FALSE),0)</f>
        <v>8670</v>
      </c>
      <c r="J7" s="250">
        <f>IFERROR(VLOOKUP(B7,BDPPTOUSD!$B:$Q,16,FALSE),0)</f>
        <v>191959.64840236685</v>
      </c>
      <c r="K7" s="461">
        <f t="shared" si="0"/>
        <v>-0.23741133199054207</v>
      </c>
      <c r="L7" s="461">
        <f t="shared" si="1"/>
        <v>-0.32010328774409469</v>
      </c>
      <c r="M7" s="462">
        <f t="shared" si="2"/>
        <v>4.3829296424452132E-3</v>
      </c>
      <c r="N7" s="462">
        <f t="shared" si="3"/>
        <v>-8.9976949562666039E-2</v>
      </c>
    </row>
    <row r="8" spans="1:28" x14ac:dyDescent="0.2">
      <c r="A8" s="33"/>
      <c r="B8" s="260">
        <v>13120</v>
      </c>
      <c r="C8" s="10"/>
      <c r="D8" s="42" t="s">
        <v>10</v>
      </c>
      <c r="E8" s="463">
        <f>VLOOKUP(B8,'Resumen de Unidades'!$B$4:$Q$124,16,FALSE)</f>
        <v>2741</v>
      </c>
      <c r="F8" s="250">
        <f>VLOOKUP(B8,USD!$B$4:$Q$124,16,FALSE)</f>
        <v>57807.415899999993</v>
      </c>
      <c r="G8" s="465">
        <f>IFERROR(VLOOKUP(B8,BDFD!$B:$CE,80,FALSE),0)</f>
        <v>1276</v>
      </c>
      <c r="H8" s="422">
        <f>IFERROR(VLOOKUP(B8,BDFDUSD!$B:$AO,38,FALSE),0)</f>
        <v>30431.97</v>
      </c>
      <c r="I8" s="463">
        <f>IFERROR(VLOOKUP(B8,BDPPTO!$B:$Q,16,FALSE),0)</f>
        <v>2768</v>
      </c>
      <c r="J8" s="250">
        <f>IFERROR(VLOOKUP(B8,BDPPTOUSD!$B:$Q,16,FALSE),0)</f>
        <v>61591.718208955237</v>
      </c>
      <c r="K8" s="461">
        <f t="shared" si="0"/>
        <v>1.1481191222570533</v>
      </c>
      <c r="L8" s="461">
        <f t="shared" si="1"/>
        <v>0.89956206910035696</v>
      </c>
      <c r="M8" s="462">
        <f t="shared" si="2"/>
        <v>-9.7543352601156073E-3</v>
      </c>
      <c r="N8" s="462">
        <f t="shared" si="3"/>
        <v>-6.1441739555254345E-2</v>
      </c>
    </row>
    <row r="9" spans="1:28" x14ac:dyDescent="0.2">
      <c r="A9" s="33"/>
      <c r="B9" s="260">
        <v>13053</v>
      </c>
      <c r="C9" s="11"/>
      <c r="D9" s="42" t="s">
        <v>11</v>
      </c>
      <c r="E9" s="463">
        <f>VLOOKUP(B9,'Resumen de Unidades'!$B$4:$Q$124,16,FALSE)</f>
        <v>18613</v>
      </c>
      <c r="F9" s="250">
        <f>VLOOKUP(B9,USD!$B$4:$Q$124,16,FALSE)</f>
        <v>557312.30729999999</v>
      </c>
      <c r="G9" s="465">
        <f>IFERROR(VLOOKUP(B9,BDFD!$B:$CE,80,FALSE),0)</f>
        <v>16344</v>
      </c>
      <c r="H9" s="422">
        <f>IFERROR(VLOOKUP(B9,BDFDUSD!$B:$AO,38,FALSE),0)</f>
        <v>492391.24</v>
      </c>
      <c r="I9" s="463">
        <f>IFERROR(VLOOKUP(B9,BDPPTO!$B:$Q,16,FALSE),0)</f>
        <v>18616</v>
      </c>
      <c r="J9" s="250">
        <f>IFERROR(VLOOKUP(B9,BDPPTOUSD!$B:$Q,16,FALSE),0)</f>
        <v>558212.74568931677</v>
      </c>
      <c r="K9" s="461">
        <f t="shared" si="0"/>
        <v>0.1388277043563387</v>
      </c>
      <c r="L9" s="461">
        <f t="shared" si="1"/>
        <v>0.131848542431421</v>
      </c>
      <c r="M9" s="462">
        <f t="shared" si="2"/>
        <v>-1.6115169746454662E-4</v>
      </c>
      <c r="N9" s="462">
        <f t="shared" si="3"/>
        <v>-1.613073861659795E-3</v>
      </c>
    </row>
    <row r="10" spans="1:28" x14ac:dyDescent="0.2">
      <c r="A10" s="33"/>
      <c r="B10" s="260"/>
      <c r="C10" s="4" t="s">
        <v>432</v>
      </c>
      <c r="D10" s="432"/>
      <c r="E10" s="464">
        <f>SUM(E7:E9)</f>
        <v>30062</v>
      </c>
      <c r="F10" s="460">
        <f t="shared" ref="F10:J10" si="5">SUM(F7:F9)</f>
        <v>789807.42799999996</v>
      </c>
      <c r="G10" s="464">
        <f t="shared" si="5"/>
        <v>29039</v>
      </c>
      <c r="H10" s="460">
        <f t="shared" si="5"/>
        <v>779755.92</v>
      </c>
      <c r="I10" s="464">
        <f t="shared" si="5"/>
        <v>30054</v>
      </c>
      <c r="J10" s="460">
        <f t="shared" si="5"/>
        <v>811764.11230063881</v>
      </c>
      <c r="K10" s="466">
        <f t="shared" si="0"/>
        <v>3.5228485829401836E-2</v>
      </c>
      <c r="L10" s="466">
        <f t="shared" si="1"/>
        <v>1.2890582478681167E-2</v>
      </c>
      <c r="M10" s="466">
        <f t="shared" si="2"/>
        <v>2.6618752911426101E-4</v>
      </c>
      <c r="N10" s="466">
        <f t="shared" si="3"/>
        <v>-2.7048109134081972E-2</v>
      </c>
      <c r="P10" s="104">
        <f>+E10</f>
        <v>30062</v>
      </c>
      <c r="Q10" s="524">
        <f>+F10</f>
        <v>789807.42799999996</v>
      </c>
      <c r="R10" s="104">
        <f>+I10</f>
        <v>30054</v>
      </c>
      <c r="S10" s="524">
        <f>+J10</f>
        <v>811764.11230063881</v>
      </c>
      <c r="T10" s="525">
        <f>+M10</f>
        <v>2.6618752911426101E-4</v>
      </c>
      <c r="U10" s="525">
        <f>+N10</f>
        <v>-2.7048109134081972E-2</v>
      </c>
    </row>
    <row r="11" spans="1:28" x14ac:dyDescent="0.2">
      <c r="A11" s="33"/>
      <c r="B11" s="436">
        <v>13022</v>
      </c>
      <c r="C11" s="442" t="s">
        <v>12</v>
      </c>
      <c r="D11" s="437" t="s">
        <v>13</v>
      </c>
      <c r="E11" s="463">
        <f>VLOOKUP(B11,'Resumen de Unidades'!$B$4:$Q$124,16,FALSE)</f>
        <v>550855</v>
      </c>
      <c r="F11" s="250">
        <f>VLOOKUP(B11,USD!$B$4:$Q$124,16,FALSE)</f>
        <v>2557304.6759400005</v>
      </c>
      <c r="G11" s="465">
        <f>IFERROR(VLOOKUP(B11,BDFD!$B:$CE,80,FALSE),0)</f>
        <v>453468</v>
      </c>
      <c r="H11" s="422">
        <f>IFERROR(VLOOKUP(B11,BDFDUSD!$B:$AO,38,FALSE),0)</f>
        <v>2247083.5500000003</v>
      </c>
      <c r="I11" s="463">
        <f>IFERROR(VLOOKUP(B11,BDPPTO!$B:$Q,16,FALSE),0)</f>
        <v>560906</v>
      </c>
      <c r="J11" s="250">
        <f>IFERROR(VLOOKUP(B11,BDPPTOUSD!$B:$Q,16,FALSE),0)</f>
        <v>2789359.8273081183</v>
      </c>
      <c r="K11" s="461">
        <f t="shared" si="0"/>
        <v>0.21476046821385411</v>
      </c>
      <c r="L11" s="461">
        <f t="shared" si="1"/>
        <v>0.13805500286805097</v>
      </c>
      <c r="M11" s="462">
        <f t="shared" si="2"/>
        <v>-1.7919223541912548E-2</v>
      </c>
      <c r="N11" s="462">
        <f t="shared" si="3"/>
        <v>-8.3192978222556377E-2</v>
      </c>
    </row>
    <row r="12" spans="1:28" x14ac:dyDescent="0.2">
      <c r="A12" s="33"/>
      <c r="B12" s="260"/>
      <c r="C12" s="4" t="s">
        <v>434</v>
      </c>
      <c r="D12" s="425"/>
      <c r="E12" s="464">
        <f>SUM(E11)</f>
        <v>550855</v>
      </c>
      <c r="F12" s="460">
        <f t="shared" ref="F12:J12" si="6">SUM(F11)</f>
        <v>2557304.6759400005</v>
      </c>
      <c r="G12" s="464">
        <f t="shared" si="6"/>
        <v>453468</v>
      </c>
      <c r="H12" s="460">
        <f t="shared" si="6"/>
        <v>2247083.5500000003</v>
      </c>
      <c r="I12" s="464">
        <f t="shared" si="6"/>
        <v>560906</v>
      </c>
      <c r="J12" s="460">
        <f t="shared" si="6"/>
        <v>2789359.8273081183</v>
      </c>
      <c r="K12" s="466">
        <f t="shared" si="0"/>
        <v>0.21476046821385411</v>
      </c>
      <c r="L12" s="466">
        <f t="shared" si="1"/>
        <v>0.13805500286805097</v>
      </c>
      <c r="M12" s="466">
        <f t="shared" si="2"/>
        <v>-1.7919223541912548E-2</v>
      </c>
      <c r="N12" s="466">
        <f t="shared" si="3"/>
        <v>-8.3192978222556377E-2</v>
      </c>
      <c r="P12" s="104">
        <f>+E12</f>
        <v>550855</v>
      </c>
      <c r="Q12" s="524">
        <f>+F12</f>
        <v>2557304.6759400005</v>
      </c>
      <c r="R12" s="104">
        <f>+I12</f>
        <v>560906</v>
      </c>
      <c r="S12" s="524">
        <f>+J12</f>
        <v>2789359.8273081183</v>
      </c>
      <c r="T12" s="525">
        <f>+M12</f>
        <v>-1.7919223541912548E-2</v>
      </c>
      <c r="U12" s="525">
        <f>+N12</f>
        <v>-8.3192978222556377E-2</v>
      </c>
    </row>
    <row r="13" spans="1:28" x14ac:dyDescent="0.2">
      <c r="A13" s="33"/>
      <c r="B13" s="260">
        <v>13163</v>
      </c>
      <c r="C13" s="440" t="s">
        <v>14</v>
      </c>
      <c r="D13" s="42" t="s">
        <v>573</v>
      </c>
      <c r="E13" s="463">
        <f>VLOOKUP(B13,'Resumen de Unidades'!$B$4:$Q$124,16,FALSE)</f>
        <v>5501</v>
      </c>
      <c r="F13" s="250">
        <f>VLOOKUP(B13,USD!$B$4:$Q$124,16,FALSE)</f>
        <v>57870.51999999999</v>
      </c>
      <c r="G13" s="465">
        <f>IFERROR(VLOOKUP(B13,BDFD!$B:$CE,80,FALSE),0)</f>
        <v>0</v>
      </c>
      <c r="H13" s="422">
        <f>IFERROR(VLOOKUP(B13,BDFDUSD!$B:$AO,38,FALSE),0)</f>
        <v>0</v>
      </c>
      <c r="I13" s="463">
        <f>IFERROR(VLOOKUP(B13,BDPPTO!$B:$Q,16,FALSE),0)</f>
        <v>4360</v>
      </c>
      <c r="J13" s="250">
        <f>IFERROR(VLOOKUP(B13,BDPPTOUSD!$B:$Q,16,FALSE),0)</f>
        <v>38088.959999999999</v>
      </c>
      <c r="K13" s="461">
        <f t="shared" si="0"/>
        <v>0</v>
      </c>
      <c r="L13" s="461">
        <f t="shared" si="1"/>
        <v>0</v>
      </c>
      <c r="M13" s="462">
        <f t="shared" si="2"/>
        <v>0.261697247706422</v>
      </c>
      <c r="N13" s="462">
        <f t="shared" si="3"/>
        <v>0.51935153913364895</v>
      </c>
    </row>
    <row r="14" spans="1:28" x14ac:dyDescent="0.2">
      <c r="A14" s="33"/>
      <c r="B14" s="260">
        <v>13164</v>
      </c>
      <c r="C14" s="6"/>
      <c r="D14" s="42" t="s">
        <v>574</v>
      </c>
      <c r="E14" s="463">
        <f>VLOOKUP(B14,'Resumen de Unidades'!$B$4:$Q$124,16,FALSE)</f>
        <v>5140</v>
      </c>
      <c r="F14" s="250">
        <f>VLOOKUP(B14,USD!$B$4:$Q$124,16,FALSE)</f>
        <v>61628.6</v>
      </c>
      <c r="G14" s="465">
        <f>IFERROR(VLOOKUP(B14,BDFD!$B:$CE,80,FALSE),0)</f>
        <v>0</v>
      </c>
      <c r="H14" s="422">
        <f>IFERROR(VLOOKUP(B14,BDFDUSD!$B:$AO,38,FALSE),0)</f>
        <v>0</v>
      </c>
      <c r="I14" s="463">
        <f>IFERROR(VLOOKUP(B14,BDPPTO!$B:$Q,16,FALSE),0)</f>
        <v>0</v>
      </c>
      <c r="J14" s="250">
        <f>IFERROR(VLOOKUP(B14,BDPPTOUSD!$B:$Q,16,FALSE),0)</f>
        <v>0</v>
      </c>
      <c r="K14" s="461">
        <f t="shared" si="0"/>
        <v>0</v>
      </c>
      <c r="L14" s="461">
        <f t="shared" si="1"/>
        <v>0</v>
      </c>
      <c r="M14" s="462">
        <f t="shared" si="2"/>
        <v>0</v>
      </c>
      <c r="N14" s="462">
        <f t="shared" si="3"/>
        <v>0</v>
      </c>
    </row>
    <row r="15" spans="1:28" x14ac:dyDescent="0.2">
      <c r="A15" s="33"/>
      <c r="B15" s="260"/>
      <c r="C15" s="19" t="s">
        <v>459</v>
      </c>
      <c r="D15" s="425"/>
      <c r="E15" s="464">
        <f>SUM(E13:E14)</f>
        <v>10641</v>
      </c>
      <c r="F15" s="460">
        <f t="shared" ref="F15:J15" si="7">SUM(F13:F14)</f>
        <v>119499.12</v>
      </c>
      <c r="G15" s="464">
        <f t="shared" si="7"/>
        <v>0</v>
      </c>
      <c r="H15" s="460">
        <f t="shared" si="7"/>
        <v>0</v>
      </c>
      <c r="I15" s="464">
        <f t="shared" si="7"/>
        <v>4360</v>
      </c>
      <c r="J15" s="460">
        <f t="shared" si="7"/>
        <v>38088.959999999999</v>
      </c>
      <c r="K15" s="466">
        <f t="shared" si="0"/>
        <v>0</v>
      </c>
      <c r="L15" s="466">
        <f t="shared" si="1"/>
        <v>0</v>
      </c>
      <c r="M15" s="466">
        <f t="shared" si="2"/>
        <v>1.4405963302752294</v>
      </c>
      <c r="N15" s="466">
        <f t="shared" si="3"/>
        <v>2.1373689384010488</v>
      </c>
      <c r="P15" s="104">
        <f>+E15</f>
        <v>10641</v>
      </c>
      <c r="Q15" s="524">
        <f>+F15</f>
        <v>119499.12</v>
      </c>
      <c r="R15" s="104">
        <f>+I15</f>
        <v>4360</v>
      </c>
      <c r="S15" s="524">
        <f>+J15</f>
        <v>38088.959999999999</v>
      </c>
      <c r="T15" s="525">
        <f>+M15</f>
        <v>1.4405963302752294</v>
      </c>
      <c r="U15" s="525">
        <f>+N15</f>
        <v>2.1373689384010488</v>
      </c>
    </row>
    <row r="16" spans="1:28" x14ac:dyDescent="0.2">
      <c r="A16" s="33"/>
      <c r="B16" s="260">
        <v>13133</v>
      </c>
      <c r="C16" s="443" t="s">
        <v>15</v>
      </c>
      <c r="D16" s="42" t="s">
        <v>16</v>
      </c>
      <c r="E16" s="463">
        <f>VLOOKUP(B16,'Resumen de Unidades'!$B$4:$Q$124,16,FALSE)</f>
        <v>20604</v>
      </c>
      <c r="F16" s="250">
        <f>VLOOKUP(B16,USD!$B$4:$Q$124,16,FALSE)</f>
        <v>346806.52800000005</v>
      </c>
      <c r="G16" s="465">
        <f>IFERROR(VLOOKUP(B16,BDFD!$B:$CE,80,FALSE),0)</f>
        <v>16193</v>
      </c>
      <c r="H16" s="422">
        <f>IFERROR(VLOOKUP(B16,BDFDUSD!$B:$AO,38,FALSE),0)</f>
        <v>283282.45999999996</v>
      </c>
      <c r="I16" s="463">
        <f>IFERROR(VLOOKUP(B16,BDPPTO!$B:$Q,16,FALSE),0)</f>
        <v>18761</v>
      </c>
      <c r="J16" s="250">
        <f>IFERROR(VLOOKUP(B16,BDPPTOUSD!$B:$Q,16,FALSE),0)</f>
        <v>314558.01898569346</v>
      </c>
      <c r="K16" s="461">
        <f t="shared" si="0"/>
        <v>0.27240165503612673</v>
      </c>
      <c r="L16" s="461">
        <f t="shared" si="1"/>
        <v>0.22424285640558225</v>
      </c>
      <c r="M16" s="462">
        <f t="shared" si="2"/>
        <v>9.8235701721656632E-2</v>
      </c>
      <c r="N16" s="462">
        <f t="shared" si="3"/>
        <v>0.10252006646752597</v>
      </c>
    </row>
    <row r="17" spans="1:28" x14ac:dyDescent="0.2">
      <c r="A17" s="33"/>
      <c r="B17" s="260">
        <v>13134</v>
      </c>
      <c r="C17" s="253"/>
      <c r="D17" s="42" t="s">
        <v>17</v>
      </c>
      <c r="E17" s="463">
        <f>VLOOKUP(B17,'Resumen de Unidades'!$B$4:$Q$124,16,FALSE)</f>
        <v>9911</v>
      </c>
      <c r="F17" s="250">
        <f>VLOOKUP(B17,USD!$B$4:$Q$124,16,FALSE)</f>
        <v>119938.95759999999</v>
      </c>
      <c r="G17" s="465">
        <f>IFERROR(VLOOKUP(B17,BDFD!$B:$CE,80,FALSE),0)</f>
        <v>6545</v>
      </c>
      <c r="H17" s="422">
        <f>IFERROR(VLOOKUP(B17,BDFDUSD!$B:$AO,38,FALSE),0)</f>
        <v>87781.000000000015</v>
      </c>
      <c r="I17" s="463">
        <f>IFERROR(VLOOKUP(B17,BDPPTO!$B:$Q,16,FALSE),0)</f>
        <v>8022</v>
      </c>
      <c r="J17" s="250">
        <f>IFERROR(VLOOKUP(B17,BDPPTOUSD!$B:$Q,16,FALSE),0)</f>
        <v>96331.112156862728</v>
      </c>
      <c r="K17" s="461">
        <f t="shared" si="0"/>
        <v>0.51428571428571423</v>
      </c>
      <c r="L17" s="461">
        <f t="shared" si="1"/>
        <v>0.36634303095202803</v>
      </c>
      <c r="M17" s="462">
        <f t="shared" si="2"/>
        <v>0.23547743704811769</v>
      </c>
      <c r="N17" s="462">
        <f t="shared" si="3"/>
        <v>0.24506979017012645</v>
      </c>
    </row>
    <row r="18" spans="1:28" x14ac:dyDescent="0.2">
      <c r="A18" s="33"/>
      <c r="B18" s="260"/>
      <c r="C18" s="438" t="s">
        <v>464</v>
      </c>
      <c r="D18" s="425"/>
      <c r="E18" s="464">
        <f>SUM(E16:E17)</f>
        <v>30515</v>
      </c>
      <c r="F18" s="460">
        <f t="shared" ref="F18:J18" si="8">SUM(F16:F17)</f>
        <v>466745.48560000001</v>
      </c>
      <c r="G18" s="464">
        <f t="shared" si="8"/>
        <v>22738</v>
      </c>
      <c r="H18" s="460">
        <f t="shared" si="8"/>
        <v>371063.45999999996</v>
      </c>
      <c r="I18" s="464">
        <f t="shared" si="8"/>
        <v>26783</v>
      </c>
      <c r="J18" s="460">
        <f t="shared" si="8"/>
        <v>410889.1311425562</v>
      </c>
      <c r="K18" s="466">
        <f t="shared" si="0"/>
        <v>0.34202656346204591</v>
      </c>
      <c r="L18" s="466">
        <f t="shared" si="1"/>
        <v>0.25785892688005457</v>
      </c>
      <c r="M18" s="466">
        <f t="shared" si="2"/>
        <v>0.13934212000149349</v>
      </c>
      <c r="N18" s="466">
        <f t="shared" si="3"/>
        <v>0.13594020922900657</v>
      </c>
      <c r="P18" s="104">
        <f>+E18</f>
        <v>30515</v>
      </c>
      <c r="Q18" s="524">
        <f>+F18</f>
        <v>466745.48560000001</v>
      </c>
      <c r="R18" s="104">
        <f>+I18</f>
        <v>26783</v>
      </c>
      <c r="S18" s="524">
        <f>+J18</f>
        <v>410889.1311425562</v>
      </c>
      <c r="T18" s="525">
        <f>+M18</f>
        <v>0.13934212000149349</v>
      </c>
      <c r="U18" s="525">
        <f>+N18</f>
        <v>0.13594020922900657</v>
      </c>
    </row>
    <row r="19" spans="1:28" x14ac:dyDescent="0.2">
      <c r="A19" s="33"/>
      <c r="B19" s="31">
        <v>13142</v>
      </c>
      <c r="C19" s="444" t="s">
        <v>18</v>
      </c>
      <c r="D19" s="42" t="s">
        <v>19</v>
      </c>
      <c r="E19" s="463">
        <f>VLOOKUP(B19,'Resumen de Unidades'!$B$4:$Q$124,16,FALSE)</f>
        <v>13426</v>
      </c>
      <c r="F19" s="250">
        <f>VLOOKUP(B19,USD!$B$4:$Q$124,16,FALSE)</f>
        <v>145896.31419999999</v>
      </c>
      <c r="G19" s="465">
        <f>IFERROR(VLOOKUP(B19,BDFD!$B:$CE,80,FALSE),0)</f>
        <v>7650</v>
      </c>
      <c r="H19" s="422">
        <f>IFERROR(VLOOKUP(B19,BDFDUSD!$B:$AO,38,FALSE),0)</f>
        <v>85284.049999999988</v>
      </c>
      <c r="I19" s="463">
        <f>IFERROR(VLOOKUP(B19,BDPPTO!$B:$Q,16,FALSE),0)</f>
        <v>14012</v>
      </c>
      <c r="J19" s="250">
        <f>IFERROR(VLOOKUP(B19,BDPPTOUSD!$B:$Q,16,FALSE),0)</f>
        <v>153683.18291575494</v>
      </c>
      <c r="K19" s="461">
        <f t="shared" si="0"/>
        <v>0.75503267973856214</v>
      </c>
      <c r="L19" s="461">
        <f t="shared" si="1"/>
        <v>0.71071043413158752</v>
      </c>
      <c r="M19" s="462">
        <f t="shared" si="2"/>
        <v>-4.1821296031972592E-2</v>
      </c>
      <c r="N19" s="462">
        <f t="shared" si="3"/>
        <v>-5.0668320163719534E-2</v>
      </c>
    </row>
    <row r="20" spans="1:28" x14ac:dyDescent="0.2">
      <c r="A20" s="33"/>
      <c r="B20" s="31">
        <v>13141</v>
      </c>
      <c r="C20" s="254"/>
      <c r="D20" s="42" t="s">
        <v>20</v>
      </c>
      <c r="E20" s="463">
        <f>VLOOKUP(B20,'Resumen de Unidades'!$B$4:$Q$124,16,FALSE)</f>
        <v>20947</v>
      </c>
      <c r="F20" s="250">
        <f>VLOOKUP(B20,USD!$B$4:$Q$124,16,FALSE)</f>
        <v>222300.03750000001</v>
      </c>
      <c r="G20" s="465">
        <f>IFERROR(VLOOKUP(B20,BDFD!$B:$CE,80,FALSE),0)</f>
        <v>17517</v>
      </c>
      <c r="H20" s="422">
        <f>IFERROR(VLOOKUP(B20,BDFDUSD!$B:$AO,38,FALSE),0)</f>
        <v>195599.21000000002</v>
      </c>
      <c r="I20" s="463">
        <f>IFERROR(VLOOKUP(B20,BDPPTO!$B:$Q,16,FALSE),0)</f>
        <v>18926</v>
      </c>
      <c r="J20" s="250">
        <f>IFERROR(VLOOKUP(B20,BDPPTOUSD!$B:$Q,16,FALSE),0)</f>
        <v>201952.50554469001</v>
      </c>
      <c r="K20" s="461">
        <f t="shared" si="0"/>
        <v>0.19580978478049896</v>
      </c>
      <c r="L20" s="461">
        <f t="shared" si="1"/>
        <v>0.13650784939264315</v>
      </c>
      <c r="M20" s="462">
        <f t="shared" si="2"/>
        <v>0.10678431786959738</v>
      </c>
      <c r="N20" s="462">
        <f t="shared" si="3"/>
        <v>0.1007540456130033</v>
      </c>
    </row>
    <row r="21" spans="1:28" x14ac:dyDescent="0.2">
      <c r="A21" s="33"/>
      <c r="B21" s="31">
        <v>33333</v>
      </c>
      <c r="C21" s="254"/>
      <c r="D21" s="42" t="s">
        <v>587</v>
      </c>
      <c r="E21" s="463">
        <f>VLOOKUP(B21,'Resumen de Unidades'!$B$4:$Q$124,16,FALSE)</f>
        <v>0</v>
      </c>
      <c r="F21" s="250">
        <f>VLOOKUP(B21,USD!$B$4:$Q$124,16,FALSE)</f>
        <v>0</v>
      </c>
      <c r="G21" s="465">
        <f>IFERROR(VLOOKUP(B21,BDFD!$B:$CE,80,FALSE),0)</f>
        <v>0</v>
      </c>
      <c r="H21" s="422">
        <f>IFERROR(VLOOKUP(B21,BDFDUSD!$B:$AO,38,FALSE),0)</f>
        <v>0</v>
      </c>
      <c r="I21" s="463">
        <f>IFERROR(VLOOKUP(B21,BDPPTO!$B:$Q,16,FALSE),0)</f>
        <v>0</v>
      </c>
      <c r="J21" s="250">
        <f>IFERROR(VLOOKUP(B21,BDPPTOUSD!$B:$Q,16,FALSE),0)</f>
        <v>0</v>
      </c>
      <c r="K21" s="461">
        <f t="shared" si="0"/>
        <v>0</v>
      </c>
      <c r="L21" s="461">
        <f t="shared" si="1"/>
        <v>0</v>
      </c>
      <c r="M21" s="462">
        <f t="shared" si="2"/>
        <v>0</v>
      </c>
      <c r="N21" s="462">
        <f t="shared" si="3"/>
        <v>0</v>
      </c>
    </row>
    <row r="22" spans="1:28" x14ac:dyDescent="0.2">
      <c r="A22" s="33"/>
      <c r="B22" s="31">
        <v>22222</v>
      </c>
      <c r="C22" s="254"/>
      <c r="D22" s="42" t="s">
        <v>586</v>
      </c>
      <c r="E22" s="463">
        <f>VLOOKUP(B22,'Resumen de Unidades'!$B$4:$Q$124,16,FALSE)</f>
        <v>0</v>
      </c>
      <c r="F22" s="250">
        <f>VLOOKUP(B22,USD!$B$4:$Q$124,16,FALSE)</f>
        <v>0</v>
      </c>
      <c r="G22" s="465">
        <f>IFERROR(VLOOKUP(B22,BDFD!$B:$CE,80,FALSE),0)</f>
        <v>0</v>
      </c>
      <c r="H22" s="422">
        <f>IFERROR(VLOOKUP(B22,BDFDUSD!$B:$AO,38,FALSE),0)</f>
        <v>0</v>
      </c>
      <c r="I22" s="463">
        <f>IFERROR(VLOOKUP(B22,BDPPTO!$B:$Q,16,FALSE),0)</f>
        <v>0</v>
      </c>
      <c r="J22" s="250">
        <f>IFERROR(VLOOKUP(B22,BDPPTOUSD!$B:$Q,16,FALSE),0)</f>
        <v>0</v>
      </c>
      <c r="K22" s="461">
        <f t="shared" si="0"/>
        <v>0</v>
      </c>
      <c r="L22" s="461">
        <f t="shared" si="1"/>
        <v>0</v>
      </c>
      <c r="M22" s="462">
        <f t="shared" si="2"/>
        <v>0</v>
      </c>
      <c r="N22" s="462">
        <f t="shared" si="3"/>
        <v>0</v>
      </c>
    </row>
    <row r="23" spans="1:28" x14ac:dyDescent="0.2">
      <c r="A23" s="33"/>
      <c r="B23" s="31"/>
      <c r="C23" s="439" t="s">
        <v>485</v>
      </c>
      <c r="D23" s="425"/>
      <c r="E23" s="464">
        <f>SUM(E19:E22)</f>
        <v>34373</v>
      </c>
      <c r="F23" s="460">
        <f t="shared" ref="F23:J23" si="9">SUM(F19:F22)</f>
        <v>368196.3517</v>
      </c>
      <c r="G23" s="464">
        <f t="shared" si="9"/>
        <v>25167</v>
      </c>
      <c r="H23" s="460">
        <f t="shared" si="9"/>
        <v>280883.26</v>
      </c>
      <c r="I23" s="464">
        <f t="shared" si="9"/>
        <v>32938</v>
      </c>
      <c r="J23" s="460">
        <f t="shared" si="9"/>
        <v>355635.68846044492</v>
      </c>
      <c r="K23" s="466">
        <f t="shared" si="0"/>
        <v>0.36579647951682759</v>
      </c>
      <c r="L23" s="466">
        <f t="shared" si="1"/>
        <v>0.3108518880762064</v>
      </c>
      <c r="M23" s="466">
        <f t="shared" si="2"/>
        <v>4.3566701074746493E-2</v>
      </c>
      <c r="N23" s="466">
        <f t="shared" si="3"/>
        <v>3.5318905405502143E-2</v>
      </c>
      <c r="W23" s="104">
        <f>+E23</f>
        <v>34373</v>
      </c>
      <c r="X23" s="524">
        <f>+F23</f>
        <v>368196.3517</v>
      </c>
      <c r="Y23" s="104">
        <f>+I23</f>
        <v>32938</v>
      </c>
      <c r="Z23" s="524">
        <f>+J23</f>
        <v>355635.68846044492</v>
      </c>
      <c r="AA23" s="525">
        <f>+M23</f>
        <v>4.3566701074746493E-2</v>
      </c>
      <c r="AB23" s="525">
        <f>+N23</f>
        <v>3.5318905405502143E-2</v>
      </c>
    </row>
    <row r="24" spans="1:28" x14ac:dyDescent="0.2">
      <c r="A24" s="33"/>
      <c r="B24" s="260">
        <v>13068</v>
      </c>
      <c r="C24" s="440" t="s">
        <v>21</v>
      </c>
      <c r="D24" s="42" t="s">
        <v>113</v>
      </c>
      <c r="E24" s="463">
        <f>VLOOKUP(B24,'Resumen de Unidades'!$B$4:$Q$124,16,FALSE)</f>
        <v>11936</v>
      </c>
      <c r="F24" s="250">
        <f>VLOOKUP(B24,USD!$B$4:$Q$124,16,FALSE)</f>
        <v>116762.869632</v>
      </c>
      <c r="G24" s="465">
        <f>IFERROR(VLOOKUP(B24,BDFD!$B:$CE,80,FALSE),0)</f>
        <v>13230</v>
      </c>
      <c r="H24" s="422">
        <f>IFERROR(VLOOKUP(B24,BDFDUSD!$B:$AO,38,FALSE),0)</f>
        <v>132151.84999999998</v>
      </c>
      <c r="I24" s="463">
        <f>IFERROR(VLOOKUP(B24,BDPPTO!$B:$Q,16,FALSE),0)</f>
        <v>12032</v>
      </c>
      <c r="J24" s="250">
        <f>IFERROR(VLOOKUP(B24,BDPPTOUSD!$B:$Q,16,FALSE),0)</f>
        <v>119303.16325796786</v>
      </c>
      <c r="K24" s="461">
        <f t="shared" si="0"/>
        <v>-9.7808012093726374E-2</v>
      </c>
      <c r="L24" s="461">
        <f t="shared" si="1"/>
        <v>-0.11644922388903355</v>
      </c>
      <c r="M24" s="462">
        <f t="shared" si="2"/>
        <v>-7.9787234042553185E-3</v>
      </c>
      <c r="N24" s="462">
        <f t="shared" si="3"/>
        <v>-2.129276002912853E-2</v>
      </c>
    </row>
    <row r="25" spans="1:28" x14ac:dyDescent="0.2">
      <c r="A25" s="33"/>
      <c r="B25" s="260">
        <v>13067</v>
      </c>
      <c r="C25" s="6"/>
      <c r="D25" s="42" t="s">
        <v>114</v>
      </c>
      <c r="E25" s="463">
        <f>VLOOKUP(B25,'Resumen de Unidades'!$B$4:$Q$124,16,FALSE)</f>
        <v>25944</v>
      </c>
      <c r="F25" s="250">
        <f>VLOOKUP(B25,USD!$B$4:$Q$124,16,FALSE)</f>
        <v>256283.08219199994</v>
      </c>
      <c r="G25" s="465">
        <f>IFERROR(VLOOKUP(B25,BDFD!$B:$CE,80,FALSE),0)</f>
        <v>23798</v>
      </c>
      <c r="H25" s="422">
        <f>IFERROR(VLOOKUP(B25,BDFDUSD!$B:$AO,38,FALSE),0)</f>
        <v>236942.92</v>
      </c>
      <c r="I25" s="463">
        <f>IFERROR(VLOOKUP(B25,BDPPTO!$B:$Q,16,FALSE),0)</f>
        <v>25375</v>
      </c>
      <c r="J25" s="250">
        <f>IFERROR(VLOOKUP(B25,BDPPTOUSD!$B:$Q,16,FALSE),0)</f>
        <v>251066.05563422022</v>
      </c>
      <c r="K25" s="461">
        <f t="shared" si="0"/>
        <v>9.0175645012185904E-2</v>
      </c>
      <c r="L25" s="461">
        <f t="shared" si="1"/>
        <v>8.1623718455060529E-2</v>
      </c>
      <c r="M25" s="462">
        <f t="shared" si="2"/>
        <v>2.2423645320197045E-2</v>
      </c>
      <c r="N25" s="462">
        <f t="shared" si="3"/>
        <v>2.0779497828174932E-2</v>
      </c>
    </row>
    <row r="26" spans="1:28" x14ac:dyDescent="0.2">
      <c r="A26" s="33"/>
      <c r="B26" s="260">
        <v>13146</v>
      </c>
      <c r="C26" s="6"/>
      <c r="D26" s="42" t="s">
        <v>24</v>
      </c>
      <c r="E26" s="463">
        <f>VLOOKUP(B26,'Resumen de Unidades'!$B$4:$Q$124,16,FALSE)</f>
        <v>19367</v>
      </c>
      <c r="F26" s="250">
        <f>VLOOKUP(B26,USD!$B$4:$Q$124,16,FALSE)</f>
        <v>213569.59249999997</v>
      </c>
      <c r="G26" s="465">
        <f>IFERROR(VLOOKUP(B26,BDFD!$B:$CE,80,FALSE),0)</f>
        <v>7870</v>
      </c>
      <c r="H26" s="422">
        <f>IFERROR(VLOOKUP(B26,BDFDUSD!$B:$AO,38,FALSE),0)</f>
        <v>92574.17</v>
      </c>
      <c r="I26" s="463">
        <f>IFERROR(VLOOKUP(B26,BDPPTO!$B:$Q,16,FALSE),0)</f>
        <v>19345</v>
      </c>
      <c r="J26" s="250">
        <f>IFERROR(VLOOKUP(B26,BDPPTOUSD!$B:$Q,16,FALSE),0)</f>
        <v>207523.86289493824</v>
      </c>
      <c r="K26" s="461">
        <f t="shared" si="0"/>
        <v>1.4608640406607369</v>
      </c>
      <c r="L26" s="461">
        <f t="shared" si="1"/>
        <v>1.3070106110592186</v>
      </c>
      <c r="M26" s="462">
        <f t="shared" si="2"/>
        <v>1.1372447660894288E-3</v>
      </c>
      <c r="N26" s="462">
        <f t="shared" si="3"/>
        <v>2.9132695973968361E-2</v>
      </c>
    </row>
    <row r="27" spans="1:28" x14ac:dyDescent="0.2">
      <c r="A27" s="33"/>
      <c r="B27" s="260">
        <v>13054</v>
      </c>
      <c r="C27" s="6"/>
      <c r="D27" s="42" t="s">
        <v>115</v>
      </c>
      <c r="E27" s="463">
        <f>VLOOKUP(B27,'Resumen de Unidades'!$B$4:$Q$124,16,FALSE)</f>
        <v>6829</v>
      </c>
      <c r="F27" s="250">
        <f>VLOOKUP(B27,USD!$B$4:$Q$124,16,FALSE)</f>
        <v>90773.116700000013</v>
      </c>
      <c r="G27" s="465">
        <f>IFERROR(VLOOKUP(B27,BDFD!$B:$CE,80,FALSE),0)</f>
        <v>4574</v>
      </c>
      <c r="H27" s="422">
        <f>IFERROR(VLOOKUP(B27,BDFDUSD!$B:$AO,38,FALSE),0)</f>
        <v>58788.22</v>
      </c>
      <c r="I27" s="463">
        <f>IFERROR(VLOOKUP(B27,BDPPTO!$B:$Q,16,FALSE),0)</f>
        <v>4663</v>
      </c>
      <c r="J27" s="250">
        <f>IFERROR(VLOOKUP(B27,BDPPTOUSD!$B:$Q,16,FALSE),0)</f>
        <v>61945.570000000007</v>
      </c>
      <c r="K27" s="461">
        <f t="shared" si="0"/>
        <v>0.49300393528640141</v>
      </c>
      <c r="L27" s="461">
        <f t="shared" si="1"/>
        <v>0.54406982725450803</v>
      </c>
      <c r="M27" s="462">
        <f t="shared" si="2"/>
        <v>0.46450782757881193</v>
      </c>
      <c r="N27" s="462">
        <f t="shared" si="3"/>
        <v>0.46536897957351919</v>
      </c>
    </row>
    <row r="28" spans="1:28" x14ac:dyDescent="0.2">
      <c r="A28" s="33"/>
      <c r="B28" s="260"/>
      <c r="C28" s="19" t="s">
        <v>448</v>
      </c>
      <c r="D28" s="425"/>
      <c r="E28" s="464">
        <f>SUM(E24:E27)</f>
        <v>64076</v>
      </c>
      <c r="F28" s="460">
        <f t="shared" ref="F28:J28" si="10">SUM(F24:F27)</f>
        <v>677388.66102399991</v>
      </c>
      <c r="G28" s="464">
        <f t="shared" si="10"/>
        <v>49472</v>
      </c>
      <c r="H28" s="460">
        <f t="shared" si="10"/>
        <v>520457.16000000003</v>
      </c>
      <c r="I28" s="464">
        <f t="shared" si="10"/>
        <v>61415</v>
      </c>
      <c r="J28" s="460">
        <f t="shared" si="10"/>
        <v>639838.6517871262</v>
      </c>
      <c r="K28" s="466">
        <f t="shared" si="0"/>
        <v>0.29519728331177231</v>
      </c>
      <c r="L28" s="466">
        <f t="shared" si="1"/>
        <v>0.30152626015174788</v>
      </c>
      <c r="M28" s="466">
        <f t="shared" si="2"/>
        <v>4.3328177155418056E-2</v>
      </c>
      <c r="N28" s="466">
        <f t="shared" si="3"/>
        <v>5.8686684732148012E-2</v>
      </c>
      <c r="P28" s="104">
        <f>+E28</f>
        <v>64076</v>
      </c>
      <c r="Q28" s="524">
        <f>+F28</f>
        <v>677388.66102399991</v>
      </c>
      <c r="R28" s="104">
        <f>+I28</f>
        <v>61415</v>
      </c>
      <c r="S28" s="524">
        <f>+J28</f>
        <v>639838.6517871262</v>
      </c>
      <c r="T28" s="525">
        <f>+M28</f>
        <v>4.3328177155418056E-2</v>
      </c>
      <c r="U28" s="525">
        <f>+N28</f>
        <v>5.8686684732148012E-2</v>
      </c>
    </row>
    <row r="29" spans="1:28" x14ac:dyDescent="0.2">
      <c r="A29" s="33"/>
      <c r="B29" s="31">
        <v>13137</v>
      </c>
      <c r="C29" s="445" t="s">
        <v>29</v>
      </c>
      <c r="D29" s="41" t="s">
        <v>116</v>
      </c>
      <c r="E29" s="463">
        <f>VLOOKUP(B29,'Resumen de Unidades'!$B$4:$Q$124,16,FALSE)</f>
        <v>0</v>
      </c>
      <c r="F29" s="250">
        <f>VLOOKUP(B29,USD!$B$4:$Q$124,16,FALSE)</f>
        <v>0</v>
      </c>
      <c r="G29" s="465">
        <f>IFERROR(VLOOKUP(B29,BDFD!$B:$CE,80,FALSE),0)</f>
        <v>380</v>
      </c>
      <c r="H29" s="422">
        <f>IFERROR(VLOOKUP(B29,BDFDUSD!$B:$AO,38,FALSE),0)</f>
        <v>1760.63</v>
      </c>
      <c r="I29" s="463">
        <f>IFERROR(VLOOKUP(B29,BDPPTO!$B:$Q,16,FALSE),0)</f>
        <v>767</v>
      </c>
      <c r="J29" s="250">
        <f>IFERROR(VLOOKUP(B29,BDPPTOUSD!$B:$Q,16,FALSE),0)</f>
        <v>8829.2299999999977</v>
      </c>
      <c r="K29" s="461">
        <f t="shared" si="0"/>
        <v>-1</v>
      </c>
      <c r="L29" s="461">
        <f t="shared" si="1"/>
        <v>-1</v>
      </c>
      <c r="M29" s="462">
        <f t="shared" si="2"/>
        <v>-1</v>
      </c>
      <c r="N29" s="462">
        <f t="shared" si="3"/>
        <v>-1</v>
      </c>
    </row>
    <row r="30" spans="1:28" x14ac:dyDescent="0.2">
      <c r="A30" s="33"/>
      <c r="B30" s="31">
        <v>13138</v>
      </c>
      <c r="C30" s="16"/>
      <c r="D30" s="41" t="s">
        <v>117</v>
      </c>
      <c r="E30" s="463">
        <f>VLOOKUP(B30,'Resumen de Unidades'!$B$4:$Q$124,16,FALSE)</f>
        <v>11510</v>
      </c>
      <c r="F30" s="250">
        <f>VLOOKUP(B30,USD!$B$4:$Q$124,16,FALSE)</f>
        <v>174609.00200000001</v>
      </c>
      <c r="G30" s="465">
        <f>IFERROR(VLOOKUP(B30,BDFD!$B:$CE,80,FALSE),0)</f>
        <v>9957</v>
      </c>
      <c r="H30" s="422">
        <f>IFERROR(VLOOKUP(B30,BDFDUSD!$B:$AO,38,FALSE),0)</f>
        <v>157954.29999999999</v>
      </c>
      <c r="I30" s="463">
        <f>IFERROR(VLOOKUP(B30,BDPPTO!$B:$Q,16,FALSE),0)</f>
        <v>10732</v>
      </c>
      <c r="J30" s="250">
        <f>IFERROR(VLOOKUP(B30,BDPPTOUSD!$B:$Q,16,FALSE),0)</f>
        <v>171765.61464074388</v>
      </c>
      <c r="K30" s="461">
        <f t="shared" si="0"/>
        <v>0.15597067389776037</v>
      </c>
      <c r="L30" s="461">
        <f t="shared" si="1"/>
        <v>0.10544000384921474</v>
      </c>
      <c r="M30" s="462">
        <f t="shared" si="2"/>
        <v>7.2493477450614976E-2</v>
      </c>
      <c r="N30" s="462">
        <f t="shared" si="3"/>
        <v>1.6553879920630281E-2</v>
      </c>
    </row>
    <row r="31" spans="1:28" x14ac:dyDescent="0.2">
      <c r="A31" s="33"/>
      <c r="B31" s="31"/>
      <c r="C31" s="19" t="s">
        <v>450</v>
      </c>
      <c r="D31" s="424"/>
      <c r="E31" s="464">
        <f>SUM(E29:E30)</f>
        <v>11510</v>
      </c>
      <c r="F31" s="460">
        <f t="shared" ref="F31:J31" si="11">SUM(F29:F30)</f>
        <v>174609.00200000001</v>
      </c>
      <c r="G31" s="464">
        <f t="shared" si="11"/>
        <v>10337</v>
      </c>
      <c r="H31" s="460">
        <f t="shared" si="11"/>
        <v>159714.93</v>
      </c>
      <c r="I31" s="464">
        <f t="shared" si="11"/>
        <v>11499</v>
      </c>
      <c r="J31" s="460">
        <f t="shared" si="11"/>
        <v>180594.84464074389</v>
      </c>
      <c r="K31" s="466">
        <f t="shared" si="0"/>
        <v>0.11347586340330851</v>
      </c>
      <c r="L31" s="466">
        <f t="shared" si="1"/>
        <v>9.3254099663694648E-2</v>
      </c>
      <c r="M31" s="466">
        <f t="shared" si="2"/>
        <v>9.5660492216714495E-4</v>
      </c>
      <c r="N31" s="466">
        <f t="shared" si="3"/>
        <v>-3.3145146821059471E-2</v>
      </c>
      <c r="P31" s="104">
        <f>+E31</f>
        <v>11510</v>
      </c>
      <c r="Q31" s="524">
        <f>+F31</f>
        <v>174609.00200000001</v>
      </c>
      <c r="R31" s="104">
        <f>+I31</f>
        <v>11499</v>
      </c>
      <c r="S31" s="524">
        <f>+J31</f>
        <v>180594.84464074389</v>
      </c>
      <c r="T31" s="525">
        <f>+M31</f>
        <v>9.5660492216714495E-4</v>
      </c>
      <c r="U31" s="525">
        <f>+N31</f>
        <v>-3.3145146821059471E-2</v>
      </c>
    </row>
    <row r="32" spans="1:28" x14ac:dyDescent="0.2">
      <c r="A32" s="33"/>
      <c r="B32" s="260">
        <v>15514</v>
      </c>
      <c r="C32" s="440" t="s">
        <v>33</v>
      </c>
      <c r="D32" s="426" t="s">
        <v>34</v>
      </c>
      <c r="E32" s="463">
        <f>VLOOKUP(B32,'Resumen de Unidades'!$B$4:$Q$124,16,FALSE)</f>
        <v>0</v>
      </c>
      <c r="F32" s="250">
        <f>VLOOKUP(B32,USD!$B$4:$Q$124,16,FALSE)</f>
        <v>0</v>
      </c>
      <c r="G32" s="465">
        <f>IFERROR(VLOOKUP(B32,BDFD!$B:$CE,80,FALSE),0)</f>
        <v>0</v>
      </c>
      <c r="H32" s="422">
        <f>IFERROR(VLOOKUP(B32,BDFDUSD!$B:$AO,38,FALSE),0)</f>
        <v>0</v>
      </c>
      <c r="I32" s="463">
        <f>IFERROR(VLOOKUP(B32,BDPPTO!$B:$Q,16,FALSE),0)</f>
        <v>0</v>
      </c>
      <c r="J32" s="250">
        <f>IFERROR(VLOOKUP(B32,BDPPTOUSD!$B:$Q,16,FALSE),0)</f>
        <v>0</v>
      </c>
      <c r="K32" s="461">
        <f t="shared" si="0"/>
        <v>0</v>
      </c>
      <c r="L32" s="461">
        <f t="shared" si="1"/>
        <v>0</v>
      </c>
      <c r="M32" s="462">
        <f t="shared" si="2"/>
        <v>0</v>
      </c>
      <c r="N32" s="462">
        <f t="shared" si="3"/>
        <v>0</v>
      </c>
    </row>
    <row r="33" spans="1:28" x14ac:dyDescent="0.2">
      <c r="A33" s="33"/>
      <c r="B33" s="260">
        <v>15524</v>
      </c>
      <c r="C33" s="6"/>
      <c r="D33" s="426" t="s">
        <v>35</v>
      </c>
      <c r="E33" s="463">
        <f>VLOOKUP(B33,'Resumen de Unidades'!$B$4:$Q$124,16,FALSE)</f>
        <v>0</v>
      </c>
      <c r="F33" s="250">
        <f>VLOOKUP(B33,USD!$B$4:$Q$124,16,FALSE)</f>
        <v>0</v>
      </c>
      <c r="G33" s="465">
        <f>IFERROR(VLOOKUP(B33,BDFD!$B:$CE,80,FALSE),0)</f>
        <v>0</v>
      </c>
      <c r="H33" s="422">
        <f>IFERROR(VLOOKUP(B33,BDFDUSD!$B:$AO,38,FALSE),0)</f>
        <v>0</v>
      </c>
      <c r="I33" s="463">
        <f>IFERROR(VLOOKUP(B33,BDPPTO!$B:$Q,16,FALSE),0)</f>
        <v>0</v>
      </c>
      <c r="J33" s="250">
        <f>IFERROR(VLOOKUP(B33,BDPPTOUSD!$B:$Q,16,FALSE),0)</f>
        <v>0</v>
      </c>
      <c r="K33" s="461">
        <f t="shared" si="0"/>
        <v>0</v>
      </c>
      <c r="L33" s="461">
        <f t="shared" si="1"/>
        <v>0</v>
      </c>
      <c r="M33" s="462">
        <f t="shared" si="2"/>
        <v>0</v>
      </c>
      <c r="N33" s="462">
        <f t="shared" si="3"/>
        <v>0</v>
      </c>
    </row>
    <row r="34" spans="1:28" x14ac:dyDescent="0.2">
      <c r="A34" s="33"/>
      <c r="B34" s="260"/>
      <c r="C34" s="19" t="s">
        <v>686</v>
      </c>
      <c r="D34" s="427"/>
      <c r="E34" s="464">
        <f>SUM(E32:E33)</f>
        <v>0</v>
      </c>
      <c r="F34" s="460">
        <f t="shared" ref="F34:J34" si="12">SUM(F32:F33)</f>
        <v>0</v>
      </c>
      <c r="G34" s="464">
        <f t="shared" si="12"/>
        <v>0</v>
      </c>
      <c r="H34" s="460">
        <f t="shared" si="12"/>
        <v>0</v>
      </c>
      <c r="I34" s="464">
        <f t="shared" si="12"/>
        <v>0</v>
      </c>
      <c r="J34" s="460">
        <f t="shared" si="12"/>
        <v>0</v>
      </c>
      <c r="K34" s="466">
        <f t="shared" si="0"/>
        <v>0</v>
      </c>
      <c r="L34" s="466">
        <f t="shared" si="1"/>
        <v>0</v>
      </c>
      <c r="M34" s="466">
        <f t="shared" si="2"/>
        <v>0</v>
      </c>
      <c r="N34" s="466">
        <f t="shared" si="3"/>
        <v>0</v>
      </c>
      <c r="P34" s="104">
        <f>+E34</f>
        <v>0</v>
      </c>
      <c r="Q34" s="524">
        <f>+F34</f>
        <v>0</v>
      </c>
      <c r="R34" s="104">
        <f>+I34</f>
        <v>0</v>
      </c>
      <c r="S34" s="524">
        <f>+J34</f>
        <v>0</v>
      </c>
      <c r="T34" s="525">
        <f>+M34</f>
        <v>0</v>
      </c>
      <c r="U34" s="525">
        <f>+N34</f>
        <v>0</v>
      </c>
    </row>
    <row r="35" spans="1:28" x14ac:dyDescent="0.2">
      <c r="A35" s="33"/>
      <c r="B35" s="260">
        <v>13122</v>
      </c>
      <c r="C35" s="443" t="s">
        <v>36</v>
      </c>
      <c r="D35" s="426" t="s">
        <v>118</v>
      </c>
      <c r="E35" s="463">
        <f>VLOOKUP(B35,'Resumen de Unidades'!$B$4:$Q$124,16,FALSE)</f>
        <v>18835</v>
      </c>
      <c r="F35" s="250">
        <f>VLOOKUP(B35,USD!$B$4:$Q$124,16,FALSE)</f>
        <v>209494.171</v>
      </c>
      <c r="G35" s="465">
        <f>IFERROR(VLOOKUP(B35,BDFD!$B:$CE,80,FALSE),0)</f>
        <v>16477</v>
      </c>
      <c r="H35" s="422">
        <f>IFERROR(VLOOKUP(B35,BDFDUSD!$B:$AO,38,FALSE),0)</f>
        <v>290015.45</v>
      </c>
      <c r="I35" s="463">
        <f>IFERROR(VLOOKUP(B35,BDPPTO!$B:$Q,16,FALSE),0)</f>
        <v>13288</v>
      </c>
      <c r="J35" s="250">
        <f>IFERROR(VLOOKUP(B35,BDPPTOUSD!$B:$Q,16,FALSE),0)</f>
        <v>159516.553559322</v>
      </c>
      <c r="K35" s="461">
        <f t="shared" si="0"/>
        <v>0.14310857559021667</v>
      </c>
      <c r="L35" s="461">
        <f t="shared" si="1"/>
        <v>-0.27764479099303158</v>
      </c>
      <c r="M35" s="462">
        <f t="shared" si="2"/>
        <v>0.41744431065623117</v>
      </c>
      <c r="N35" s="462">
        <f t="shared" si="3"/>
        <v>0.31330677804602908</v>
      </c>
    </row>
    <row r="36" spans="1:28" x14ac:dyDescent="0.2">
      <c r="A36" s="33"/>
      <c r="B36" s="261">
        <v>13158</v>
      </c>
      <c r="C36" s="253"/>
      <c r="D36" s="426" t="s">
        <v>552</v>
      </c>
      <c r="E36" s="463">
        <f>VLOOKUP(B36,'Resumen de Unidades'!$B$4:$Q$124,16,FALSE)</f>
        <v>11559</v>
      </c>
      <c r="F36" s="250">
        <f>VLOOKUP(B36,USD!$B$4:$Q$124,16,FALSE)</f>
        <v>167456.38889999999</v>
      </c>
      <c r="G36" s="465">
        <f>IFERROR(VLOOKUP(B36,BDFD!$B:$CE,80,FALSE),0)</f>
        <v>3094</v>
      </c>
      <c r="H36" s="422">
        <f>IFERROR(VLOOKUP(B36,BDFDUSD!$B:$AO,38,FALSE),0)</f>
        <v>53137.97</v>
      </c>
      <c r="I36" s="463">
        <f>IFERROR(VLOOKUP(B36,BDPPTO!$B:$Q,16,FALSE),0)</f>
        <v>9582</v>
      </c>
      <c r="J36" s="250">
        <f>IFERROR(VLOOKUP(B36,BDPPTOUSD!$B:$Q,16,FALSE),0)</f>
        <v>143105.43428197294</v>
      </c>
      <c r="K36" s="461">
        <f t="shared" si="0"/>
        <v>2.7359405300581772</v>
      </c>
      <c r="L36" s="461">
        <f t="shared" si="1"/>
        <v>2.1513508871340021</v>
      </c>
      <c r="M36" s="462">
        <f t="shared" si="2"/>
        <v>0.20632435817157169</v>
      </c>
      <c r="N36" s="462">
        <f t="shared" si="3"/>
        <v>0.17016093581775713</v>
      </c>
    </row>
    <row r="37" spans="1:28" x14ac:dyDescent="0.2">
      <c r="A37" s="33"/>
      <c r="B37" s="261"/>
      <c r="C37" s="438" t="s">
        <v>687</v>
      </c>
      <c r="D37" s="428"/>
      <c r="E37" s="464">
        <f>SUM(E35:E36)</f>
        <v>30394</v>
      </c>
      <c r="F37" s="460">
        <f t="shared" ref="F37:J37" si="13">SUM(F35:F36)</f>
        <v>376950.55989999999</v>
      </c>
      <c r="G37" s="464">
        <f t="shared" si="13"/>
        <v>19571</v>
      </c>
      <c r="H37" s="460">
        <f t="shared" si="13"/>
        <v>343153.42000000004</v>
      </c>
      <c r="I37" s="464">
        <f t="shared" si="13"/>
        <v>22870</v>
      </c>
      <c r="J37" s="460">
        <f t="shared" si="13"/>
        <v>302621.98784129496</v>
      </c>
      <c r="K37" s="466">
        <f t="shared" si="0"/>
        <v>0.55301210975422821</v>
      </c>
      <c r="L37" s="466">
        <f t="shared" si="1"/>
        <v>9.8489882164076781E-2</v>
      </c>
      <c r="M37" s="466">
        <f t="shared" si="2"/>
        <v>0.32898994315697422</v>
      </c>
      <c r="N37" s="466">
        <f t="shared" si="3"/>
        <v>0.24561523962259282</v>
      </c>
      <c r="W37" s="104">
        <f>+E37</f>
        <v>30394</v>
      </c>
      <c r="X37" s="524">
        <f>+F37</f>
        <v>376950.55989999999</v>
      </c>
      <c r="Y37" s="104">
        <f>+I37</f>
        <v>22870</v>
      </c>
      <c r="Z37" s="524">
        <f>+J37</f>
        <v>302621.98784129496</v>
      </c>
      <c r="AA37" s="525">
        <f>+M37</f>
        <v>0.32898994315697422</v>
      </c>
      <c r="AB37" s="525">
        <f>+N37</f>
        <v>0.24561523962259282</v>
      </c>
    </row>
    <row r="38" spans="1:28" x14ac:dyDescent="0.2">
      <c r="A38" s="33"/>
      <c r="B38" s="260">
        <v>13110</v>
      </c>
      <c r="C38" s="446" t="s">
        <v>38</v>
      </c>
      <c r="D38" s="42" t="s">
        <v>39</v>
      </c>
      <c r="E38" s="463">
        <f>VLOOKUP(B38,'Resumen de Unidades'!$B$4:$Q$124,16,FALSE)</f>
        <v>104865</v>
      </c>
      <c r="F38" s="250">
        <f>VLOOKUP(B38,USD!$B$4:$Q$124,16,FALSE)</f>
        <v>367939.82550000004</v>
      </c>
      <c r="G38" s="465">
        <f>IFERROR(VLOOKUP(B38,BDFD!$B:$CE,80,FALSE),0)</f>
        <v>88510</v>
      </c>
      <c r="H38" s="422">
        <f>IFERROR(VLOOKUP(B38,BDFDUSD!$B:$AO,38,FALSE),0)</f>
        <v>302093.21000000002</v>
      </c>
      <c r="I38" s="463">
        <f>IFERROR(VLOOKUP(B38,BDPPTO!$B:$Q,16,FALSE),0)</f>
        <v>104450</v>
      </c>
      <c r="J38" s="250">
        <f>IFERROR(VLOOKUP(B38,BDPPTOUSD!$B:$Q,16,FALSE),0)</f>
        <v>371999.30938408891</v>
      </c>
      <c r="K38" s="461">
        <f t="shared" si="0"/>
        <v>0.1847813806349565</v>
      </c>
      <c r="L38" s="461">
        <f t="shared" si="1"/>
        <v>0.21796787653717875</v>
      </c>
      <c r="M38" s="462">
        <f t="shared" si="2"/>
        <v>3.973192915270464E-3</v>
      </c>
      <c r="N38" s="462">
        <f t="shared" si="3"/>
        <v>-1.0912611345462087E-2</v>
      </c>
    </row>
    <row r="39" spans="1:28" x14ac:dyDescent="0.2">
      <c r="A39" s="33"/>
      <c r="B39" s="260"/>
      <c r="C39" s="19" t="s">
        <v>489</v>
      </c>
      <c r="D39" s="425"/>
      <c r="E39" s="464">
        <f>SUM(E38)</f>
        <v>104865</v>
      </c>
      <c r="F39" s="460">
        <f t="shared" ref="F39:J39" si="14">SUM(F38)</f>
        <v>367939.82550000004</v>
      </c>
      <c r="G39" s="464">
        <f t="shared" si="14"/>
        <v>88510</v>
      </c>
      <c r="H39" s="460">
        <f t="shared" si="14"/>
        <v>302093.21000000002</v>
      </c>
      <c r="I39" s="464">
        <f t="shared" si="14"/>
        <v>104450</v>
      </c>
      <c r="J39" s="460">
        <f t="shared" si="14"/>
        <v>371999.30938408891</v>
      </c>
      <c r="K39" s="466">
        <f t="shared" si="0"/>
        <v>0.1847813806349565</v>
      </c>
      <c r="L39" s="466">
        <f t="shared" si="1"/>
        <v>0.21796787653717875</v>
      </c>
      <c r="M39" s="466">
        <f t="shared" si="2"/>
        <v>3.973192915270464E-3</v>
      </c>
      <c r="N39" s="466">
        <f t="shared" si="3"/>
        <v>-1.0912611345462087E-2</v>
      </c>
      <c r="W39" s="104">
        <f>+E39</f>
        <v>104865</v>
      </c>
      <c r="X39" s="524">
        <f>+F39</f>
        <v>367939.82550000004</v>
      </c>
      <c r="Y39" s="104">
        <f>+I39</f>
        <v>104450</v>
      </c>
      <c r="Z39" s="524">
        <f>+J39</f>
        <v>371999.30938408891</v>
      </c>
      <c r="AA39" s="525">
        <f>+M39</f>
        <v>3.973192915270464E-3</v>
      </c>
      <c r="AB39" s="525">
        <f>+N39</f>
        <v>-1.0912611345462087E-2</v>
      </c>
    </row>
    <row r="40" spans="1:28" x14ac:dyDescent="0.2">
      <c r="A40" s="33"/>
      <c r="B40" s="260">
        <v>13074</v>
      </c>
      <c r="C40" s="441" t="s">
        <v>40</v>
      </c>
      <c r="D40" s="42" t="s">
        <v>41</v>
      </c>
      <c r="E40" s="463">
        <f>VLOOKUP(B40,'Resumen de Unidades'!$B$4:$Q$124,16,FALSE)</f>
        <v>85945</v>
      </c>
      <c r="F40" s="250">
        <f>VLOOKUP(B40,USD!$B$4:$Q$124,16,FALSE)</f>
        <v>503173.59699999989</v>
      </c>
      <c r="G40" s="465">
        <f>IFERROR(VLOOKUP(B40,BDFD!$B:$CE,80,FALSE),0)</f>
        <v>73318</v>
      </c>
      <c r="H40" s="422">
        <f>IFERROR(VLOOKUP(B40,BDFDUSD!$B:$AO,38,FALSE),0)</f>
        <v>416500.91</v>
      </c>
      <c r="I40" s="463">
        <f>IFERROR(VLOOKUP(B40,BDPPTO!$B:$Q,16,FALSE),0)</f>
        <v>83481</v>
      </c>
      <c r="J40" s="250">
        <f>IFERROR(VLOOKUP(B40,BDPPTOUSD!$B:$Q,16,FALSE),0)</f>
        <v>486848.6588397802</v>
      </c>
      <c r="K40" s="461">
        <f t="shared" si="0"/>
        <v>0.1722223737690608</v>
      </c>
      <c r="L40" s="461">
        <f t="shared" si="1"/>
        <v>0.20809723320892606</v>
      </c>
      <c r="M40" s="462">
        <f t="shared" si="2"/>
        <v>2.9515698182820044E-2</v>
      </c>
      <c r="N40" s="462">
        <f t="shared" si="3"/>
        <v>3.3531854024460121E-2</v>
      </c>
    </row>
    <row r="41" spans="1:28" x14ac:dyDescent="0.2">
      <c r="A41" s="33"/>
      <c r="B41" s="260">
        <v>13072</v>
      </c>
      <c r="C41" s="10"/>
      <c r="D41" s="42" t="s">
        <v>42</v>
      </c>
      <c r="E41" s="463">
        <f>VLOOKUP(B41,'Resumen de Unidades'!$B$4:$Q$124,16,FALSE)</f>
        <v>21609</v>
      </c>
      <c r="F41" s="250">
        <f>VLOOKUP(B41,USD!$B$4:$Q$124,16,FALSE)</f>
        <v>122324.22719999999</v>
      </c>
      <c r="G41" s="465">
        <f>IFERROR(VLOOKUP(B41,BDFD!$B:$CE,80,FALSE),0)</f>
        <v>29692</v>
      </c>
      <c r="H41" s="422">
        <f>IFERROR(VLOOKUP(B41,BDFDUSD!$B:$AO,38,FALSE),0)</f>
        <v>164317.78</v>
      </c>
      <c r="I41" s="463">
        <f>IFERROR(VLOOKUP(B41,BDPPTO!$B:$Q,16,FALSE),0)</f>
        <v>22321</v>
      </c>
      <c r="J41" s="250">
        <f>IFERROR(VLOOKUP(B41,BDPPTOUSD!$B:$Q,16,FALSE),0)</f>
        <v>128171.98325146754</v>
      </c>
      <c r="K41" s="461">
        <f t="shared" si="0"/>
        <v>-0.27222820961875255</v>
      </c>
      <c r="L41" s="461">
        <f t="shared" si="1"/>
        <v>-0.25556304862443985</v>
      </c>
      <c r="M41" s="462">
        <f t="shared" si="2"/>
        <v>-3.1898212445678954E-2</v>
      </c>
      <c r="N41" s="462">
        <f t="shared" si="3"/>
        <v>-4.5624292478914946E-2</v>
      </c>
    </row>
    <row r="42" spans="1:28" x14ac:dyDescent="0.2">
      <c r="A42" s="33"/>
      <c r="B42" s="260">
        <v>13071</v>
      </c>
      <c r="C42" s="10"/>
      <c r="D42" s="42" t="s">
        <v>43</v>
      </c>
      <c r="E42" s="463">
        <f>VLOOKUP(B42,'Resumen de Unidades'!$B$4:$Q$124,16,FALSE)</f>
        <v>51344</v>
      </c>
      <c r="F42" s="250">
        <f>VLOOKUP(B42,USD!$B$4:$Q$124,16,FALSE)</f>
        <v>141930.21920000002</v>
      </c>
      <c r="G42" s="465">
        <f>IFERROR(VLOOKUP(B42,BDFD!$B:$CE,80,FALSE),0)</f>
        <v>39781</v>
      </c>
      <c r="H42" s="422">
        <f>IFERROR(VLOOKUP(B42,BDFDUSD!$B:$AO,38,FALSE),0)</f>
        <v>108003.06000000001</v>
      </c>
      <c r="I42" s="463">
        <f>IFERROR(VLOOKUP(B42,BDPPTO!$B:$Q,16,FALSE),0)</f>
        <v>46055</v>
      </c>
      <c r="J42" s="250">
        <f>IFERROR(VLOOKUP(B42,BDPPTOUSD!$B:$Q,16,FALSE),0)</f>
        <v>126954.55023889324</v>
      </c>
      <c r="K42" s="461">
        <f t="shared" si="0"/>
        <v>0.29066639853196252</v>
      </c>
      <c r="L42" s="461">
        <f t="shared" si="1"/>
        <v>0.31413146257152347</v>
      </c>
      <c r="M42" s="462">
        <f t="shared" si="2"/>
        <v>0.11484095103680382</v>
      </c>
      <c r="N42" s="462">
        <f t="shared" si="3"/>
        <v>0.1179608681447552</v>
      </c>
    </row>
    <row r="43" spans="1:28" x14ac:dyDescent="0.2">
      <c r="A43" s="33"/>
      <c r="B43" s="260"/>
      <c r="C43" s="257" t="s">
        <v>463</v>
      </c>
      <c r="D43" s="425"/>
      <c r="E43" s="464">
        <f>SUM(E40:E42)</f>
        <v>158898</v>
      </c>
      <c r="F43" s="460">
        <f t="shared" ref="F43:J43" si="15">SUM(F40:F42)</f>
        <v>767428.04339999997</v>
      </c>
      <c r="G43" s="464">
        <f t="shared" si="15"/>
        <v>142791</v>
      </c>
      <c r="H43" s="460">
        <f t="shared" si="15"/>
        <v>688821.75</v>
      </c>
      <c r="I43" s="464">
        <f t="shared" si="15"/>
        <v>151857</v>
      </c>
      <c r="J43" s="460">
        <f t="shared" si="15"/>
        <v>741975.19233014097</v>
      </c>
      <c r="K43" s="466">
        <f t="shared" si="0"/>
        <v>0.11280122696808623</v>
      </c>
      <c r="L43" s="466">
        <f t="shared" si="1"/>
        <v>0.11411703158327965</v>
      </c>
      <c r="M43" s="466">
        <f t="shared" si="2"/>
        <v>4.6365989055492995E-2</v>
      </c>
      <c r="N43" s="466">
        <f t="shared" si="3"/>
        <v>3.4304180696291771E-2</v>
      </c>
      <c r="P43" s="104">
        <f>+E43</f>
        <v>158898</v>
      </c>
      <c r="Q43" s="524">
        <f>+F43</f>
        <v>767428.04339999997</v>
      </c>
      <c r="R43" s="104">
        <f>+I43</f>
        <v>151857</v>
      </c>
      <c r="S43" s="524">
        <f>+J43</f>
        <v>741975.19233014097</v>
      </c>
      <c r="T43" s="525">
        <f>+M43</f>
        <v>4.6365989055492995E-2</v>
      </c>
      <c r="U43" s="525">
        <f>+N43</f>
        <v>3.4304180696291771E-2</v>
      </c>
    </row>
    <row r="44" spans="1:28" x14ac:dyDescent="0.2">
      <c r="A44" s="33"/>
      <c r="B44" s="260">
        <v>13082</v>
      </c>
      <c r="C44" s="443" t="s">
        <v>44</v>
      </c>
      <c r="D44" s="42" t="s">
        <v>119</v>
      </c>
      <c r="E44" s="463">
        <f>VLOOKUP(B44,'Resumen de Unidades'!$B$4:$Q$124,16,FALSE)</f>
        <v>3000</v>
      </c>
      <c r="F44" s="250">
        <f>VLOOKUP(B44,USD!$B$4:$Q$124,16,FALSE)</f>
        <v>70375.500000000015</v>
      </c>
      <c r="G44" s="465">
        <f>IFERROR(VLOOKUP(B44,BDFD!$B:$CE,80,FALSE),0)</f>
        <v>1531</v>
      </c>
      <c r="H44" s="422">
        <f>IFERROR(VLOOKUP(B44,BDFDUSD!$B:$AO,38,FALSE),0)</f>
        <v>43111.610000000008</v>
      </c>
      <c r="I44" s="463">
        <f>IFERROR(VLOOKUP(B44,BDPPTO!$B:$Q,16,FALSE),0)</f>
        <v>532</v>
      </c>
      <c r="J44" s="250">
        <f>IFERROR(VLOOKUP(B44,BDPPTOUSD!$B:$Q,16,FALSE),0)</f>
        <v>8146.9419999999991</v>
      </c>
      <c r="K44" s="461">
        <f t="shared" si="0"/>
        <v>0.95950359242325278</v>
      </c>
      <c r="L44" s="461">
        <f t="shared" si="1"/>
        <v>0.63240250132156983</v>
      </c>
      <c r="M44" s="462">
        <f t="shared" si="2"/>
        <v>4.6390977443609023</v>
      </c>
      <c r="N44" s="462">
        <f t="shared" si="3"/>
        <v>7.6382718816459017</v>
      </c>
    </row>
    <row r="45" spans="1:28" x14ac:dyDescent="0.2">
      <c r="A45" s="33"/>
      <c r="B45" s="260"/>
      <c r="C45" s="438" t="s">
        <v>467</v>
      </c>
      <c r="D45" s="425"/>
      <c r="E45" s="464">
        <f>SUM(E44)</f>
        <v>3000</v>
      </c>
      <c r="F45" s="460">
        <f t="shared" ref="F45:J45" si="16">SUM(F44)</f>
        <v>70375.500000000015</v>
      </c>
      <c r="G45" s="464">
        <f t="shared" si="16"/>
        <v>1531</v>
      </c>
      <c r="H45" s="460">
        <f t="shared" si="16"/>
        <v>43111.610000000008</v>
      </c>
      <c r="I45" s="464">
        <f t="shared" si="16"/>
        <v>532</v>
      </c>
      <c r="J45" s="460">
        <f t="shared" si="16"/>
        <v>8146.9419999999991</v>
      </c>
      <c r="K45" s="466">
        <f t="shared" si="0"/>
        <v>0.95950359242325278</v>
      </c>
      <c r="L45" s="466">
        <f t="shared" si="1"/>
        <v>0.63240250132156983</v>
      </c>
      <c r="M45" s="466">
        <f t="shared" si="2"/>
        <v>4.6390977443609023</v>
      </c>
      <c r="N45" s="466">
        <f t="shared" si="3"/>
        <v>7.6382718816459017</v>
      </c>
      <c r="P45" s="104">
        <f>+E45</f>
        <v>3000</v>
      </c>
      <c r="Q45" s="524">
        <f>+F45</f>
        <v>70375.500000000015</v>
      </c>
      <c r="R45" s="104">
        <f>+I45</f>
        <v>532</v>
      </c>
      <c r="S45" s="524">
        <f>+J45</f>
        <v>8146.9419999999991</v>
      </c>
      <c r="T45" s="525">
        <f>+M45</f>
        <v>4.6390977443609023</v>
      </c>
      <c r="U45" s="525">
        <f>+N45</f>
        <v>7.6382718816459017</v>
      </c>
    </row>
    <row r="46" spans="1:28" x14ac:dyDescent="0.2">
      <c r="A46" s="33"/>
      <c r="B46" s="31">
        <v>13040</v>
      </c>
      <c r="C46" s="447" t="s">
        <v>47</v>
      </c>
      <c r="D46" s="41" t="s">
        <v>48</v>
      </c>
      <c r="E46" s="463">
        <f>VLOOKUP(B46,'Resumen de Unidades'!$B$4:$Q$124,16,FALSE)</f>
        <v>0</v>
      </c>
      <c r="F46" s="250">
        <f>VLOOKUP(B46,USD!$B$4:$Q$124,16,FALSE)</f>
        <v>0</v>
      </c>
      <c r="G46" s="465">
        <f>IFERROR(VLOOKUP(B46,BDFD!$B:$CE,80,FALSE),0)</f>
        <v>-730</v>
      </c>
      <c r="H46" s="422">
        <f>IFERROR(VLOOKUP(B46,BDFDUSD!$B:$AO,38,FALSE),0)</f>
        <v>-6003.76</v>
      </c>
      <c r="I46" s="463">
        <f>IFERROR(VLOOKUP(B46,BDPPTO!$B:$Q,16,FALSE),0)</f>
        <v>-1313</v>
      </c>
      <c r="J46" s="250">
        <f>IFERROR(VLOOKUP(B46,BDPPTOUSD!$B:$Q,16,FALSE),0)</f>
        <v>-9803.0700000000015</v>
      </c>
      <c r="K46" s="466">
        <f t="shared" si="0"/>
        <v>1</v>
      </c>
      <c r="L46" s="466">
        <f t="shared" si="1"/>
        <v>1</v>
      </c>
      <c r="M46" s="466">
        <f t="shared" si="2"/>
        <v>1</v>
      </c>
      <c r="N46" s="466">
        <f t="shared" si="3"/>
        <v>1</v>
      </c>
    </row>
    <row r="47" spans="1:28" x14ac:dyDescent="0.2">
      <c r="A47" s="33"/>
      <c r="B47" s="31">
        <v>13066</v>
      </c>
      <c r="C47" s="20"/>
      <c r="D47" s="41" t="s">
        <v>148</v>
      </c>
      <c r="E47" s="463">
        <f>VLOOKUP(B47,'Resumen de Unidades'!$B$4:$Q$124,16,FALSE)</f>
        <v>43319</v>
      </c>
      <c r="F47" s="250">
        <f>VLOOKUP(B47,USD!$B$4:$Q$124,16,FALSE)</f>
        <v>289323.26909999998</v>
      </c>
      <c r="G47" s="465">
        <f>IFERROR(VLOOKUP(B47,BDFD!$B:$CE,80,FALSE),0)</f>
        <v>29775</v>
      </c>
      <c r="H47" s="422">
        <f>IFERROR(VLOOKUP(B47,BDFDUSD!$B:$AO,38,FALSE),0)</f>
        <v>197850.66</v>
      </c>
      <c r="I47" s="463">
        <f>IFERROR(VLOOKUP(B47,BDPPTO!$B:$Q,16,FALSE),0)</f>
        <v>41415</v>
      </c>
      <c r="J47" s="250">
        <f>IFERROR(VLOOKUP(B47,BDPPTOUSD!$B:$Q,16,FALSE),0)</f>
        <v>276637.49506857037</v>
      </c>
      <c r="K47" s="461">
        <f t="shared" si="0"/>
        <v>0.45487825356842987</v>
      </c>
      <c r="L47" s="461">
        <f t="shared" si="1"/>
        <v>0.46233158433739857</v>
      </c>
      <c r="M47" s="462">
        <f t="shared" si="2"/>
        <v>4.5973681033441988E-2</v>
      </c>
      <c r="N47" s="462">
        <f t="shared" si="3"/>
        <v>4.5857030437197882E-2</v>
      </c>
    </row>
    <row r="48" spans="1:28" x14ac:dyDescent="0.2">
      <c r="A48" s="33"/>
      <c r="B48" s="31"/>
      <c r="C48" s="9" t="s">
        <v>472</v>
      </c>
      <c r="D48" s="424"/>
      <c r="E48" s="464">
        <f>SUM(E46:E47)</f>
        <v>43319</v>
      </c>
      <c r="F48" s="460">
        <f t="shared" ref="F48:J48" si="17">SUM(F46:F47)</f>
        <v>289323.26909999998</v>
      </c>
      <c r="G48" s="464">
        <f t="shared" si="17"/>
        <v>29045</v>
      </c>
      <c r="H48" s="460">
        <f t="shared" si="17"/>
        <v>191846.9</v>
      </c>
      <c r="I48" s="464">
        <f t="shared" si="17"/>
        <v>40102</v>
      </c>
      <c r="J48" s="460">
        <f t="shared" si="17"/>
        <v>266834.42506857036</v>
      </c>
      <c r="K48" s="466">
        <f t="shared" si="0"/>
        <v>0.4914443105525908</v>
      </c>
      <c r="L48" s="466">
        <f t="shared" si="1"/>
        <v>0.50809457489279208</v>
      </c>
      <c r="M48" s="466">
        <f t="shared" si="2"/>
        <v>8.0220437883397333E-2</v>
      </c>
      <c r="N48" s="466">
        <f t="shared" si="3"/>
        <v>8.4280144983731001E-2</v>
      </c>
      <c r="P48" s="104">
        <f>+E48</f>
        <v>43319</v>
      </c>
      <c r="Q48" s="524">
        <f>+F48</f>
        <v>289323.26909999998</v>
      </c>
      <c r="R48" s="104">
        <f>+I48</f>
        <v>40102</v>
      </c>
      <c r="S48" s="524">
        <f>+J48</f>
        <v>266834.42506857036</v>
      </c>
      <c r="T48" s="525">
        <f>+M48</f>
        <v>8.0220437883397333E-2</v>
      </c>
      <c r="U48" s="525">
        <f>+N48</f>
        <v>8.4280144983731001E-2</v>
      </c>
    </row>
    <row r="49" spans="1:28" x14ac:dyDescent="0.2">
      <c r="A49" s="33"/>
      <c r="B49" s="260">
        <v>13140</v>
      </c>
      <c r="C49" s="442" t="s">
        <v>54</v>
      </c>
      <c r="D49" s="42" t="s">
        <v>120</v>
      </c>
      <c r="E49" s="463">
        <f>VLOOKUP(B49,'Resumen de Unidades'!$B$4:$Q$124,16,FALSE)</f>
        <v>0</v>
      </c>
      <c r="F49" s="250">
        <f>VLOOKUP(B49,USD!$B$4:$Q$124,16,FALSE)</f>
        <v>0</v>
      </c>
      <c r="G49" s="465">
        <f>IFERROR(VLOOKUP(B49,BDFD!$B:$CE,80,FALSE),0)</f>
        <v>1874</v>
      </c>
      <c r="H49" s="422">
        <f>IFERROR(VLOOKUP(B49,BDFDUSD!$B:$AO,38,FALSE),0)</f>
        <v>18250.38</v>
      </c>
      <c r="I49" s="463">
        <f>IFERROR(VLOOKUP(B49,BDPPTO!$B:$Q,16,FALSE),0)</f>
        <v>811</v>
      </c>
      <c r="J49" s="250">
        <f>IFERROR(VLOOKUP(B49,BDPPTOUSD!$B:$Q,16,FALSE),0)</f>
        <v>-815.51000000000022</v>
      </c>
      <c r="K49" s="461">
        <f t="shared" si="0"/>
        <v>-1</v>
      </c>
      <c r="L49" s="461">
        <f t="shared" si="1"/>
        <v>-1</v>
      </c>
      <c r="M49" s="462">
        <f t="shared" si="2"/>
        <v>-1</v>
      </c>
      <c r="N49" s="462">
        <f t="shared" si="3"/>
        <v>1</v>
      </c>
    </row>
    <row r="50" spans="1:28" x14ac:dyDescent="0.2">
      <c r="A50" s="33"/>
      <c r="B50" s="260"/>
      <c r="C50" s="19" t="s">
        <v>460</v>
      </c>
      <c r="D50" s="425"/>
      <c r="E50" s="464">
        <f>SUM(E49)</f>
        <v>0</v>
      </c>
      <c r="F50" s="460">
        <f t="shared" ref="F50:J50" si="18">SUM(F49)</f>
        <v>0</v>
      </c>
      <c r="G50" s="464">
        <f t="shared" si="18"/>
        <v>1874</v>
      </c>
      <c r="H50" s="460">
        <f t="shared" si="18"/>
        <v>18250.38</v>
      </c>
      <c r="I50" s="464">
        <f t="shared" si="18"/>
        <v>811</v>
      </c>
      <c r="J50" s="460">
        <f t="shared" si="18"/>
        <v>-815.51000000000022</v>
      </c>
      <c r="K50" s="466">
        <f t="shared" si="0"/>
        <v>-1</v>
      </c>
      <c r="L50" s="466">
        <f t="shared" si="1"/>
        <v>-1</v>
      </c>
      <c r="M50" s="466">
        <f t="shared" si="2"/>
        <v>-1</v>
      </c>
      <c r="N50" s="466">
        <f t="shared" si="3"/>
        <v>1</v>
      </c>
      <c r="P50" s="104">
        <f>+E50</f>
        <v>0</v>
      </c>
      <c r="Q50" s="524">
        <f>+F50</f>
        <v>0</v>
      </c>
      <c r="R50" s="104">
        <f>+I50</f>
        <v>811</v>
      </c>
      <c r="S50" s="524">
        <f>+J50</f>
        <v>-815.51000000000022</v>
      </c>
      <c r="T50" s="525">
        <f>+M50</f>
        <v>-1</v>
      </c>
      <c r="U50" s="525">
        <f>+N50</f>
        <v>1</v>
      </c>
    </row>
    <row r="51" spans="1:28" x14ac:dyDescent="0.2">
      <c r="A51" s="33"/>
      <c r="B51" s="260">
        <v>13112</v>
      </c>
      <c r="C51" s="446" t="s">
        <v>56</v>
      </c>
      <c r="D51" s="42" t="s">
        <v>57</v>
      </c>
      <c r="E51" s="463">
        <f>VLOOKUP(B51,'Resumen de Unidades'!$B$4:$Q$124,16,FALSE)</f>
        <v>26275</v>
      </c>
      <c r="F51" s="250">
        <f>VLOOKUP(B51,USD!$B$4:$Q$124,16,FALSE)</f>
        <v>292382.41950000002</v>
      </c>
      <c r="G51" s="465">
        <f>IFERROR(VLOOKUP(B51,BDFD!$B:$CE,80,FALSE),0)</f>
        <v>25485</v>
      </c>
      <c r="H51" s="422">
        <f>IFERROR(VLOOKUP(B51,BDFDUSD!$B:$AO,38,FALSE),0)</f>
        <v>322766.94000000006</v>
      </c>
      <c r="I51" s="463">
        <f>IFERROR(VLOOKUP(B51,BDPPTO!$B:$Q,16,FALSE),0)</f>
        <v>34834</v>
      </c>
      <c r="J51" s="250">
        <f>IFERROR(VLOOKUP(B51,BDPPTOUSD!$B:$Q,16,FALSE),0)</f>
        <v>435067.67930362944</v>
      </c>
      <c r="K51" s="461">
        <f t="shared" si="0"/>
        <v>3.0998626643123407E-2</v>
      </c>
      <c r="L51" s="461">
        <f t="shared" si="1"/>
        <v>-9.41376477405029E-2</v>
      </c>
      <c r="M51" s="462">
        <f t="shared" si="2"/>
        <v>-0.24570821611069646</v>
      </c>
      <c r="N51" s="462">
        <f t="shared" si="3"/>
        <v>-0.3279610658093744</v>
      </c>
    </row>
    <row r="52" spans="1:28" x14ac:dyDescent="0.2">
      <c r="A52" s="33"/>
      <c r="B52" s="260">
        <v>44444</v>
      </c>
      <c r="C52" s="6"/>
      <c r="D52" s="42" t="s">
        <v>585</v>
      </c>
      <c r="E52" s="463">
        <f>VLOOKUP(B52,'Resumen de Unidades'!$B$4:$Q$124,16,FALSE)</f>
        <v>7800</v>
      </c>
      <c r="F52" s="250">
        <f>VLOOKUP(B52,USD!$B$4:$Q$124,16,FALSE)</f>
        <v>91260</v>
      </c>
      <c r="G52" s="465">
        <f>IFERROR(VLOOKUP(B52,BDFD!$B:$CE,80,FALSE),0)</f>
        <v>0</v>
      </c>
      <c r="H52" s="422">
        <f>IFERROR(VLOOKUP(B52,BDFDUSD!$B:$AO,38,FALSE),0)</f>
        <v>0</v>
      </c>
      <c r="I52" s="463">
        <f>IFERROR(VLOOKUP(B52,BDPPTO!$B:$Q,16,FALSE),0)</f>
        <v>0</v>
      </c>
      <c r="J52" s="250">
        <f>IFERROR(VLOOKUP(B52,BDPPTOUSD!$B:$Q,16,FALSE),0)</f>
        <v>0</v>
      </c>
      <c r="K52" s="461">
        <f t="shared" si="0"/>
        <v>0</v>
      </c>
      <c r="L52" s="461">
        <f t="shared" si="1"/>
        <v>0</v>
      </c>
      <c r="M52" s="462">
        <f t="shared" si="2"/>
        <v>0</v>
      </c>
      <c r="N52" s="462">
        <f t="shared" si="3"/>
        <v>0</v>
      </c>
    </row>
    <row r="53" spans="1:28" x14ac:dyDescent="0.2">
      <c r="A53" s="33"/>
      <c r="B53" s="260"/>
      <c r="C53" s="19" t="s">
        <v>688</v>
      </c>
      <c r="D53" s="425"/>
      <c r="E53" s="464">
        <f>SUM(E51:E52)</f>
        <v>34075</v>
      </c>
      <c r="F53" s="460">
        <f t="shared" ref="F53:J53" si="19">SUM(F51:F52)</f>
        <v>383642.41950000002</v>
      </c>
      <c r="G53" s="464">
        <f t="shared" si="19"/>
        <v>25485</v>
      </c>
      <c r="H53" s="460">
        <f t="shared" si="19"/>
        <v>322766.94000000006</v>
      </c>
      <c r="I53" s="464">
        <f t="shared" si="19"/>
        <v>34834</v>
      </c>
      <c r="J53" s="460">
        <f t="shared" si="19"/>
        <v>435067.67930362944</v>
      </c>
      <c r="K53" s="466">
        <f t="shared" si="0"/>
        <v>0.33706101628408869</v>
      </c>
      <c r="L53" s="466">
        <f t="shared" si="1"/>
        <v>0.18860506438484667</v>
      </c>
      <c r="M53" s="466">
        <f t="shared" si="2"/>
        <v>-2.178905666877189E-2</v>
      </c>
      <c r="N53" s="466">
        <f t="shared" si="3"/>
        <v>-0.11820059786086808</v>
      </c>
      <c r="W53" s="104">
        <f>+E53</f>
        <v>34075</v>
      </c>
      <c r="X53" s="524">
        <f>+F53</f>
        <v>383642.41950000002</v>
      </c>
      <c r="Y53" s="104">
        <f>+I53</f>
        <v>34834</v>
      </c>
      <c r="Z53" s="524">
        <f>+J53</f>
        <v>435067.67930362944</v>
      </c>
      <c r="AA53" s="525">
        <f>+M53</f>
        <v>-2.178905666877189E-2</v>
      </c>
      <c r="AB53" s="525">
        <f>+N53</f>
        <v>-0.11820059786086808</v>
      </c>
    </row>
    <row r="54" spans="1:28" x14ac:dyDescent="0.2">
      <c r="A54" s="33"/>
      <c r="B54" s="260">
        <v>13081</v>
      </c>
      <c r="C54" s="448" t="s">
        <v>58</v>
      </c>
      <c r="D54" s="42" t="s">
        <v>121</v>
      </c>
      <c r="E54" s="463">
        <f>VLOOKUP(B54,'Resumen de Unidades'!$B$4:$Q$124,16,FALSE)</f>
        <v>4336</v>
      </c>
      <c r="F54" s="250">
        <f>VLOOKUP(B54,USD!$B$4:$Q$124,16,FALSE)</f>
        <v>84409.77919999999</v>
      </c>
      <c r="G54" s="465">
        <f>IFERROR(VLOOKUP(B54,BDFD!$B:$CE,80,FALSE),0)</f>
        <v>2054</v>
      </c>
      <c r="H54" s="422">
        <f>IFERROR(VLOOKUP(B54,BDFDUSD!$B:$AO,38,FALSE),0)</f>
        <v>37971.560000000005</v>
      </c>
      <c r="I54" s="463">
        <f>IFERROR(VLOOKUP(B54,BDPPTO!$B:$Q,16,FALSE),0)</f>
        <v>3235</v>
      </c>
      <c r="J54" s="250">
        <f>IFERROR(VLOOKUP(B54,BDPPTOUSD!$B:$Q,16,FALSE),0)</f>
        <v>61993.850144300151</v>
      </c>
      <c r="K54" s="461">
        <f t="shared" si="0"/>
        <v>1.1110029211295034</v>
      </c>
      <c r="L54" s="461">
        <f t="shared" si="1"/>
        <v>1.2229736992633429</v>
      </c>
      <c r="M54" s="462">
        <f t="shared" si="2"/>
        <v>0.34034003091190107</v>
      </c>
      <c r="N54" s="462">
        <f t="shared" si="3"/>
        <v>0.36158310870390115</v>
      </c>
    </row>
    <row r="55" spans="1:28" x14ac:dyDescent="0.2">
      <c r="A55" s="33"/>
      <c r="B55" s="260"/>
      <c r="C55" s="439" t="s">
        <v>436</v>
      </c>
      <c r="D55" s="425"/>
      <c r="E55" s="464">
        <f>SUM(E54)</f>
        <v>4336</v>
      </c>
      <c r="F55" s="460">
        <f t="shared" ref="F55:J55" si="20">SUM(F54)</f>
        <v>84409.77919999999</v>
      </c>
      <c r="G55" s="464">
        <f t="shared" si="20"/>
        <v>2054</v>
      </c>
      <c r="H55" s="460">
        <f t="shared" si="20"/>
        <v>37971.560000000005</v>
      </c>
      <c r="I55" s="464">
        <f t="shared" si="20"/>
        <v>3235</v>
      </c>
      <c r="J55" s="460">
        <f t="shared" si="20"/>
        <v>61993.850144300151</v>
      </c>
      <c r="K55" s="466">
        <f t="shared" si="0"/>
        <v>1.1110029211295034</v>
      </c>
      <c r="L55" s="466">
        <f t="shared" si="1"/>
        <v>1.2229736992633429</v>
      </c>
      <c r="M55" s="466">
        <f t="shared" si="2"/>
        <v>0.34034003091190107</v>
      </c>
      <c r="N55" s="466">
        <f t="shared" si="3"/>
        <v>0.36158310870390115</v>
      </c>
      <c r="P55" s="104"/>
      <c r="Q55" s="524"/>
      <c r="R55" s="104"/>
      <c r="S55" s="524"/>
      <c r="T55" s="525"/>
      <c r="U55" s="525"/>
      <c r="W55" s="104">
        <f>+E55</f>
        <v>4336</v>
      </c>
      <c r="X55" s="524">
        <f>+F55</f>
        <v>84409.77919999999</v>
      </c>
      <c r="Y55" s="104">
        <f>+I55</f>
        <v>3235</v>
      </c>
      <c r="Z55" s="524">
        <f>+J55</f>
        <v>61993.850144300151</v>
      </c>
      <c r="AA55" s="525">
        <f>+M55</f>
        <v>0.34034003091190107</v>
      </c>
      <c r="AB55" s="525">
        <f>+N55</f>
        <v>0.36158310870390115</v>
      </c>
    </row>
    <row r="56" spans="1:28" x14ac:dyDescent="0.2">
      <c r="A56" s="33"/>
      <c r="B56" s="31">
        <v>13139</v>
      </c>
      <c r="C56" s="449" t="s">
        <v>60</v>
      </c>
      <c r="D56" s="41" t="s">
        <v>122</v>
      </c>
      <c r="E56" s="463">
        <f>VLOOKUP(B56,'Resumen de Unidades'!$B$4:$Q$124,16,FALSE)</f>
        <v>14582</v>
      </c>
      <c r="F56" s="250">
        <f>VLOOKUP(B56,USD!$B$4:$Q$124,16,FALSE)</f>
        <v>223369.99239999999</v>
      </c>
      <c r="G56" s="465">
        <f>IFERROR(VLOOKUP(B56,BDFD!$B:$CE,80,FALSE),0)</f>
        <v>17398</v>
      </c>
      <c r="H56" s="422">
        <f>IFERROR(VLOOKUP(B56,BDFDUSD!$B:$AO,38,FALSE),0)</f>
        <v>317941.55</v>
      </c>
      <c r="I56" s="463">
        <f>IFERROR(VLOOKUP(B56,BDPPTO!$B:$Q,16,FALSE),0)</f>
        <v>15775</v>
      </c>
      <c r="J56" s="250">
        <f>IFERROR(VLOOKUP(B56,BDPPTOUSD!$B:$Q,16,FALSE),0)</f>
        <v>248991.77695652167</v>
      </c>
      <c r="K56" s="461">
        <f t="shared" si="0"/>
        <v>-0.16185768479135532</v>
      </c>
      <c r="L56" s="461">
        <f t="shared" si="1"/>
        <v>-0.29744950793628577</v>
      </c>
      <c r="M56" s="462">
        <f t="shared" si="2"/>
        <v>-7.5625990491283671E-2</v>
      </c>
      <c r="N56" s="462">
        <f t="shared" si="3"/>
        <v>-0.10290213142659606</v>
      </c>
    </row>
    <row r="57" spans="1:28" x14ac:dyDescent="0.2">
      <c r="A57" s="33"/>
      <c r="B57" s="31"/>
      <c r="C57" s="439" t="s">
        <v>468</v>
      </c>
      <c r="D57" s="424"/>
      <c r="E57" s="464">
        <f>SUM(E56)</f>
        <v>14582</v>
      </c>
      <c r="F57" s="460">
        <f t="shared" ref="F57:J57" si="21">SUM(F56)</f>
        <v>223369.99239999999</v>
      </c>
      <c r="G57" s="464">
        <f t="shared" si="21"/>
        <v>17398</v>
      </c>
      <c r="H57" s="460">
        <f t="shared" si="21"/>
        <v>317941.55</v>
      </c>
      <c r="I57" s="464">
        <f t="shared" si="21"/>
        <v>15775</v>
      </c>
      <c r="J57" s="460">
        <f t="shared" si="21"/>
        <v>248991.77695652167</v>
      </c>
      <c r="K57" s="466">
        <f t="shared" si="0"/>
        <v>-0.16185768479135532</v>
      </c>
      <c r="L57" s="466">
        <f t="shared" si="1"/>
        <v>-0.29744950793628577</v>
      </c>
      <c r="M57" s="466">
        <f t="shared" si="2"/>
        <v>-7.5625990491283671E-2</v>
      </c>
      <c r="N57" s="466">
        <f t="shared" si="3"/>
        <v>-0.10290213142659606</v>
      </c>
      <c r="P57" s="104">
        <f>+E57</f>
        <v>14582</v>
      </c>
      <c r="Q57" s="524">
        <f>+F57</f>
        <v>223369.99239999999</v>
      </c>
      <c r="R57" s="104">
        <f>+I57</f>
        <v>15775</v>
      </c>
      <c r="S57" s="524">
        <f>+J57</f>
        <v>248991.77695652167</v>
      </c>
      <c r="T57" s="525">
        <f>+M57</f>
        <v>-7.5625990491283671E-2</v>
      </c>
      <c r="U57" s="525">
        <f>+N57</f>
        <v>-0.10290213142659606</v>
      </c>
    </row>
    <row r="58" spans="1:28" x14ac:dyDescent="0.2">
      <c r="A58" s="33"/>
      <c r="B58" s="260">
        <v>13051</v>
      </c>
      <c r="C58" s="440" t="s">
        <v>62</v>
      </c>
      <c r="D58" s="42" t="s">
        <v>63</v>
      </c>
      <c r="E58" s="463">
        <f>VLOOKUP(B58,'Resumen de Unidades'!$B$4:$Q$124,16,FALSE)</f>
        <v>20836</v>
      </c>
      <c r="F58" s="250">
        <f>VLOOKUP(B58,USD!$B$4:$Q$124,16,FALSE)</f>
        <v>181029.41879999998</v>
      </c>
      <c r="G58" s="465">
        <f>IFERROR(VLOOKUP(B58,BDFD!$B:$CE,80,FALSE),0)</f>
        <v>16510</v>
      </c>
      <c r="H58" s="422">
        <f>IFERROR(VLOOKUP(B58,BDFDUSD!$B:$AO,38,FALSE),0)</f>
        <v>150176.19</v>
      </c>
      <c r="I58" s="463">
        <f>IFERROR(VLOOKUP(B58,BDPPTO!$B:$Q,16,FALSE),0)</f>
        <v>19612</v>
      </c>
      <c r="J58" s="250">
        <f>IFERROR(VLOOKUP(B58,BDPPTOUSD!$B:$Q,16,FALSE),0)</f>
        <v>180146.2660953608</v>
      </c>
      <c r="K58" s="461">
        <f t="shared" si="0"/>
        <v>0.26202301635372499</v>
      </c>
      <c r="L58" s="461">
        <f t="shared" si="1"/>
        <v>0.20544687410168005</v>
      </c>
      <c r="M58" s="462">
        <f t="shared" si="2"/>
        <v>6.2410768916989601E-2</v>
      </c>
      <c r="N58" s="462">
        <f t="shared" si="3"/>
        <v>4.9024202598331231E-3</v>
      </c>
    </row>
    <row r="59" spans="1:28" x14ac:dyDescent="0.2">
      <c r="A59" s="33"/>
      <c r="B59" s="260"/>
      <c r="C59" s="19" t="s">
        <v>479</v>
      </c>
      <c r="D59" s="430"/>
      <c r="E59" s="467">
        <f>SUM(E58)</f>
        <v>20836</v>
      </c>
      <c r="F59" s="468">
        <f t="shared" ref="F59:J59" si="22">SUM(F58)</f>
        <v>181029.41879999998</v>
      </c>
      <c r="G59" s="467">
        <f t="shared" si="22"/>
        <v>16510</v>
      </c>
      <c r="H59" s="468">
        <f t="shared" si="22"/>
        <v>150176.19</v>
      </c>
      <c r="I59" s="467">
        <f t="shared" si="22"/>
        <v>19612</v>
      </c>
      <c r="J59" s="468">
        <f t="shared" si="22"/>
        <v>180146.2660953608</v>
      </c>
      <c r="K59" s="466">
        <f t="shared" si="0"/>
        <v>0.26202301635372499</v>
      </c>
      <c r="L59" s="466">
        <f t="shared" si="1"/>
        <v>0.20544687410168005</v>
      </c>
      <c r="M59" s="466">
        <f t="shared" si="2"/>
        <v>6.2410768916989601E-2</v>
      </c>
      <c r="N59" s="466">
        <f t="shared" si="3"/>
        <v>4.9024202598331231E-3</v>
      </c>
      <c r="P59" s="104"/>
      <c r="Q59" s="524"/>
      <c r="R59" s="104"/>
      <c r="S59" s="524"/>
      <c r="T59" s="525"/>
      <c r="U59" s="525"/>
      <c r="W59" s="104">
        <f>+E59</f>
        <v>20836</v>
      </c>
      <c r="X59" s="524">
        <f>+F59</f>
        <v>181029.41879999998</v>
      </c>
      <c r="Y59" s="104">
        <f>+I59</f>
        <v>19612</v>
      </c>
      <c r="Z59" s="524">
        <f>+J59</f>
        <v>180146.2660953608</v>
      </c>
      <c r="AA59" s="525">
        <f>+M59</f>
        <v>6.2410768916989601E-2</v>
      </c>
      <c r="AB59" s="525">
        <f>+N59</f>
        <v>4.9024202598331231E-3</v>
      </c>
    </row>
    <row r="60" spans="1:28" x14ac:dyDescent="0.2">
      <c r="A60" s="33"/>
      <c r="B60" s="260">
        <v>13069</v>
      </c>
      <c r="C60" s="440" t="s">
        <v>64</v>
      </c>
      <c r="D60" s="431" t="s">
        <v>65</v>
      </c>
      <c r="E60" s="463">
        <f>VLOOKUP(B60,'Resumen de Unidades'!$B$4:$Q$124,16,FALSE)</f>
        <v>13145</v>
      </c>
      <c r="F60" s="250">
        <f>VLOOKUP(B60,USD!$B$4:$Q$124,16,FALSE)</f>
        <v>324794.5469999999</v>
      </c>
      <c r="G60" s="465">
        <f>IFERROR(VLOOKUP(B60,BDFD!$B:$CE,80,FALSE),0)</f>
        <v>13034</v>
      </c>
      <c r="H60" s="422">
        <f>IFERROR(VLOOKUP(B60,BDFDUSD!$B:$AO,38,FALSE),0)</f>
        <v>319805.11</v>
      </c>
      <c r="I60" s="463">
        <f>IFERROR(VLOOKUP(B60,BDPPTO!$B:$Q,16,FALSE),0)</f>
        <v>10940</v>
      </c>
      <c r="J60" s="250">
        <f>IFERROR(VLOOKUP(B60,BDPPTOUSD!$B:$Q,16,FALSE),0)</f>
        <v>297401.17599999998</v>
      </c>
      <c r="K60" s="461">
        <f t="shared" si="0"/>
        <v>8.5161884302593222E-3</v>
      </c>
      <c r="L60" s="461">
        <f t="shared" si="1"/>
        <v>1.5601492421431034E-2</v>
      </c>
      <c r="M60" s="462">
        <f t="shared" si="2"/>
        <v>0.20155393053016454</v>
      </c>
      <c r="N60" s="462">
        <f t="shared" si="3"/>
        <v>9.2109154941606305E-2</v>
      </c>
    </row>
    <row r="61" spans="1:28" x14ac:dyDescent="0.2">
      <c r="A61" s="33"/>
      <c r="B61" s="260"/>
      <c r="C61" s="19" t="s">
        <v>689</v>
      </c>
      <c r="D61" s="430"/>
      <c r="E61" s="464">
        <f>SUM(E60)</f>
        <v>13145</v>
      </c>
      <c r="F61" s="460">
        <f t="shared" ref="F61:J61" si="23">SUM(F60)</f>
        <v>324794.5469999999</v>
      </c>
      <c r="G61" s="464">
        <f t="shared" si="23"/>
        <v>13034</v>
      </c>
      <c r="H61" s="460">
        <f t="shared" si="23"/>
        <v>319805.11</v>
      </c>
      <c r="I61" s="464">
        <f t="shared" si="23"/>
        <v>10940</v>
      </c>
      <c r="J61" s="460">
        <f t="shared" si="23"/>
        <v>297401.17599999998</v>
      </c>
      <c r="K61" s="466">
        <f t="shared" si="0"/>
        <v>8.5161884302593222E-3</v>
      </c>
      <c r="L61" s="466">
        <f t="shared" si="1"/>
        <v>1.5601492421431034E-2</v>
      </c>
      <c r="M61" s="466">
        <f t="shared" si="2"/>
        <v>0.20155393053016454</v>
      </c>
      <c r="N61" s="466">
        <f t="shared" si="3"/>
        <v>9.2109154941606305E-2</v>
      </c>
      <c r="P61" s="104">
        <f>+E61</f>
        <v>13145</v>
      </c>
      <c r="Q61" s="524">
        <f>+F61</f>
        <v>324794.5469999999</v>
      </c>
      <c r="R61" s="104">
        <f>+I61</f>
        <v>10940</v>
      </c>
      <c r="S61" s="524">
        <f>+J61</f>
        <v>297401.17599999998</v>
      </c>
      <c r="T61" s="525">
        <f>+M61</f>
        <v>0.20155393053016454</v>
      </c>
      <c r="U61" s="525">
        <f>+N61</f>
        <v>9.2109154941606305E-2</v>
      </c>
    </row>
    <row r="62" spans="1:28" x14ac:dyDescent="0.2">
      <c r="A62" s="33"/>
      <c r="B62" s="31">
        <v>77777</v>
      </c>
      <c r="C62" s="446" t="s">
        <v>583</v>
      </c>
      <c r="D62" s="292" t="s">
        <v>578</v>
      </c>
      <c r="E62" s="463">
        <f>VLOOKUP(B62,'Resumen de Unidades'!$B$4:$Q$124,16,FALSE)</f>
        <v>1242</v>
      </c>
      <c r="F62" s="250">
        <f>VLOOKUP(B62,USD!$B$4:$Q$124,16,FALSE)</f>
        <v>8718.84</v>
      </c>
      <c r="G62" s="465">
        <f>IFERROR(VLOOKUP(B62,BDFD!$B:$CE,80,FALSE),0)</f>
        <v>0</v>
      </c>
      <c r="H62" s="422">
        <f>IFERROR(VLOOKUP(B62,BDFDUSD!$B:$AO,38,FALSE),0)</f>
        <v>0</v>
      </c>
      <c r="I62" s="463">
        <f>IFERROR(VLOOKUP(B62,BDPPTO!$B:$Q,16,FALSE),0)</f>
        <v>0</v>
      </c>
      <c r="J62" s="250">
        <f>IFERROR(VLOOKUP(B62,BDPPTOUSD!$B:$Q,16,FALSE),0)</f>
        <v>0</v>
      </c>
      <c r="K62" s="461">
        <f t="shared" si="0"/>
        <v>0</v>
      </c>
      <c r="L62" s="461">
        <f t="shared" si="1"/>
        <v>0</v>
      </c>
      <c r="M62" s="462">
        <f t="shared" si="2"/>
        <v>0</v>
      </c>
      <c r="N62" s="462">
        <f t="shared" si="3"/>
        <v>0</v>
      </c>
    </row>
    <row r="63" spans="1:28" x14ac:dyDescent="0.2">
      <c r="A63" s="33"/>
      <c r="B63" s="31">
        <v>88888</v>
      </c>
      <c r="C63" s="6"/>
      <c r="D63" s="292" t="s">
        <v>576</v>
      </c>
      <c r="E63" s="463">
        <f>VLOOKUP(B63,'Resumen de Unidades'!$B$4:$Q$124,16,FALSE)</f>
        <v>832</v>
      </c>
      <c r="F63" s="250">
        <f>VLOOKUP(B63,USD!$B$4:$Q$124,16,FALSE)</f>
        <v>6106.88</v>
      </c>
      <c r="G63" s="465">
        <f>IFERROR(VLOOKUP(B63,BDFD!$B:$CE,80,FALSE),0)</f>
        <v>0</v>
      </c>
      <c r="H63" s="422">
        <f>IFERROR(VLOOKUP(B63,BDFDUSD!$B:$AO,38,FALSE),0)</f>
        <v>0</v>
      </c>
      <c r="I63" s="463">
        <f>IFERROR(VLOOKUP(B63,BDPPTO!$B:$Q,16,FALSE),0)</f>
        <v>0</v>
      </c>
      <c r="J63" s="250">
        <f>IFERROR(VLOOKUP(B63,BDPPTOUSD!$B:$Q,16,FALSE),0)</f>
        <v>0</v>
      </c>
      <c r="K63" s="461">
        <f t="shared" si="0"/>
        <v>0</v>
      </c>
      <c r="L63" s="461">
        <f t="shared" si="1"/>
        <v>0</v>
      </c>
      <c r="M63" s="462">
        <f t="shared" si="2"/>
        <v>0</v>
      </c>
      <c r="N63" s="462">
        <f t="shared" si="3"/>
        <v>0</v>
      </c>
    </row>
    <row r="64" spans="1:28" x14ac:dyDescent="0.2">
      <c r="A64" s="33"/>
      <c r="B64" s="31">
        <v>99999</v>
      </c>
      <c r="C64" s="6"/>
      <c r="D64" s="292" t="s">
        <v>579</v>
      </c>
      <c r="E64" s="463">
        <f>VLOOKUP(B64,'Resumen de Unidades'!$B$4:$Q$124,16,FALSE)</f>
        <v>2576</v>
      </c>
      <c r="F64" s="250">
        <f>VLOOKUP(B64,USD!$B$4:$Q$124,16,FALSE)</f>
        <v>22385.439999999999</v>
      </c>
      <c r="G64" s="465">
        <f>IFERROR(VLOOKUP(B64,BDFD!$B:$CE,80,FALSE),0)</f>
        <v>0</v>
      </c>
      <c r="H64" s="422">
        <f>IFERROR(VLOOKUP(B64,BDFDUSD!$B:$AO,38,FALSE),0)</f>
        <v>0</v>
      </c>
      <c r="I64" s="463">
        <f>IFERROR(VLOOKUP(B64,BDPPTO!$B:$Q,16,FALSE),0)</f>
        <v>0</v>
      </c>
      <c r="J64" s="250">
        <f>IFERROR(VLOOKUP(B64,BDPPTOUSD!$B:$Q,16,FALSE),0)</f>
        <v>0</v>
      </c>
      <c r="K64" s="461">
        <f t="shared" si="0"/>
        <v>0</v>
      </c>
      <c r="L64" s="461">
        <f t="shared" si="1"/>
        <v>0</v>
      </c>
      <c r="M64" s="462">
        <f t="shared" si="2"/>
        <v>0</v>
      </c>
      <c r="N64" s="462">
        <f t="shared" si="3"/>
        <v>0</v>
      </c>
    </row>
    <row r="65" spans="1:28" x14ac:dyDescent="0.2">
      <c r="A65" s="33"/>
      <c r="B65" s="31">
        <v>66666</v>
      </c>
      <c r="C65" s="6"/>
      <c r="D65" s="292" t="s">
        <v>577</v>
      </c>
      <c r="E65" s="463">
        <f>VLOOKUP(B65,'Resumen de Unidades'!$B$4:$Q$124,16,FALSE)</f>
        <v>2477</v>
      </c>
      <c r="F65" s="250">
        <f>VLOOKUP(B65,USD!$B$4:$Q$124,16,FALSE)</f>
        <v>24844.309999999994</v>
      </c>
      <c r="G65" s="465">
        <f>IFERROR(VLOOKUP(B65,BDFD!$B:$CE,80,FALSE),0)</f>
        <v>0</v>
      </c>
      <c r="H65" s="422">
        <f>IFERROR(VLOOKUP(B65,BDFDUSD!$B:$AO,38,FALSE),0)</f>
        <v>0</v>
      </c>
      <c r="I65" s="463">
        <f>IFERROR(VLOOKUP(B65,BDPPTO!$B:$Q,16,FALSE),0)</f>
        <v>0</v>
      </c>
      <c r="J65" s="250">
        <f>IFERROR(VLOOKUP(B65,BDPPTOUSD!$B:$Q,16,FALSE),0)</f>
        <v>0</v>
      </c>
      <c r="K65" s="461">
        <f t="shared" si="0"/>
        <v>0</v>
      </c>
      <c r="L65" s="461">
        <f t="shared" si="1"/>
        <v>0</v>
      </c>
      <c r="M65" s="462">
        <f t="shared" si="2"/>
        <v>0</v>
      </c>
      <c r="N65" s="462">
        <f t="shared" si="3"/>
        <v>0</v>
      </c>
    </row>
    <row r="66" spans="1:28" x14ac:dyDescent="0.2">
      <c r="A66" s="33"/>
      <c r="B66" s="260"/>
      <c r="C66" s="19" t="s">
        <v>690</v>
      </c>
      <c r="D66" s="432"/>
      <c r="E66" s="464">
        <f>SUM(E62:E65)</f>
        <v>7127</v>
      </c>
      <c r="F66" s="460">
        <f t="shared" ref="F66:J66" si="24">SUM(F62:F65)</f>
        <v>62055.47</v>
      </c>
      <c r="G66" s="464">
        <f t="shared" si="24"/>
        <v>0</v>
      </c>
      <c r="H66" s="460">
        <f t="shared" si="24"/>
        <v>0</v>
      </c>
      <c r="I66" s="464">
        <f t="shared" si="24"/>
        <v>0</v>
      </c>
      <c r="J66" s="460">
        <f t="shared" si="24"/>
        <v>0</v>
      </c>
      <c r="K66" s="466">
        <f t="shared" si="0"/>
        <v>0</v>
      </c>
      <c r="L66" s="466">
        <f t="shared" si="1"/>
        <v>0</v>
      </c>
      <c r="M66" s="466">
        <f t="shared" si="2"/>
        <v>0</v>
      </c>
      <c r="N66" s="466">
        <f t="shared" si="3"/>
        <v>0</v>
      </c>
      <c r="P66" s="104">
        <f>+E66</f>
        <v>7127</v>
      </c>
      <c r="Q66" s="524">
        <f>+F66</f>
        <v>62055.47</v>
      </c>
      <c r="R66" s="104">
        <f>+I66</f>
        <v>0</v>
      </c>
      <c r="S66" s="524">
        <f>+J66</f>
        <v>0</v>
      </c>
      <c r="T66" s="525">
        <f>+M66</f>
        <v>0</v>
      </c>
      <c r="U66" s="525">
        <f>+N66</f>
        <v>0</v>
      </c>
    </row>
    <row r="67" spans="1:28" x14ac:dyDescent="0.2">
      <c r="A67" s="33"/>
      <c r="B67" s="260">
        <v>13160</v>
      </c>
      <c r="C67" s="440" t="s">
        <v>437</v>
      </c>
      <c r="D67" s="293" t="s">
        <v>580</v>
      </c>
      <c r="E67" s="463">
        <f>VLOOKUP(B67,'Resumen de Unidades'!$B$4:$Q$124,16,FALSE)</f>
        <v>4295</v>
      </c>
      <c r="F67" s="250">
        <f>VLOOKUP(B67,USD!$B$4:$Q$124,16,FALSE)</f>
        <v>40501.85</v>
      </c>
      <c r="G67" s="465">
        <f>IFERROR(VLOOKUP(B67,BDFD!$B:$CE,80,FALSE),0)</f>
        <v>0</v>
      </c>
      <c r="H67" s="422">
        <f>IFERROR(VLOOKUP(B67,BDFDUSD!$B:$AO,38,FALSE),0)</f>
        <v>0</v>
      </c>
      <c r="I67" s="463">
        <f>IFERROR(VLOOKUP(B67,BDPPTO!$B:$Q,16,FALSE),0)</f>
        <v>0</v>
      </c>
      <c r="J67" s="250">
        <f>IFERROR(VLOOKUP(B67,BDPPTOUSD!$B:$Q,16,FALSE),0)</f>
        <v>0</v>
      </c>
      <c r="K67" s="461">
        <f t="shared" si="0"/>
        <v>0</v>
      </c>
      <c r="L67" s="461">
        <f t="shared" si="1"/>
        <v>0</v>
      </c>
      <c r="M67" s="462">
        <f t="shared" si="2"/>
        <v>0</v>
      </c>
      <c r="N67" s="462">
        <f t="shared" si="3"/>
        <v>0</v>
      </c>
    </row>
    <row r="68" spans="1:28" x14ac:dyDescent="0.2">
      <c r="A68" s="33"/>
      <c r="B68" s="260">
        <v>13161</v>
      </c>
      <c r="C68" s="6"/>
      <c r="D68" s="293" t="s">
        <v>581</v>
      </c>
      <c r="E68" s="463">
        <f>VLOOKUP(B68,'Resumen de Unidades'!$B$4:$Q$124,16,FALSE)</f>
        <v>1718</v>
      </c>
      <c r="F68" s="250">
        <f>VLOOKUP(B68,USD!$B$4:$Q$124,16,FALSE)</f>
        <v>23364.799999999999</v>
      </c>
      <c r="G68" s="465">
        <f>IFERROR(VLOOKUP(B68,BDFD!$B:$CE,80,FALSE),0)</f>
        <v>0</v>
      </c>
      <c r="H68" s="422">
        <f>IFERROR(VLOOKUP(B68,BDFDUSD!$B:$AO,38,FALSE),0)</f>
        <v>0</v>
      </c>
      <c r="I68" s="463">
        <f>IFERROR(VLOOKUP(B68,BDPPTO!$B:$Q,16,FALSE),0)</f>
        <v>0</v>
      </c>
      <c r="J68" s="250">
        <f>IFERROR(VLOOKUP(B68,BDPPTOUSD!$B:$Q,16,FALSE),0)</f>
        <v>0</v>
      </c>
      <c r="K68" s="461">
        <f t="shared" si="0"/>
        <v>0</v>
      </c>
      <c r="L68" s="461">
        <f t="shared" si="1"/>
        <v>0</v>
      </c>
      <c r="M68" s="462">
        <f t="shared" si="2"/>
        <v>0</v>
      </c>
      <c r="N68" s="462">
        <f t="shared" si="3"/>
        <v>0</v>
      </c>
    </row>
    <row r="69" spans="1:28" x14ac:dyDescent="0.2">
      <c r="A69" s="33"/>
      <c r="B69" s="260">
        <v>13162</v>
      </c>
      <c r="C69" s="6"/>
      <c r="D69" s="293" t="s">
        <v>582</v>
      </c>
      <c r="E69" s="463">
        <f>VLOOKUP(B69,'Resumen de Unidades'!$B$4:$Q$124,16,FALSE)</f>
        <v>2577</v>
      </c>
      <c r="F69" s="250">
        <f>VLOOKUP(B69,USD!$B$4:$Q$124,16,FALSE)</f>
        <v>40175.43</v>
      </c>
      <c r="G69" s="465">
        <f>IFERROR(VLOOKUP(B69,BDFD!$B:$CE,80,FALSE),0)</f>
        <v>0</v>
      </c>
      <c r="H69" s="422">
        <f>IFERROR(VLOOKUP(B69,BDFDUSD!$B:$AO,38,FALSE),0)</f>
        <v>0</v>
      </c>
      <c r="I69" s="463">
        <f>IFERROR(VLOOKUP(B69,BDPPTO!$B:$Q,16,FALSE),0)</f>
        <v>0</v>
      </c>
      <c r="J69" s="250">
        <f>IFERROR(VLOOKUP(B69,BDPPTOUSD!$B:$Q,16,FALSE),0)</f>
        <v>0</v>
      </c>
      <c r="K69" s="461">
        <f t="shared" ref="K69:L72" si="25">IFERROR((E69-G69)/ABS(G69),0)</f>
        <v>0</v>
      </c>
      <c r="L69" s="461">
        <f t="shared" ref="L69:L70" si="26">IFERROR((F69-H69)/ABS(H69),0)</f>
        <v>0</v>
      </c>
      <c r="M69" s="462">
        <f t="shared" ref="M69:N72" si="27">IFERROR((E69-I69)/ABS(I69),0)</f>
        <v>0</v>
      </c>
      <c r="N69" s="462">
        <f t="shared" ref="N69:N70" si="28">IFERROR((F69-J69)/ABS(J69),0)</f>
        <v>0</v>
      </c>
    </row>
    <row r="70" spans="1:28" x14ac:dyDescent="0.2">
      <c r="A70" s="33"/>
      <c r="B70" s="260"/>
      <c r="C70" s="19" t="s">
        <v>442</v>
      </c>
      <c r="D70" s="432"/>
      <c r="E70" s="464">
        <f>SUM(E67:E69)</f>
        <v>8590</v>
      </c>
      <c r="F70" s="460">
        <f t="shared" ref="F70:J70" si="29">SUM(F67:F69)</f>
        <v>104042.07999999999</v>
      </c>
      <c r="G70" s="464">
        <f t="shared" si="29"/>
        <v>0</v>
      </c>
      <c r="H70" s="460">
        <f t="shared" si="29"/>
        <v>0</v>
      </c>
      <c r="I70" s="464">
        <f t="shared" si="29"/>
        <v>0</v>
      </c>
      <c r="J70" s="460">
        <f t="shared" si="29"/>
        <v>0</v>
      </c>
      <c r="K70" s="466">
        <f t="shared" si="25"/>
        <v>0</v>
      </c>
      <c r="L70" s="466">
        <f t="shared" si="26"/>
        <v>0</v>
      </c>
      <c r="M70" s="466">
        <f t="shared" si="27"/>
        <v>0</v>
      </c>
      <c r="N70" s="466">
        <f t="shared" si="28"/>
        <v>0</v>
      </c>
      <c r="P70" s="104">
        <f>+E70</f>
        <v>8590</v>
      </c>
      <c r="Q70" s="524">
        <f>+F70</f>
        <v>104042.07999999999</v>
      </c>
      <c r="R70" s="104">
        <f>+I70</f>
        <v>0</v>
      </c>
      <c r="S70" s="524">
        <f>+J70</f>
        <v>0</v>
      </c>
      <c r="T70" s="525">
        <f>+M70</f>
        <v>0</v>
      </c>
      <c r="U70" s="525">
        <f>+N70</f>
        <v>0</v>
      </c>
    </row>
    <row r="71" spans="1:28" x14ac:dyDescent="0.2">
      <c r="A71" s="33"/>
      <c r="B71" s="3"/>
      <c r="C71" s="417"/>
      <c r="D71" s="56"/>
      <c r="E71" s="418"/>
      <c r="F71" s="418"/>
      <c r="G71" s="418"/>
      <c r="H71" s="418"/>
      <c r="I71" s="418"/>
      <c r="J71" s="418"/>
      <c r="K71" s="418"/>
      <c r="L71" s="418"/>
      <c r="M71" s="418"/>
      <c r="N71" s="418"/>
      <c r="P71" s="418"/>
      <c r="Q71" s="418"/>
      <c r="R71" s="418"/>
      <c r="S71" s="418"/>
      <c r="W71" s="418"/>
      <c r="X71" s="418"/>
      <c r="Y71" s="418"/>
      <c r="Z71" s="418"/>
    </row>
    <row r="72" spans="1:28" x14ac:dyDescent="0.2">
      <c r="A72" s="33"/>
      <c r="B72" s="3"/>
      <c r="C72" s="28"/>
      <c r="D72" s="56" t="s">
        <v>149</v>
      </c>
      <c r="E72" s="58">
        <f>SUM(E6,E10,E12,E15,E18,E23,E28,E31,E34,E37,E39,E43,E45,E48,E50,E53,E55,E57,E59,E61,E66,E70)</f>
        <v>1181498</v>
      </c>
      <c r="F72" s="287">
        <f t="shared" ref="F72:J72" si="30">SUM(F6,F10,F12,F15,F18,F23,F28,F31,F34,F37,F39,F43,F45,F48,F50,F53,F55,F57,F59,F61,F66,F70)</f>
        <v>8401961.897264</v>
      </c>
      <c r="G72" s="58">
        <f t="shared" si="30"/>
        <v>958529</v>
      </c>
      <c r="H72" s="287">
        <f t="shared" si="30"/>
        <v>7063087.2400000012</v>
      </c>
      <c r="I72" s="58">
        <f t="shared" si="30"/>
        <v>1131544</v>
      </c>
      <c r="J72" s="287">
        <f t="shared" si="30"/>
        <v>8128828.310763536</v>
      </c>
      <c r="K72" s="321">
        <f t="shared" si="25"/>
        <v>0.23261581026760797</v>
      </c>
      <c r="L72" s="321">
        <f t="shared" si="25"/>
        <v>0.18955941102944648</v>
      </c>
      <c r="M72" s="321">
        <f t="shared" si="27"/>
        <v>4.4146758765014879E-2</v>
      </c>
      <c r="N72" s="321">
        <f t="shared" si="27"/>
        <v>3.3600609590782309E-2</v>
      </c>
      <c r="P72" s="58">
        <f t="shared" ref="P72:S72" si="31">SUM(P6,P10,P12,P15,P18,P23,P28,P31,P34,P37,P39,P43,P45,P48,P50,P53,P55,P57,P59,P61,P66,P70)</f>
        <v>952619</v>
      </c>
      <c r="Q72" s="58">
        <f t="shared" si="31"/>
        <v>6639793.5426640008</v>
      </c>
      <c r="R72" s="58">
        <f t="shared" si="31"/>
        <v>913605</v>
      </c>
      <c r="S72" s="58">
        <f t="shared" si="31"/>
        <v>6421363.5295344163</v>
      </c>
      <c r="T72" s="526">
        <f>+P72/R72-1</f>
        <v>4.270335648338186E-2</v>
      </c>
      <c r="U72" s="526">
        <f>+Q72/S72-1</f>
        <v>3.4016141918291609E-2</v>
      </c>
      <c r="W72" s="58">
        <f t="shared" ref="W72:Z72" si="32">SUM(W6,W10,W12,W15,W18,W23,W28,W31,W34,W37,W39,W43,W45,W48,W50,W53,W55,W57,W59,W61,W66,W70)</f>
        <v>228879</v>
      </c>
      <c r="X72" s="58">
        <f t="shared" si="32"/>
        <v>1762168.3546000002</v>
      </c>
      <c r="Y72" s="58">
        <f t="shared" si="32"/>
        <v>217939</v>
      </c>
      <c r="Z72" s="58">
        <f t="shared" si="32"/>
        <v>1707464.7812291193</v>
      </c>
      <c r="AA72" s="526">
        <f>+W72/Y72-1</f>
        <v>5.019753233703006E-2</v>
      </c>
      <c r="AB72" s="526">
        <f>+X72/Z72-1</f>
        <v>3.2037892653635103E-2</v>
      </c>
    </row>
    <row r="73" spans="1:28" ht="13.5" thickBot="1" x14ac:dyDescent="0.25">
      <c r="A73" s="33"/>
      <c r="B73" s="3"/>
      <c r="C73" s="29"/>
      <c r="D73" s="57"/>
      <c r="E73" s="58"/>
      <c r="F73" s="58"/>
      <c r="G73" s="58"/>
      <c r="H73" s="58"/>
      <c r="I73" s="58"/>
      <c r="J73" s="58"/>
      <c r="K73" s="58"/>
      <c r="L73" s="58"/>
      <c r="M73" s="58"/>
      <c r="N73" s="58"/>
      <c r="P73" s="58"/>
      <c r="Q73" s="58"/>
      <c r="R73" s="58"/>
      <c r="S73" s="58"/>
      <c r="W73" s="58"/>
      <c r="X73" s="58"/>
      <c r="Y73" s="58"/>
      <c r="Z73" s="58"/>
    </row>
    <row r="74" spans="1:28" s="33" customFormat="1" x14ac:dyDescent="0.2">
      <c r="B74" s="35"/>
      <c r="C74" s="36"/>
      <c r="D74" s="45"/>
      <c r="E74" s="37"/>
      <c r="F74" s="37"/>
      <c r="G74" s="37"/>
      <c r="H74" s="37"/>
      <c r="I74" s="37"/>
      <c r="J74" s="37"/>
      <c r="K74" s="37"/>
      <c r="L74" s="37"/>
      <c r="M74" s="37"/>
      <c r="N74" s="37"/>
      <c r="V74" s="527"/>
    </row>
    <row r="75" spans="1:28" s="33" customFormat="1" x14ac:dyDescent="0.2">
      <c r="B75" s="35"/>
      <c r="C75" s="36"/>
      <c r="D75" s="45"/>
      <c r="E75" s="37"/>
      <c r="F75" s="37"/>
      <c r="G75" s="37"/>
      <c r="H75" s="37"/>
      <c r="I75" s="37"/>
      <c r="J75" s="37"/>
      <c r="K75" s="37"/>
      <c r="L75" s="37"/>
      <c r="M75" s="37"/>
      <c r="N75" s="37"/>
      <c r="V75" s="527"/>
    </row>
    <row r="76" spans="1:28" s="33" customFormat="1" x14ac:dyDescent="0.2">
      <c r="B76" s="35"/>
      <c r="C76" s="36"/>
      <c r="D76" s="45"/>
      <c r="E76" s="37"/>
      <c r="F76" s="37"/>
      <c r="G76" s="37"/>
      <c r="H76" s="37"/>
      <c r="I76" s="37"/>
      <c r="J76" s="37"/>
      <c r="K76" s="37"/>
      <c r="L76" s="37"/>
      <c r="M76" s="37"/>
      <c r="N76" s="37"/>
      <c r="V76" s="527"/>
    </row>
    <row r="77" spans="1:28" s="33" customFormat="1" x14ac:dyDescent="0.2">
      <c r="B77" s="35"/>
      <c r="C77" s="36"/>
      <c r="D77" s="45"/>
      <c r="E77" s="37"/>
      <c r="F77" s="37"/>
      <c r="G77" s="37"/>
      <c r="H77" s="37"/>
      <c r="I77" s="37"/>
      <c r="J77" s="37"/>
      <c r="K77" s="37"/>
      <c r="L77" s="37"/>
      <c r="M77" s="37"/>
      <c r="N77" s="37"/>
      <c r="V77" s="527"/>
    </row>
    <row r="78" spans="1:28" s="33" customFormat="1" x14ac:dyDescent="0.2">
      <c r="B78" s="35"/>
      <c r="C78" s="36"/>
      <c r="D78" s="45"/>
      <c r="E78" s="37"/>
      <c r="F78" s="37"/>
      <c r="G78" s="37"/>
      <c r="H78" s="37"/>
      <c r="I78" s="37"/>
      <c r="J78" s="37"/>
      <c r="K78" s="37"/>
      <c r="L78" s="37"/>
      <c r="M78" s="37"/>
      <c r="N78" s="37"/>
      <c r="V78" s="527"/>
    </row>
    <row r="79" spans="1:28" s="33" customFormat="1" x14ac:dyDescent="0.2">
      <c r="B79" s="35"/>
      <c r="C79" s="36"/>
      <c r="D79" s="45"/>
      <c r="E79" s="510" t="s">
        <v>681</v>
      </c>
      <c r="F79" s="510"/>
      <c r="G79" s="511" t="s">
        <v>682</v>
      </c>
      <c r="H79" s="511"/>
      <c r="I79" s="510" t="s">
        <v>647</v>
      </c>
      <c r="J79" s="510"/>
      <c r="K79" s="511" t="s">
        <v>683</v>
      </c>
      <c r="L79" s="511"/>
      <c r="M79" s="509" t="s">
        <v>684</v>
      </c>
      <c r="N79" s="509"/>
      <c r="V79" s="527"/>
    </row>
    <row r="80" spans="1:28" s="33" customFormat="1" x14ac:dyDescent="0.2">
      <c r="B80" s="35"/>
      <c r="C80" s="38"/>
      <c r="D80" s="46"/>
      <c r="E80" s="286" t="s">
        <v>275</v>
      </c>
      <c r="F80" s="286" t="s">
        <v>680</v>
      </c>
      <c r="G80" s="420" t="s">
        <v>275</v>
      </c>
      <c r="H80" s="420" t="s">
        <v>680</v>
      </c>
      <c r="I80" s="286" t="s">
        <v>275</v>
      </c>
      <c r="J80" s="286" t="s">
        <v>680</v>
      </c>
      <c r="K80" s="420" t="s">
        <v>275</v>
      </c>
      <c r="L80" s="420" t="s">
        <v>680</v>
      </c>
      <c r="M80" s="286" t="s">
        <v>275</v>
      </c>
      <c r="N80" s="286" t="s">
        <v>680</v>
      </c>
      <c r="V80" s="527"/>
    </row>
    <row r="81" spans="1:28" x14ac:dyDescent="0.2">
      <c r="A81" s="33"/>
      <c r="B81" s="260">
        <v>13035</v>
      </c>
      <c r="C81" s="441" t="s">
        <v>67</v>
      </c>
      <c r="D81" s="51" t="s">
        <v>68</v>
      </c>
      <c r="E81" s="256">
        <f>VLOOKUP(B81,'Resumen de Unidades'!$B$4:$Q$124,16,FALSE)</f>
        <v>48900</v>
      </c>
      <c r="F81" s="250">
        <f>VLOOKUP(B81,USD!$B$4:$Q$124,16,FALSE)</f>
        <v>239883.84000000003</v>
      </c>
      <c r="G81" s="423">
        <f>IFERROR(VLOOKUP(B81,BDFD!$B:$CE,80,FALSE),0)</f>
        <v>-7</v>
      </c>
      <c r="H81" s="423">
        <f>IFERROR(VLOOKUP(B81,BDFDUSD!$B:$AO,38,FALSE),0)</f>
        <v>-77.949999999999989</v>
      </c>
      <c r="I81" s="250">
        <f>IFERROR(VLOOKUP(B81,BDPPTO!$B:$Q,16,FALSE),0)</f>
        <v>26476</v>
      </c>
      <c r="J81" s="256">
        <f>IFERROR(VLOOKUP(B81,BDPPTOUSD!$B:$Q,16,FALSE),0)</f>
        <v>146287.37087725836</v>
      </c>
      <c r="K81" s="461">
        <f>IFERROR((E81-G81)/ABS(G81),0)</f>
        <v>6986.7142857142853</v>
      </c>
      <c r="L81" s="461">
        <f>IFERROR((F81-H81)/ABS(H81),0)</f>
        <v>3078.4065426555494</v>
      </c>
      <c r="M81" s="462">
        <f>IFERROR((E81-I81)/ABS(I81),0)</f>
        <v>0.84695573349448561</v>
      </c>
      <c r="N81" s="462">
        <f>IFERROR((F81-J81)/ABS(J81),0)</f>
        <v>0.63981236768055172</v>
      </c>
      <c r="W81" s="104">
        <f>+E81</f>
        <v>48900</v>
      </c>
      <c r="X81" s="524">
        <f>+F81</f>
        <v>239883.84000000003</v>
      </c>
      <c r="Y81" s="104">
        <f>+I81</f>
        <v>26476</v>
      </c>
      <c r="Z81" s="524">
        <f>+J81</f>
        <v>146287.37087725836</v>
      </c>
      <c r="AA81" s="525">
        <f>+M81</f>
        <v>0.84695573349448561</v>
      </c>
      <c r="AB81" s="525">
        <f>+N81</f>
        <v>0.63981236768055172</v>
      </c>
    </row>
    <row r="82" spans="1:28" x14ac:dyDescent="0.2">
      <c r="A82" s="33"/>
      <c r="B82" s="260"/>
      <c r="C82" s="257" t="s">
        <v>493</v>
      </c>
      <c r="D82" s="430"/>
      <c r="E82" s="469">
        <f>SUM(E81)</f>
        <v>48900</v>
      </c>
      <c r="F82" s="469">
        <f t="shared" ref="F82:J82" si="33">SUM(F81)</f>
        <v>239883.84000000003</v>
      </c>
      <c r="G82" s="469">
        <f t="shared" si="33"/>
        <v>-7</v>
      </c>
      <c r="H82" s="469">
        <f t="shared" si="33"/>
        <v>-77.949999999999989</v>
      </c>
      <c r="I82" s="469">
        <f t="shared" si="33"/>
        <v>26476</v>
      </c>
      <c r="J82" s="469">
        <f t="shared" si="33"/>
        <v>146287.37087725836</v>
      </c>
      <c r="K82" s="466">
        <f t="shared" ref="K82:K87" si="34">IFERROR((E82-G82)/ABS(G82),0)</f>
        <v>6986.7142857142853</v>
      </c>
      <c r="L82" s="466">
        <f t="shared" ref="L82:L87" si="35">IFERROR((F82-H82)/ABS(H82),0)</f>
        <v>3078.4065426555494</v>
      </c>
      <c r="M82" s="466">
        <f t="shared" ref="M82:N129" si="36">IFERROR((E82-I82)/ABS(I82),0)</f>
        <v>0.84695573349448561</v>
      </c>
      <c r="N82" s="466">
        <f t="shared" ref="N82:N127" si="37">IFERROR((F82-J82)/ABS(J82),0)</f>
        <v>0.63981236768055172</v>
      </c>
    </row>
    <row r="83" spans="1:28" x14ac:dyDescent="0.2">
      <c r="A83" s="33"/>
      <c r="B83" s="260">
        <v>13060</v>
      </c>
      <c r="C83" s="440" t="s">
        <v>69</v>
      </c>
      <c r="D83" s="49" t="s">
        <v>70</v>
      </c>
      <c r="E83" s="256">
        <f>VLOOKUP(B83,'Resumen de Unidades'!$B$4:$Q$124,16,FALSE)</f>
        <v>0</v>
      </c>
      <c r="F83" s="250">
        <f>VLOOKUP(B83,USD!$B$4:$Q$124,16,FALSE)</f>
        <v>0</v>
      </c>
      <c r="G83" s="423">
        <f>IFERROR(VLOOKUP(B83,BDFD!$B:$CE,80,FALSE),0)</f>
        <v>22819</v>
      </c>
      <c r="H83" s="423">
        <f>IFERROR(VLOOKUP(B83,BDFDUSD!$B:$AO,38,FALSE),0)</f>
        <v>206730.35</v>
      </c>
      <c r="I83" s="250">
        <f>IFERROR(VLOOKUP(B83,BDPPTO!$B:$Q,16,FALSE),0)</f>
        <v>22580</v>
      </c>
      <c r="J83" s="256">
        <f>IFERROR(VLOOKUP(B83,BDPPTOUSD!$B:$Q,16,FALSE),0)</f>
        <v>285756.89999999997</v>
      </c>
      <c r="K83" s="461">
        <f t="shared" si="34"/>
        <v>-1</v>
      </c>
      <c r="L83" s="461">
        <f t="shared" si="35"/>
        <v>-1</v>
      </c>
      <c r="M83" s="462">
        <f t="shared" si="36"/>
        <v>-1</v>
      </c>
      <c r="N83" s="462">
        <f t="shared" si="37"/>
        <v>-1</v>
      </c>
    </row>
    <row r="84" spans="1:28" x14ac:dyDescent="0.2">
      <c r="A84" s="33"/>
      <c r="B84" s="260">
        <v>13061</v>
      </c>
      <c r="C84" s="6"/>
      <c r="D84" s="49" t="s">
        <v>71</v>
      </c>
      <c r="E84" s="256">
        <f>VLOOKUP(B84,'Resumen de Unidades'!$B$4:$Q$124,16,FALSE)</f>
        <v>0</v>
      </c>
      <c r="F84" s="250">
        <f>VLOOKUP(B84,USD!$B$4:$Q$124,16,FALSE)</f>
        <v>0</v>
      </c>
      <c r="G84" s="423">
        <f>IFERROR(VLOOKUP(B84,BDFD!$B:$CE,80,FALSE),0)</f>
        <v>68946</v>
      </c>
      <c r="H84" s="423">
        <f>IFERROR(VLOOKUP(B84,BDFDUSD!$B:$AO,38,FALSE),0)</f>
        <v>152682.92000000004</v>
      </c>
      <c r="I84" s="250">
        <f>IFERROR(VLOOKUP(B84,BDPPTO!$B:$Q,16,FALSE),0)</f>
        <v>29319</v>
      </c>
      <c r="J84" s="256">
        <f>IFERROR(VLOOKUP(B84,BDPPTOUSD!$B:$Q,16,FALSE),0)</f>
        <v>72815.900000000009</v>
      </c>
      <c r="K84" s="461">
        <f t="shared" si="34"/>
        <v>-1</v>
      </c>
      <c r="L84" s="461">
        <f t="shared" si="35"/>
        <v>-1</v>
      </c>
      <c r="M84" s="462">
        <f t="shared" si="36"/>
        <v>-1</v>
      </c>
      <c r="N84" s="462">
        <f t="shared" si="37"/>
        <v>-1</v>
      </c>
    </row>
    <row r="85" spans="1:28" x14ac:dyDescent="0.2">
      <c r="A85" s="33"/>
      <c r="B85" s="260">
        <v>13062</v>
      </c>
      <c r="C85" s="6"/>
      <c r="D85" s="49" t="s">
        <v>72</v>
      </c>
      <c r="E85" s="256">
        <f>VLOOKUP(B85,'Resumen de Unidades'!$B$4:$Q$124,16,FALSE)</f>
        <v>73978</v>
      </c>
      <c r="F85" s="250">
        <f>VLOOKUP(B85,USD!$B$4:$Q$124,16,FALSE)</f>
        <v>296947.69200000004</v>
      </c>
      <c r="G85" s="423">
        <f>IFERROR(VLOOKUP(B85,BDFD!$B:$CE,80,FALSE),0)</f>
        <v>69031</v>
      </c>
      <c r="H85" s="423">
        <f>IFERROR(VLOOKUP(B85,BDFDUSD!$B:$AO,38,FALSE),0)</f>
        <v>205791.44</v>
      </c>
      <c r="I85" s="250">
        <f>IFERROR(VLOOKUP(B85,BDPPTO!$B:$Q,16,FALSE),0)</f>
        <v>91939</v>
      </c>
      <c r="J85" s="256">
        <f>IFERROR(VLOOKUP(B85,BDPPTOUSD!$B:$Q,16,FALSE),0)</f>
        <v>352990.83999999997</v>
      </c>
      <c r="K85" s="461">
        <f t="shared" si="34"/>
        <v>7.166345554895627E-2</v>
      </c>
      <c r="L85" s="461">
        <f t="shared" si="35"/>
        <v>0.44295453688452752</v>
      </c>
      <c r="M85" s="462">
        <f t="shared" si="36"/>
        <v>-0.19535779157919925</v>
      </c>
      <c r="N85" s="462">
        <f t="shared" si="37"/>
        <v>-0.15876657875881406</v>
      </c>
    </row>
    <row r="86" spans="1:28" x14ac:dyDescent="0.2">
      <c r="A86" s="33"/>
      <c r="B86" s="260">
        <v>13063</v>
      </c>
      <c r="C86" s="6"/>
      <c r="D86" s="49" t="s">
        <v>73</v>
      </c>
      <c r="E86" s="256">
        <f>VLOOKUP(B86,'Resumen de Unidades'!$B$4:$Q$124,16,FALSE)</f>
        <v>68863</v>
      </c>
      <c r="F86" s="250">
        <f>VLOOKUP(B86,USD!$B$4:$Q$124,16,FALSE)</f>
        <v>1339123.6706000001</v>
      </c>
      <c r="G86" s="423">
        <f>IFERROR(VLOOKUP(B86,BDFD!$B:$CE,80,FALSE),0)</f>
        <v>56034</v>
      </c>
      <c r="H86" s="423">
        <f>IFERROR(VLOOKUP(B86,BDFDUSD!$B:$AO,38,FALSE),0)</f>
        <v>842352.26</v>
      </c>
      <c r="I86" s="250">
        <f>IFERROR(VLOOKUP(B86,BDPPTO!$B:$Q,16,FALSE),0)</f>
        <v>65748</v>
      </c>
      <c r="J86" s="256">
        <f>IFERROR(VLOOKUP(B86,BDPPTOUSD!$B:$Q,16,FALSE),0)</f>
        <v>1271328.0296566703</v>
      </c>
      <c r="K86" s="461">
        <f t="shared" si="34"/>
        <v>0.22895028018702931</v>
      </c>
      <c r="L86" s="461">
        <f t="shared" si="35"/>
        <v>0.589743073283854</v>
      </c>
      <c r="M86" s="462">
        <f t="shared" si="36"/>
        <v>4.7377867007361442E-2</v>
      </c>
      <c r="N86" s="462">
        <f t="shared" si="37"/>
        <v>5.3326631177665763E-2</v>
      </c>
    </row>
    <row r="87" spans="1:28" x14ac:dyDescent="0.2">
      <c r="A87" s="33"/>
      <c r="B87" s="260">
        <v>13165</v>
      </c>
      <c r="C87" s="6"/>
      <c r="D87" s="49" t="s">
        <v>570</v>
      </c>
      <c r="E87" s="256">
        <f>VLOOKUP(B87,'Resumen de Unidades'!$B$4:$Q$124,16,FALSE)</f>
        <v>35226</v>
      </c>
      <c r="F87" s="250">
        <f>VLOOKUP(B87,USD!$B$4:$Q$124,16,FALSE)</f>
        <v>456528.96000000008</v>
      </c>
      <c r="G87" s="423">
        <f>IFERROR(VLOOKUP(B87,BDFD!$B:$CE,80,FALSE),0)</f>
        <v>0</v>
      </c>
      <c r="H87" s="423">
        <f>IFERROR(VLOOKUP(B87,BDFDUSD!$B:$AO,38,FALSE),0)</f>
        <v>0</v>
      </c>
      <c r="I87" s="250">
        <f>IFERROR(VLOOKUP(B87,BDPPTO!$B:$Q,16,FALSE),0)</f>
        <v>20000</v>
      </c>
      <c r="J87" s="256">
        <f>IFERROR(VLOOKUP(B87,BDPPTOUSD!$B:$Q,16,FALSE),0)</f>
        <v>227985.1</v>
      </c>
      <c r="K87" s="461">
        <f t="shared" si="34"/>
        <v>0</v>
      </c>
      <c r="L87" s="461">
        <f t="shared" si="35"/>
        <v>0</v>
      </c>
      <c r="M87" s="462">
        <f t="shared" si="36"/>
        <v>0.76129999999999998</v>
      </c>
      <c r="N87" s="462">
        <f t="shared" si="37"/>
        <v>1.0024508619203627</v>
      </c>
    </row>
    <row r="88" spans="1:28" x14ac:dyDescent="0.2">
      <c r="A88" s="33"/>
      <c r="B88" s="260">
        <v>13166</v>
      </c>
      <c r="C88" s="6"/>
      <c r="D88" s="49" t="s">
        <v>593</v>
      </c>
      <c r="E88" s="256">
        <f>VLOOKUP(B88,'Resumen de Unidades'!$B$4:$Q$124,16,FALSE)</f>
        <v>64860</v>
      </c>
      <c r="F88" s="250">
        <f>VLOOKUP(B88,USD!$B$4:$Q$124,16,FALSE)</f>
        <v>139449</v>
      </c>
      <c r="G88" s="423">
        <f>IFERROR(VLOOKUP(B88,BDFD!$B:$CE,80,FALSE),0)</f>
        <v>0</v>
      </c>
      <c r="H88" s="423">
        <f>IFERROR(VLOOKUP(B88,BDFDUSD!$B:$AO,38,FALSE),0)</f>
        <v>0</v>
      </c>
      <c r="I88" s="250">
        <f>IFERROR(VLOOKUP(B88,BDPPTO!$B:$Q,16,FALSE),0)</f>
        <v>31200</v>
      </c>
      <c r="J88" s="256">
        <f>IFERROR(VLOOKUP(B88,BDPPTOUSD!$B:$Q,16,FALSE),0)</f>
        <v>72474.5</v>
      </c>
      <c r="K88" s="461">
        <f t="shared" ref="K88:K102" si="38">IFERROR((E88-G88)/ABS(G88),0)</f>
        <v>0</v>
      </c>
      <c r="L88" s="461">
        <f t="shared" ref="L88:L102" si="39">IFERROR((F88-H88)/ABS(H88),0)</f>
        <v>0</v>
      </c>
      <c r="M88" s="462">
        <f t="shared" si="36"/>
        <v>1.0788461538461538</v>
      </c>
      <c r="N88" s="462">
        <f t="shared" si="37"/>
        <v>0.92411123912548554</v>
      </c>
    </row>
    <row r="89" spans="1:28" x14ac:dyDescent="0.2">
      <c r="A89" s="33"/>
      <c r="B89" s="260"/>
      <c r="C89" s="19" t="s">
        <v>513</v>
      </c>
      <c r="D89" s="425"/>
      <c r="E89" s="469">
        <f>SUM(E83:E88)</f>
        <v>242927</v>
      </c>
      <c r="F89" s="469">
        <f t="shared" ref="F89:J89" si="40">SUM(F83:F88)</f>
        <v>2232049.3226000001</v>
      </c>
      <c r="G89" s="469">
        <f t="shared" si="40"/>
        <v>216830</v>
      </c>
      <c r="H89" s="469">
        <f t="shared" si="40"/>
        <v>1407556.97</v>
      </c>
      <c r="I89" s="469">
        <f t="shared" si="40"/>
        <v>260786</v>
      </c>
      <c r="J89" s="469">
        <f t="shared" si="40"/>
        <v>2283351.2696566703</v>
      </c>
      <c r="K89" s="466">
        <f t="shared" si="38"/>
        <v>0.12035696167504496</v>
      </c>
      <c r="L89" s="466">
        <f t="shared" si="39"/>
        <v>0.58576126591877853</v>
      </c>
      <c r="M89" s="466">
        <f t="shared" si="36"/>
        <v>-6.8481436886949451E-2</v>
      </c>
      <c r="N89" s="466">
        <f t="shared" si="37"/>
        <v>-2.2467829518138083E-2</v>
      </c>
      <c r="W89" s="104">
        <f>+E89</f>
        <v>242927</v>
      </c>
      <c r="X89" s="524">
        <f>+F89</f>
        <v>2232049.3226000001</v>
      </c>
      <c r="Y89" s="104">
        <f>+I89</f>
        <v>260786</v>
      </c>
      <c r="Z89" s="524">
        <f>+J89</f>
        <v>2283351.2696566703</v>
      </c>
      <c r="AA89" s="525">
        <f>+M89</f>
        <v>-6.8481436886949451E-2</v>
      </c>
      <c r="AB89" s="525">
        <f>+N89</f>
        <v>-2.2467829518138083E-2</v>
      </c>
    </row>
    <row r="90" spans="1:28" x14ac:dyDescent="0.2">
      <c r="A90" s="33"/>
      <c r="B90" s="261">
        <v>13159</v>
      </c>
      <c r="C90" s="450" t="s">
        <v>685</v>
      </c>
      <c r="D90" s="49" t="s">
        <v>497</v>
      </c>
      <c r="E90" s="256">
        <f>VLOOKUP(B90,'Resumen de Unidades'!$B$4:$Q$124,16,FALSE)</f>
        <v>62687</v>
      </c>
      <c r="F90" s="250">
        <f>VLOOKUP(B90,USD!$B$4:$Q$124,16,FALSE)</f>
        <v>593432.12732999993</v>
      </c>
      <c r="G90" s="423">
        <f>IFERROR(VLOOKUP(B90,BDFD!$B:$CE,80,FALSE),0)</f>
        <v>0</v>
      </c>
      <c r="H90" s="423">
        <f>IFERROR(VLOOKUP(B90,BDFDUSD!$B:$AO,38,FALSE),0)</f>
        <v>0</v>
      </c>
      <c r="I90" s="250">
        <f>IFERROR(VLOOKUP(B90,BDPPTO!$B:$Q,16,FALSE),0)</f>
        <v>55424</v>
      </c>
      <c r="J90" s="256">
        <f>IFERROR(VLOOKUP(B90,BDPPTOUSD!$B:$Q,16,FALSE),0)</f>
        <v>488120.16800000006</v>
      </c>
      <c r="K90" s="461">
        <f t="shared" si="38"/>
        <v>0</v>
      </c>
      <c r="L90" s="461">
        <f t="shared" si="39"/>
        <v>0</v>
      </c>
      <c r="M90" s="462">
        <f t="shared" si="36"/>
        <v>0.1310443129330254</v>
      </c>
      <c r="N90" s="462">
        <f t="shared" si="37"/>
        <v>0.21575006777839151</v>
      </c>
    </row>
    <row r="91" spans="1:28" x14ac:dyDescent="0.2">
      <c r="A91" s="33"/>
      <c r="B91" s="261">
        <v>13121</v>
      </c>
      <c r="C91" s="6" t="s">
        <v>714</v>
      </c>
      <c r="D91" s="49" t="s">
        <v>76</v>
      </c>
      <c r="E91" s="256">
        <f>VLOOKUP(B91,'Resumen de Unidades'!$B$4:$Q$124,16,FALSE)</f>
        <v>63897</v>
      </c>
      <c r="F91" s="250">
        <f>VLOOKUP(B91,USD!$B$4:$Q$124,16,FALSE)</f>
        <v>1144778.6519999998</v>
      </c>
      <c r="G91" s="423">
        <f>IFERROR(VLOOKUP(B91,BDFD!$B:$CE,80,FALSE),0)</f>
        <v>48941</v>
      </c>
      <c r="H91" s="423">
        <f>IFERROR(VLOOKUP(B91,BDFDUSD!$B:$AO,38,FALSE),0)</f>
        <v>879759.25</v>
      </c>
      <c r="I91" s="250">
        <f>IFERROR(VLOOKUP(B91,BDPPTO!$B:$Q,16,FALSE),0)</f>
        <v>68782</v>
      </c>
      <c r="J91" s="256">
        <f>IFERROR(VLOOKUP(B91,BDPPTOUSD!$B:$Q,16,FALSE),0)</f>
        <v>1226324.3786596954</v>
      </c>
      <c r="K91" s="461">
        <f t="shared" si="38"/>
        <v>0.30559244804969249</v>
      </c>
      <c r="L91" s="461">
        <f t="shared" si="39"/>
        <v>0.30124082469152758</v>
      </c>
      <c r="M91" s="462">
        <f t="shared" si="36"/>
        <v>-7.102148818004711E-2</v>
      </c>
      <c r="N91" s="462">
        <f t="shared" si="37"/>
        <v>-6.649604955975888E-2</v>
      </c>
    </row>
    <row r="92" spans="1:28" x14ac:dyDescent="0.2">
      <c r="A92" s="33"/>
      <c r="B92" s="260">
        <v>13143</v>
      </c>
      <c r="C92" s="6" t="s">
        <v>715</v>
      </c>
      <c r="D92" s="49" t="s">
        <v>78</v>
      </c>
      <c r="E92" s="256">
        <f>VLOOKUP(B92,'Resumen de Unidades'!$B$4:$Q$124,16,FALSE)</f>
        <v>164645</v>
      </c>
      <c r="F92" s="250">
        <f>VLOOKUP(B92,USD!$B$4:$Q$124,16,FALSE)</f>
        <v>1317752.7220000001</v>
      </c>
      <c r="G92" s="423">
        <f>IFERROR(VLOOKUP(B92,BDFD!$B:$CE,80,FALSE),0)</f>
        <v>56600</v>
      </c>
      <c r="H92" s="423">
        <f>IFERROR(VLOOKUP(B92,BDFDUSD!$B:$AO,38,FALSE),0)</f>
        <v>538960.61</v>
      </c>
      <c r="I92" s="250">
        <f>IFERROR(VLOOKUP(B92,BDPPTO!$B:$Q,16,FALSE),0)</f>
        <v>148975</v>
      </c>
      <c r="J92" s="256">
        <f>IFERROR(VLOOKUP(B92,BDPPTOUSD!$B:$Q,16,FALSE),0)</f>
        <v>1196088.5477454879</v>
      </c>
      <c r="K92" s="461">
        <f t="shared" si="38"/>
        <v>1.908922261484099</v>
      </c>
      <c r="L92" s="461">
        <f t="shared" si="39"/>
        <v>1.4449889241441969</v>
      </c>
      <c r="M92" s="462">
        <f t="shared" si="36"/>
        <v>0.10518543379761705</v>
      </c>
      <c r="N92" s="462">
        <f t="shared" si="37"/>
        <v>0.10171836732643036</v>
      </c>
    </row>
    <row r="93" spans="1:28" x14ac:dyDescent="0.2">
      <c r="A93" s="33"/>
      <c r="B93" s="260">
        <v>13144</v>
      </c>
      <c r="C93" s="6" t="s">
        <v>716</v>
      </c>
      <c r="D93" s="49" t="s">
        <v>79</v>
      </c>
      <c r="E93" s="256">
        <f>VLOOKUP(B93,'Resumen de Unidades'!$B$4:$Q$124,16,FALSE)</f>
        <v>29862</v>
      </c>
      <c r="F93" s="250">
        <f>VLOOKUP(B93,USD!$B$4:$Q$124,16,FALSE)</f>
        <v>406896.62580000004</v>
      </c>
      <c r="G93" s="423">
        <f>IFERROR(VLOOKUP(B93,BDFD!$B:$CE,80,FALSE),0)</f>
        <v>9338</v>
      </c>
      <c r="H93" s="423">
        <f>IFERROR(VLOOKUP(B93,BDFDUSD!$B:$AO,38,FALSE),0)</f>
        <v>138408.07</v>
      </c>
      <c r="I93" s="250">
        <f>IFERROR(VLOOKUP(B93,BDPPTO!$B:$Q,16,FALSE),0)</f>
        <v>37410</v>
      </c>
      <c r="J93" s="256">
        <f>IFERROR(VLOOKUP(B93,BDPPTOUSD!$B:$Q,16,FALSE),0)</f>
        <v>529587.16049514106</v>
      </c>
      <c r="K93" s="461">
        <f t="shared" si="38"/>
        <v>2.1979010494752624</v>
      </c>
      <c r="L93" s="461">
        <f t="shared" si="39"/>
        <v>1.9398331022172335</v>
      </c>
      <c r="M93" s="462">
        <f t="shared" si="36"/>
        <v>-0.20176423416198877</v>
      </c>
      <c r="N93" s="462">
        <f t="shared" si="37"/>
        <v>-0.23167203408109571</v>
      </c>
    </row>
    <row r="94" spans="1:28" x14ac:dyDescent="0.2">
      <c r="A94" s="33"/>
      <c r="B94" s="260">
        <v>13079</v>
      </c>
      <c r="C94" s="254" t="s">
        <v>705</v>
      </c>
      <c r="D94" s="434" t="s">
        <v>553</v>
      </c>
      <c r="E94" s="256">
        <f>VLOOKUP(B94,'Resumen de Unidades'!$B$4:$Q$124,16,FALSE)</f>
        <v>0</v>
      </c>
      <c r="F94" s="250">
        <f>VLOOKUP(B94,USD!$B$4:$Q$124,16,FALSE)</f>
        <v>0</v>
      </c>
      <c r="G94" s="423">
        <f>IFERROR(VLOOKUP(B94,BDFD!$B:$CE,80,FALSE),0)</f>
        <v>342</v>
      </c>
      <c r="H94" s="423">
        <f>IFERROR(VLOOKUP(B94,BDFDUSD!$B:$AO,38,FALSE),0)</f>
        <v>2441.4499999999998</v>
      </c>
      <c r="I94" s="250">
        <f>IFERROR(VLOOKUP(B94,BDPPTO!$B:$Q,16,FALSE),0)</f>
        <v>-2987</v>
      </c>
      <c r="J94" s="256">
        <f>IFERROR(VLOOKUP(B94,BDPPTOUSD!$B:$Q,16,FALSE),0)</f>
        <v>-41220.339999999997</v>
      </c>
      <c r="K94" s="461">
        <f t="shared" si="38"/>
        <v>-1</v>
      </c>
      <c r="L94" s="461">
        <f t="shared" si="39"/>
        <v>-1</v>
      </c>
      <c r="M94" s="462">
        <f t="shared" si="36"/>
        <v>1</v>
      </c>
      <c r="N94" s="462">
        <f t="shared" si="37"/>
        <v>1</v>
      </c>
    </row>
    <row r="95" spans="1:28" x14ac:dyDescent="0.2">
      <c r="A95" s="33"/>
      <c r="B95" s="260"/>
      <c r="C95" s="439" t="s">
        <v>502</v>
      </c>
      <c r="D95" s="432"/>
      <c r="E95" s="469">
        <f>SUM(E90:E94)</f>
        <v>321091</v>
      </c>
      <c r="F95" s="469">
        <f t="shared" ref="F95:J95" si="41">SUM(F90:F94)</f>
        <v>3462860.1271299999</v>
      </c>
      <c r="G95" s="469">
        <f t="shared" si="41"/>
        <v>115221</v>
      </c>
      <c r="H95" s="469">
        <f t="shared" si="41"/>
        <v>1559569.38</v>
      </c>
      <c r="I95" s="469">
        <f t="shared" si="41"/>
        <v>307604</v>
      </c>
      <c r="J95" s="469">
        <f t="shared" si="41"/>
        <v>3398899.9149003248</v>
      </c>
      <c r="K95" s="466">
        <f t="shared" si="38"/>
        <v>1.7867402643615313</v>
      </c>
      <c r="L95" s="466">
        <f t="shared" si="39"/>
        <v>1.2203950472084801</v>
      </c>
      <c r="M95" s="466">
        <f t="shared" si="36"/>
        <v>4.3845333610746287E-2</v>
      </c>
      <c r="N95" s="466">
        <f t="shared" si="37"/>
        <v>1.8817915746586738E-2</v>
      </c>
      <c r="W95" s="104">
        <f>+E95</f>
        <v>321091</v>
      </c>
      <c r="X95" s="524">
        <f>+F95</f>
        <v>3462860.1271299999</v>
      </c>
      <c r="Y95" s="104">
        <f>+I95</f>
        <v>307604</v>
      </c>
      <c r="Z95" s="524">
        <f>+J95</f>
        <v>3398899.9149003248</v>
      </c>
      <c r="AA95" s="525">
        <f>+M95</f>
        <v>4.3845333610746287E-2</v>
      </c>
      <c r="AB95" s="525">
        <f>+N95</f>
        <v>1.8817915746586738E-2</v>
      </c>
    </row>
    <row r="96" spans="1:28" x14ac:dyDescent="0.2">
      <c r="A96" s="33"/>
      <c r="B96" s="260">
        <v>13038</v>
      </c>
      <c r="C96" s="447" t="s">
        <v>82</v>
      </c>
      <c r="D96" s="49" t="s">
        <v>83</v>
      </c>
      <c r="E96" s="256">
        <f>VLOOKUP(B96,'Resumen de Unidades'!$B$4:$Q$124,16,FALSE)</f>
        <v>17509</v>
      </c>
      <c r="F96" s="250">
        <f>VLOOKUP(B96,USD!$B$4:$Q$124,16,FALSE)</f>
        <v>525212.22030000004</v>
      </c>
      <c r="G96" s="423">
        <f>IFERROR(VLOOKUP(B96,BDFD!$B:$CE,80,FALSE),0)</f>
        <v>21029</v>
      </c>
      <c r="H96" s="423">
        <f>IFERROR(VLOOKUP(B96,BDFDUSD!$B:$AO,38,FALSE),0)</f>
        <v>638081.54999999993</v>
      </c>
      <c r="I96" s="250">
        <f>IFERROR(VLOOKUP(B96,BDPPTO!$B:$Q,16,FALSE),0)</f>
        <v>18508</v>
      </c>
      <c r="J96" s="256">
        <f>IFERROR(VLOOKUP(B96,BDPPTOUSD!$B:$Q,16,FALSE),0)</f>
        <v>553157.90439263324</v>
      </c>
      <c r="K96" s="461">
        <f t="shared" si="38"/>
        <v>-0.16738789290979125</v>
      </c>
      <c r="L96" s="461">
        <f t="shared" si="39"/>
        <v>-0.1768885649491039</v>
      </c>
      <c r="M96" s="462">
        <f t="shared" si="36"/>
        <v>-5.3976658742165548E-2</v>
      </c>
      <c r="N96" s="462">
        <f t="shared" si="37"/>
        <v>-5.0520265317943028E-2</v>
      </c>
    </row>
    <row r="97" spans="1:28" x14ac:dyDescent="0.2">
      <c r="A97" s="33"/>
      <c r="B97" s="260">
        <v>55555</v>
      </c>
      <c r="C97" s="10"/>
      <c r="D97" s="49" t="s">
        <v>584</v>
      </c>
      <c r="E97" s="256">
        <f>VLOOKUP(B97,'Resumen de Unidades'!$B$4:$Q$124,16,FALSE)</f>
        <v>5300</v>
      </c>
      <c r="F97" s="250">
        <f>VLOOKUP(B97,USD!$B$4:$Q$124,16,FALSE)</f>
        <v>82892</v>
      </c>
      <c r="G97" s="423">
        <f>IFERROR(VLOOKUP(B97,BDFD!$B:$CE,80,FALSE),0)</f>
        <v>0</v>
      </c>
      <c r="H97" s="423">
        <f>IFERROR(VLOOKUP(B97,BDFDUSD!$B:$AO,38,FALSE),0)</f>
        <v>0</v>
      </c>
      <c r="I97" s="250">
        <f>IFERROR(VLOOKUP(B97,BDPPTO!$B:$Q,16,FALSE),0)</f>
        <v>0</v>
      </c>
      <c r="J97" s="256">
        <f>IFERROR(VLOOKUP(B97,BDPPTOUSD!$B:$Q,16,FALSE),0)</f>
        <v>0</v>
      </c>
      <c r="K97" s="461">
        <f t="shared" si="38"/>
        <v>0</v>
      </c>
      <c r="L97" s="461">
        <f t="shared" si="39"/>
        <v>0</v>
      </c>
      <c r="M97" s="462">
        <f t="shared" si="36"/>
        <v>0</v>
      </c>
      <c r="N97" s="462">
        <f t="shared" si="37"/>
        <v>0</v>
      </c>
    </row>
    <row r="98" spans="1:28" x14ac:dyDescent="0.2">
      <c r="A98" s="33"/>
      <c r="B98" s="260"/>
      <c r="C98" s="257" t="s">
        <v>504</v>
      </c>
      <c r="D98" s="425"/>
      <c r="E98" s="469">
        <f>SUM(E96:E97)</f>
        <v>22809</v>
      </c>
      <c r="F98" s="469">
        <f t="shared" ref="F98:J98" si="42">SUM(F96:F97)</f>
        <v>608104.22030000004</v>
      </c>
      <c r="G98" s="469">
        <f t="shared" si="42"/>
        <v>21029</v>
      </c>
      <c r="H98" s="469">
        <f t="shared" si="42"/>
        <v>638081.54999999993</v>
      </c>
      <c r="I98" s="469">
        <f t="shared" si="42"/>
        <v>18508</v>
      </c>
      <c r="J98" s="469">
        <f t="shared" si="42"/>
        <v>553157.90439263324</v>
      </c>
      <c r="K98" s="466">
        <f t="shared" si="38"/>
        <v>8.4645014028246701E-2</v>
      </c>
      <c r="L98" s="466">
        <f t="shared" si="39"/>
        <v>-4.6980405090853807E-2</v>
      </c>
      <c r="M98" s="466">
        <f t="shared" si="36"/>
        <v>0.23238599524529932</v>
      </c>
      <c r="N98" s="466">
        <f t="shared" si="37"/>
        <v>9.9332063179496277E-2</v>
      </c>
      <c r="W98" s="104">
        <f>+E98</f>
        <v>22809</v>
      </c>
      <c r="X98" s="524">
        <f>+F98</f>
        <v>608104.22030000004</v>
      </c>
      <c r="Y98" s="104">
        <f>+I98</f>
        <v>18508</v>
      </c>
      <c r="Z98" s="524">
        <f>+J98</f>
        <v>553157.90439263324</v>
      </c>
      <c r="AA98" s="525">
        <f>+M98</f>
        <v>0.23238599524529932</v>
      </c>
      <c r="AB98" s="525">
        <f>+N98</f>
        <v>9.9332063179496277E-2</v>
      </c>
    </row>
    <row r="99" spans="1:28" x14ac:dyDescent="0.2">
      <c r="A99" s="33"/>
      <c r="B99" s="260">
        <v>13032</v>
      </c>
      <c r="C99" s="441" t="s">
        <v>84</v>
      </c>
      <c r="D99" s="49" t="s">
        <v>85</v>
      </c>
      <c r="E99" s="256">
        <f>VLOOKUP(B99,'Resumen de Unidades'!$B$4:$Q$124,16,FALSE)</f>
        <v>45499</v>
      </c>
      <c r="F99" s="250">
        <f>VLOOKUP(B99,USD!$B$4:$Q$124,16,FALSE)</f>
        <v>566476.19970000011</v>
      </c>
      <c r="G99" s="423">
        <f>IFERROR(VLOOKUP(B99,BDFD!$B:$CE,80,FALSE),0)</f>
        <v>38723</v>
      </c>
      <c r="H99" s="423">
        <f>IFERROR(VLOOKUP(B99,BDFDUSD!$B:$AO,38,FALSE),0)</f>
        <v>467478.57</v>
      </c>
      <c r="I99" s="250">
        <f>IFERROR(VLOOKUP(B99,BDPPTO!$B:$Q,16,FALSE),0)</f>
        <v>43764</v>
      </c>
      <c r="J99" s="256">
        <f>IFERROR(VLOOKUP(B99,BDPPTOUSD!$B:$Q,16,FALSE),0)</f>
        <v>545434.26635135151</v>
      </c>
      <c r="K99" s="461">
        <f t="shared" si="38"/>
        <v>0.17498644216615447</v>
      </c>
      <c r="L99" s="461">
        <f t="shared" si="39"/>
        <v>0.21176934313801829</v>
      </c>
      <c r="M99" s="462">
        <f t="shared" si="36"/>
        <v>3.9644456631020931E-2</v>
      </c>
      <c r="N99" s="462">
        <f t="shared" si="37"/>
        <v>3.8578312084070733E-2</v>
      </c>
    </row>
    <row r="100" spans="1:28" x14ac:dyDescent="0.2">
      <c r="A100" s="33"/>
      <c r="B100" s="260">
        <v>13037</v>
      </c>
      <c r="C100" s="10"/>
      <c r="D100" s="49" t="s">
        <v>86</v>
      </c>
      <c r="E100" s="256">
        <f>VLOOKUP(B100,'Resumen de Unidades'!$B$4:$Q$124,16,FALSE)</f>
        <v>32335</v>
      </c>
      <c r="F100" s="250">
        <f>VLOOKUP(B100,USD!$B$4:$Q$124,16,FALSE)</f>
        <v>389639.98350000009</v>
      </c>
      <c r="G100" s="423">
        <f>IFERROR(VLOOKUP(B100,BDFD!$B:$CE,80,FALSE),0)</f>
        <v>25551</v>
      </c>
      <c r="H100" s="423">
        <f>IFERROR(VLOOKUP(B100,BDFDUSD!$B:$AO,38,FALSE),0)</f>
        <v>304625.69</v>
      </c>
      <c r="I100" s="250">
        <f>IFERROR(VLOOKUP(B100,BDPPTO!$B:$Q,16,FALSE),0)</f>
        <v>33402</v>
      </c>
      <c r="J100" s="256">
        <f>IFERROR(VLOOKUP(B100,BDPPTOUSD!$B:$Q,16,FALSE),0)</f>
        <v>412218.8621633164</v>
      </c>
      <c r="K100" s="461">
        <f t="shared" si="38"/>
        <v>0.26550819928769909</v>
      </c>
      <c r="L100" s="461">
        <f t="shared" si="39"/>
        <v>0.27907788571607367</v>
      </c>
      <c r="M100" s="462">
        <f t="shared" si="36"/>
        <v>-3.1944194958385727E-2</v>
      </c>
      <c r="N100" s="462">
        <f t="shared" si="37"/>
        <v>-5.4774006567343388E-2</v>
      </c>
    </row>
    <row r="101" spans="1:28" x14ac:dyDescent="0.2">
      <c r="A101" s="33"/>
      <c r="B101" s="260"/>
      <c r="C101" s="257" t="s">
        <v>691</v>
      </c>
      <c r="D101" s="425"/>
      <c r="E101" s="469">
        <f>SUM(E99:E100)</f>
        <v>77834</v>
      </c>
      <c r="F101" s="469">
        <f t="shared" ref="F101:J101" si="43">SUM(F99:F100)</f>
        <v>956116.1832000002</v>
      </c>
      <c r="G101" s="469">
        <f t="shared" si="43"/>
        <v>64274</v>
      </c>
      <c r="H101" s="469">
        <f t="shared" si="43"/>
        <v>772104.26</v>
      </c>
      <c r="I101" s="469">
        <f t="shared" si="43"/>
        <v>77166</v>
      </c>
      <c r="J101" s="469">
        <f t="shared" si="43"/>
        <v>957653.12851466797</v>
      </c>
      <c r="K101" s="466">
        <f t="shared" si="38"/>
        <v>0.21097177707937892</v>
      </c>
      <c r="L101" s="466">
        <f t="shared" si="39"/>
        <v>0.23832522721737112</v>
      </c>
      <c r="M101" s="466">
        <f t="shared" si="36"/>
        <v>8.6566622605810852E-3</v>
      </c>
      <c r="N101" s="466">
        <f t="shared" si="37"/>
        <v>-1.6049081540114541E-3</v>
      </c>
      <c r="W101" s="104">
        <f>+E101</f>
        <v>77834</v>
      </c>
      <c r="X101" s="524">
        <f>+F101</f>
        <v>956116.1832000002</v>
      </c>
      <c r="Y101" s="104">
        <f>+I101</f>
        <v>77166</v>
      </c>
      <c r="Z101" s="524">
        <f>+J101</f>
        <v>957653.12851466797</v>
      </c>
      <c r="AA101" s="525">
        <f>+M101</f>
        <v>8.6566622605810852E-3</v>
      </c>
      <c r="AB101" s="525">
        <f>+N101</f>
        <v>-1.6049081540114541E-3</v>
      </c>
    </row>
    <row r="102" spans="1:28" x14ac:dyDescent="0.2">
      <c r="A102" s="33"/>
      <c r="B102" s="261">
        <v>13154</v>
      </c>
      <c r="C102" s="443" t="s">
        <v>87</v>
      </c>
      <c r="D102" s="433" t="s">
        <v>123</v>
      </c>
      <c r="E102" s="256">
        <f>VLOOKUP(B102,'Resumen de Unidades'!$B$4:$Q$124,16,FALSE)</f>
        <v>44883</v>
      </c>
      <c r="F102" s="250">
        <f>VLOOKUP(B102,USD!$B$4:$Q$124,16,FALSE)</f>
        <v>86143.941899999991</v>
      </c>
      <c r="G102" s="423">
        <f>IFERROR(VLOOKUP(B102,BDFD!$B:$CE,80,FALSE),0)</f>
        <v>34715</v>
      </c>
      <c r="H102" s="423">
        <f>IFERROR(VLOOKUP(B102,BDFDUSD!$B:$AO,38,FALSE),0)</f>
        <v>82116.700000000012</v>
      </c>
      <c r="I102" s="250">
        <f>IFERROR(VLOOKUP(B102,BDPPTO!$B:$Q,16,FALSE),0)</f>
        <v>33294.199999999997</v>
      </c>
      <c r="J102" s="256">
        <f>IFERROR(VLOOKUP(B102,BDPPTOUSD!$B:$Q,16,FALSE),0)</f>
        <v>65135.391481809151</v>
      </c>
      <c r="K102" s="461">
        <f t="shared" si="38"/>
        <v>0.2928993230591963</v>
      </c>
      <c r="L102" s="461">
        <f t="shared" si="39"/>
        <v>4.9042909663929241E-2</v>
      </c>
      <c r="M102" s="462">
        <f t="shared" si="36"/>
        <v>0.34807263727616233</v>
      </c>
      <c r="N102" s="462">
        <f t="shared" si="37"/>
        <v>0.32253664160532536</v>
      </c>
    </row>
    <row r="103" spans="1:28" x14ac:dyDescent="0.2">
      <c r="A103" s="33"/>
      <c r="B103" s="261">
        <v>13155</v>
      </c>
      <c r="C103" s="253"/>
      <c r="D103" s="433" t="s">
        <v>124</v>
      </c>
      <c r="E103" s="256">
        <f>VLOOKUP(B103,'Resumen de Unidades'!$B$4:$Q$124,16,FALSE)</f>
        <v>34616</v>
      </c>
      <c r="F103" s="250">
        <f>VLOOKUP(B103,USD!$B$4:$Q$124,16,FALSE)</f>
        <v>51747.458400000003</v>
      </c>
      <c r="G103" s="423">
        <f>IFERROR(VLOOKUP(B103,BDFD!$B:$CE,80,FALSE),0)</f>
        <v>32026</v>
      </c>
      <c r="H103" s="423">
        <f>IFERROR(VLOOKUP(B103,BDFDUSD!$B:$AO,38,FALSE),0)</f>
        <v>53662.85</v>
      </c>
      <c r="I103" s="250">
        <f>IFERROR(VLOOKUP(B103,BDPPTO!$B:$Q,16,FALSE),0)</f>
        <v>29406.5</v>
      </c>
      <c r="J103" s="256">
        <f>IFERROR(VLOOKUP(B103,BDPPTOUSD!$B:$Q,16,FALSE),0)</f>
        <v>43370.440650087767</v>
      </c>
      <c r="K103" s="461">
        <f t="shared" ref="K103:K114" si="44">IFERROR((E103-G103)/ABS(G103),0)</f>
        <v>8.0871791669268722E-2</v>
      </c>
      <c r="L103" s="461">
        <f t="shared" ref="L103:L114" si="45">IFERROR((F103-H103)/ABS(H103),0)</f>
        <v>-3.5693065127923612E-2</v>
      </c>
      <c r="M103" s="462">
        <f t="shared" si="36"/>
        <v>0.17715471069321409</v>
      </c>
      <c r="N103" s="462">
        <f t="shared" si="37"/>
        <v>0.19315039516194735</v>
      </c>
    </row>
    <row r="104" spans="1:28" x14ac:dyDescent="0.2">
      <c r="A104" s="33"/>
      <c r="B104" s="261">
        <v>13152</v>
      </c>
      <c r="C104" s="253" t="s">
        <v>717</v>
      </c>
      <c r="D104" s="433" t="s">
        <v>125</v>
      </c>
      <c r="E104" s="256">
        <f>VLOOKUP(B104,'Resumen de Unidades'!$B$4:$Q$124,16,FALSE)</f>
        <v>40921</v>
      </c>
      <c r="F104" s="250">
        <f>VLOOKUP(B104,USD!$B$4:$Q$124,16,FALSE)</f>
        <v>78564.227899999998</v>
      </c>
      <c r="G104" s="423">
        <f>IFERROR(VLOOKUP(B104,BDFD!$B:$CE,80,FALSE),0)</f>
        <v>28240</v>
      </c>
      <c r="H104" s="423">
        <f>IFERROR(VLOOKUP(B104,BDFDUSD!$B:$AO,38,FALSE),0)</f>
        <v>66992.67</v>
      </c>
      <c r="I104" s="250">
        <f>IFERROR(VLOOKUP(B104,BDPPTO!$B:$Q,16,FALSE),0)</f>
        <v>32908.199999999997</v>
      </c>
      <c r="J104" s="256">
        <f>IFERROR(VLOOKUP(B104,BDPPTOUSD!$B:$Q,16,FALSE),0)</f>
        <v>63583.327635254253</v>
      </c>
      <c r="K104" s="461">
        <f t="shared" si="44"/>
        <v>0.44904390934844191</v>
      </c>
      <c r="L104" s="461">
        <f t="shared" si="45"/>
        <v>0.17272871644017174</v>
      </c>
      <c r="M104" s="462">
        <f t="shared" si="36"/>
        <v>0.24348946463191556</v>
      </c>
      <c r="N104" s="462">
        <f t="shared" si="37"/>
        <v>0.23561051020612947</v>
      </c>
    </row>
    <row r="105" spans="1:28" x14ac:dyDescent="0.2">
      <c r="A105" s="33"/>
      <c r="B105" s="261">
        <v>13153</v>
      </c>
      <c r="C105" s="253" t="s">
        <v>718</v>
      </c>
      <c r="D105" s="433" t="s">
        <v>126</v>
      </c>
      <c r="E105" s="256">
        <f>VLOOKUP(B105,'Resumen de Unidades'!$B$4:$Q$124,16,FALSE)</f>
        <v>26513</v>
      </c>
      <c r="F105" s="250">
        <f>VLOOKUP(B105,USD!$B$4:$Q$124,16,FALSE)</f>
        <v>37857.912699999993</v>
      </c>
      <c r="G105" s="423">
        <f>IFERROR(VLOOKUP(B105,BDFD!$B:$CE,80,FALSE),0)</f>
        <v>35053</v>
      </c>
      <c r="H105" s="423">
        <f>IFERROR(VLOOKUP(B105,BDFDUSD!$B:$AO,38,FALSE),0)</f>
        <v>59021.990000000005</v>
      </c>
      <c r="I105" s="250">
        <f>IFERROR(VLOOKUP(B105,BDPPTO!$B:$Q,16,FALSE),0)</f>
        <v>23081.599999999999</v>
      </c>
      <c r="J105" s="256">
        <f>IFERROR(VLOOKUP(B105,BDPPTOUSD!$B:$Q,16,FALSE),0)</f>
        <v>32953.528190000005</v>
      </c>
      <c r="K105" s="461">
        <f t="shared" si="44"/>
        <v>-0.24363107294668074</v>
      </c>
      <c r="L105" s="461">
        <f t="shared" si="45"/>
        <v>-0.35857952773195229</v>
      </c>
      <c r="M105" s="462">
        <f t="shared" si="36"/>
        <v>0.14866387078885354</v>
      </c>
      <c r="N105" s="462">
        <f t="shared" si="37"/>
        <v>0.14882729648014628</v>
      </c>
    </row>
    <row r="106" spans="1:28" x14ac:dyDescent="0.2">
      <c r="A106" s="33"/>
      <c r="B106" s="261">
        <v>13157</v>
      </c>
      <c r="C106" s="253"/>
      <c r="D106" s="433" t="s">
        <v>127</v>
      </c>
      <c r="E106" s="256">
        <f>VLOOKUP(B106,'Resumen de Unidades'!$B$4:$Q$124,16,FALSE)</f>
        <v>56217</v>
      </c>
      <c r="F106" s="250">
        <f>VLOOKUP(B106,USD!$B$4:$Q$124,16,FALSE)</f>
        <v>119764.69679999999</v>
      </c>
      <c r="G106" s="423">
        <f>IFERROR(VLOOKUP(B106,BDFD!$B:$CE,80,FALSE),0)</f>
        <v>28452</v>
      </c>
      <c r="H106" s="423">
        <f>IFERROR(VLOOKUP(B106,BDFDUSD!$B:$AO,38,FALSE),0)</f>
        <v>66841.83</v>
      </c>
      <c r="I106" s="250">
        <f>IFERROR(VLOOKUP(B106,BDPPTO!$B:$Q,16,FALSE),0)</f>
        <v>45367.199999999997</v>
      </c>
      <c r="J106" s="256">
        <f>IFERROR(VLOOKUP(B106,BDPPTOUSD!$B:$Q,16,FALSE),0)</f>
        <v>96672.557509433944</v>
      </c>
      <c r="K106" s="461">
        <f t="shared" si="44"/>
        <v>0.9758540700126529</v>
      </c>
      <c r="L106" s="461">
        <f t="shared" si="45"/>
        <v>0.79176268513294723</v>
      </c>
      <c r="M106" s="462">
        <f t="shared" si="36"/>
        <v>0.2391551605565255</v>
      </c>
      <c r="N106" s="462">
        <f t="shared" si="37"/>
        <v>0.23886964290059839</v>
      </c>
    </row>
    <row r="107" spans="1:28" x14ac:dyDescent="0.2">
      <c r="A107" s="33"/>
      <c r="B107" s="261">
        <v>13149</v>
      </c>
      <c r="C107" s="253"/>
      <c r="D107" s="433" t="s">
        <v>128</v>
      </c>
      <c r="E107" s="256">
        <f>VLOOKUP(B107,'Resumen de Unidades'!$B$4:$Q$124,16,FALSE)</f>
        <v>73665</v>
      </c>
      <c r="F107" s="250">
        <f>VLOOKUP(B107,USD!$B$4:$Q$124,16,FALSE)</f>
        <v>175941.486</v>
      </c>
      <c r="G107" s="423">
        <f>IFERROR(VLOOKUP(B107,BDFD!$B:$CE,80,FALSE),0)</f>
        <v>34795</v>
      </c>
      <c r="H107" s="423">
        <f>IFERROR(VLOOKUP(B107,BDFDUSD!$B:$AO,38,FALSE),0)</f>
        <v>92395.540000000008</v>
      </c>
      <c r="I107" s="250">
        <f>IFERROR(VLOOKUP(B107,BDPPTO!$B:$Q,16,FALSE),0)</f>
        <v>54003.100000000006</v>
      </c>
      <c r="J107" s="256">
        <f>IFERROR(VLOOKUP(B107,BDPPTOUSD!$B:$Q,16,FALSE),0)</f>
        <v>128269.16577530163</v>
      </c>
      <c r="K107" s="461">
        <f t="shared" si="44"/>
        <v>1.1171145279494181</v>
      </c>
      <c r="L107" s="461">
        <f t="shared" si="45"/>
        <v>0.90422055003953639</v>
      </c>
      <c r="M107" s="462">
        <f t="shared" si="36"/>
        <v>0.36408835789056537</v>
      </c>
      <c r="N107" s="462">
        <f t="shared" si="37"/>
        <v>0.37165845693741723</v>
      </c>
    </row>
    <row r="108" spans="1:28" x14ac:dyDescent="0.2">
      <c r="A108" s="33"/>
      <c r="B108" s="261">
        <v>13150</v>
      </c>
      <c r="C108" s="253"/>
      <c r="D108" s="433" t="s">
        <v>129</v>
      </c>
      <c r="E108" s="256">
        <f>VLOOKUP(B108,'Resumen de Unidades'!$B$4:$Q$124,16,FALSE)</f>
        <v>47312</v>
      </c>
      <c r="F108" s="250">
        <f>VLOOKUP(B108,USD!$B$4:$Q$124,16,FALSE)</f>
        <v>118696.3456</v>
      </c>
      <c r="G108" s="423">
        <f>IFERROR(VLOOKUP(B108,BDFD!$B:$CE,80,FALSE),0)</f>
        <v>24001</v>
      </c>
      <c r="H108" s="423">
        <f>IFERROR(VLOOKUP(B108,BDFDUSD!$B:$AO,38,FALSE),0)</f>
        <v>63598.87</v>
      </c>
      <c r="I108" s="250">
        <f>IFERROR(VLOOKUP(B108,BDPPTO!$B:$Q,16,FALSE),0)</f>
        <v>34687.599999999999</v>
      </c>
      <c r="J108" s="256">
        <f>IFERROR(VLOOKUP(B108,BDPPTOUSD!$B:$Q,16,FALSE),0)</f>
        <v>86093.071899007919</v>
      </c>
      <c r="K108" s="461">
        <f t="shared" si="44"/>
        <v>0.97125119786675551</v>
      </c>
      <c r="L108" s="461">
        <f t="shared" si="45"/>
        <v>0.86632790173787677</v>
      </c>
      <c r="M108" s="462">
        <f t="shared" si="36"/>
        <v>0.36394561745407589</v>
      </c>
      <c r="N108" s="462">
        <f t="shared" si="37"/>
        <v>0.37869799487742267</v>
      </c>
    </row>
    <row r="109" spans="1:28" x14ac:dyDescent="0.2">
      <c r="A109" s="33"/>
      <c r="B109" s="261">
        <v>13108</v>
      </c>
      <c r="C109" s="253"/>
      <c r="D109" s="433" t="s">
        <v>130</v>
      </c>
      <c r="E109" s="256">
        <f>VLOOKUP(B109,'Resumen de Unidades'!$B$4:$Q$124,16,FALSE)</f>
        <v>23964</v>
      </c>
      <c r="F109" s="250">
        <f>VLOOKUP(B109,USD!$B$4:$Q$124,16,FALSE)</f>
        <v>36271.910400000008</v>
      </c>
      <c r="G109" s="423">
        <f>IFERROR(VLOOKUP(B109,BDFD!$B:$CE,80,FALSE),0)</f>
        <v>25974</v>
      </c>
      <c r="H109" s="423">
        <f>IFERROR(VLOOKUP(B109,BDFDUSD!$B:$AO,38,FALSE),0)</f>
        <v>48586.79</v>
      </c>
      <c r="I109" s="250">
        <f>IFERROR(VLOOKUP(B109,BDPPTO!$B:$Q,16,FALSE),0)</f>
        <v>15595.900000000001</v>
      </c>
      <c r="J109" s="256">
        <f>IFERROR(VLOOKUP(B109,BDPPTOUSD!$B:$Q,16,FALSE),0)</f>
        <v>22971.928259809898</v>
      </c>
      <c r="K109" s="461">
        <f t="shared" si="44"/>
        <v>-7.7385077385077383E-2</v>
      </c>
      <c r="L109" s="461">
        <f t="shared" si="45"/>
        <v>-0.2534614779037675</v>
      </c>
      <c r="M109" s="462">
        <f t="shared" si="36"/>
        <v>0.53655768503260459</v>
      </c>
      <c r="N109" s="462">
        <f t="shared" si="37"/>
        <v>0.57896672798943227</v>
      </c>
    </row>
    <row r="110" spans="1:28" x14ac:dyDescent="0.2">
      <c r="A110" s="33"/>
      <c r="B110" s="261">
        <v>13151</v>
      </c>
      <c r="C110" s="253"/>
      <c r="D110" s="433" t="s">
        <v>131</v>
      </c>
      <c r="E110" s="256">
        <f>VLOOKUP(B110,'Resumen de Unidades'!$B$4:$Q$124,16,FALSE)</f>
        <v>19389</v>
      </c>
      <c r="F110" s="250">
        <f>VLOOKUP(B110,USD!$B$4:$Q$124,16,FALSE)</f>
        <v>32815.8825</v>
      </c>
      <c r="G110" s="423">
        <f>IFERROR(VLOOKUP(B110,BDFD!$B:$CE,80,FALSE),0)</f>
        <v>15148</v>
      </c>
      <c r="H110" s="423">
        <f>IFERROR(VLOOKUP(B110,BDFDUSD!$B:$AO,38,FALSE),0)</f>
        <v>28461.280000000002</v>
      </c>
      <c r="I110" s="250">
        <f>IFERROR(VLOOKUP(B110,BDPPTO!$B:$Q,16,FALSE),0)</f>
        <v>11255.599999999999</v>
      </c>
      <c r="J110" s="256">
        <f>IFERROR(VLOOKUP(B110,BDPPTOUSD!$B:$Q,16,FALSE),0)</f>
        <v>18658.384467056403</v>
      </c>
      <c r="K110" s="461">
        <f t="shared" si="44"/>
        <v>0.27997095326115656</v>
      </c>
      <c r="L110" s="461">
        <f t="shared" si="45"/>
        <v>0.15300093671120893</v>
      </c>
      <c r="M110" s="462">
        <f t="shared" si="36"/>
        <v>0.72260919009204327</v>
      </c>
      <c r="N110" s="462">
        <f t="shared" si="37"/>
        <v>0.7587740545244066</v>
      </c>
    </row>
    <row r="111" spans="1:28" x14ac:dyDescent="0.2">
      <c r="A111" s="33"/>
      <c r="B111" s="260">
        <v>13093</v>
      </c>
      <c r="C111" s="10"/>
      <c r="D111" s="49" t="s">
        <v>97</v>
      </c>
      <c r="E111" s="256">
        <f>VLOOKUP(B111,'Resumen de Unidades'!$B$4:$Q$124,16,FALSE)</f>
        <v>36171</v>
      </c>
      <c r="F111" s="250">
        <f>VLOOKUP(B111,USD!$B$4:$Q$124,16,FALSE)</f>
        <v>183282.0741</v>
      </c>
      <c r="G111" s="423">
        <f>IFERROR(VLOOKUP(B111,BDFD!$B:$CE,80,FALSE),0)</f>
        <v>24083</v>
      </c>
      <c r="H111" s="423">
        <f>IFERROR(VLOOKUP(B111,BDFDUSD!$B:$AO,38,FALSE),0)</f>
        <v>120130.67</v>
      </c>
      <c r="I111" s="250">
        <f>IFERROR(VLOOKUP(B111,BDPPTO!$B:$Q,16,FALSE),0)</f>
        <v>48100</v>
      </c>
      <c r="J111" s="256">
        <f>IFERROR(VLOOKUP(B111,BDPPTOUSD!$B:$Q,16,FALSE),0)</f>
        <v>242399.86763698628</v>
      </c>
      <c r="K111" s="461">
        <f t="shared" si="44"/>
        <v>0.50193082257193866</v>
      </c>
      <c r="L111" s="461">
        <f t="shared" si="45"/>
        <v>0.52568926902680224</v>
      </c>
      <c r="M111" s="462">
        <f t="shared" si="36"/>
        <v>-0.24800415800415801</v>
      </c>
      <c r="N111" s="462">
        <f t="shared" si="37"/>
        <v>-0.24388542004288566</v>
      </c>
    </row>
    <row r="112" spans="1:28" x14ac:dyDescent="0.2">
      <c r="A112" s="33"/>
      <c r="B112" s="260">
        <v>13091</v>
      </c>
      <c r="C112" s="10"/>
      <c r="D112" s="49" t="s">
        <v>98</v>
      </c>
      <c r="E112" s="256">
        <f>VLOOKUP(B112,'Resumen de Unidades'!$B$4:$Q$124,16,FALSE)</f>
        <v>44422</v>
      </c>
      <c r="F112" s="250">
        <f>VLOOKUP(B112,USD!$B$4:$Q$124,16,FALSE)</f>
        <v>230288.09020000001</v>
      </c>
      <c r="G112" s="423">
        <f>IFERROR(VLOOKUP(B112,BDFD!$B:$CE,80,FALSE),0)</f>
        <v>38372</v>
      </c>
      <c r="H112" s="423">
        <f>IFERROR(VLOOKUP(B112,BDFDUSD!$B:$AO,38,FALSE),0)</f>
        <v>196093.91</v>
      </c>
      <c r="I112" s="250">
        <f>IFERROR(VLOOKUP(B112,BDPPTO!$B:$Q,16,FALSE),0)</f>
        <v>60997</v>
      </c>
      <c r="J112" s="256">
        <f>IFERROR(VLOOKUP(B112,BDPPTOUSD!$B:$Q,16,FALSE),0)</f>
        <v>317450.94521487906</v>
      </c>
      <c r="K112" s="461">
        <f t="shared" si="44"/>
        <v>0.1576670488898155</v>
      </c>
      <c r="L112" s="461">
        <f t="shared" si="45"/>
        <v>0.1743765535604854</v>
      </c>
      <c r="M112" s="462">
        <f t="shared" si="36"/>
        <v>-0.27173467547584307</v>
      </c>
      <c r="N112" s="462">
        <f t="shared" si="37"/>
        <v>-0.27457109934222901</v>
      </c>
    </row>
    <row r="113" spans="1:28" x14ac:dyDescent="0.2">
      <c r="A113" s="33"/>
      <c r="B113" s="260">
        <v>13089</v>
      </c>
      <c r="C113" s="10"/>
      <c r="D113" s="49" t="s">
        <v>99</v>
      </c>
      <c r="E113" s="256">
        <f>VLOOKUP(B113,'Resumen de Unidades'!$B$4:$Q$124,16,FALSE)</f>
        <v>40710</v>
      </c>
      <c r="F113" s="250">
        <f>VLOOKUP(B113,USD!$B$4:$Q$124,16,FALSE)</f>
        <v>204978.92099999997</v>
      </c>
      <c r="G113" s="423">
        <f>IFERROR(VLOOKUP(B113,BDFD!$B:$CE,80,FALSE),0)</f>
        <v>34868</v>
      </c>
      <c r="H113" s="423">
        <f>IFERROR(VLOOKUP(B113,BDFDUSD!$B:$AO,38,FALSE),0)</f>
        <v>177505.99000000002</v>
      </c>
      <c r="I113" s="250">
        <f>IFERROR(VLOOKUP(B113,BDPPTO!$B:$Q,16,FALSE),0)</f>
        <v>64364</v>
      </c>
      <c r="J113" s="256">
        <f>IFERROR(VLOOKUP(B113,BDPPTOUSD!$B:$Q,16,FALSE),0)</f>
        <v>326800.25665256416</v>
      </c>
      <c r="K113" s="461">
        <f t="shared" si="44"/>
        <v>0.16754617414248021</v>
      </c>
      <c r="L113" s="461">
        <f t="shared" si="45"/>
        <v>0.15477185305126859</v>
      </c>
      <c r="M113" s="462">
        <f t="shared" si="36"/>
        <v>-0.36750357342613882</v>
      </c>
      <c r="N113" s="462">
        <f t="shared" si="37"/>
        <v>-0.37277001217926781</v>
      </c>
    </row>
    <row r="114" spans="1:28" x14ac:dyDescent="0.2">
      <c r="A114" s="33"/>
      <c r="B114" s="260"/>
      <c r="C114" s="257" t="s">
        <v>546</v>
      </c>
      <c r="D114" s="430"/>
      <c r="E114" s="469">
        <f>SUM(E102:E113)</f>
        <v>488783</v>
      </c>
      <c r="F114" s="469">
        <f t="shared" ref="F114:J114" si="46">SUM(F102:F113)</f>
        <v>1356352.9474999998</v>
      </c>
      <c r="G114" s="469">
        <f t="shared" si="46"/>
        <v>355727</v>
      </c>
      <c r="H114" s="469">
        <f t="shared" si="46"/>
        <v>1055409.0900000003</v>
      </c>
      <c r="I114" s="469">
        <f t="shared" si="46"/>
        <v>453060.9</v>
      </c>
      <c r="J114" s="469">
        <f t="shared" si="46"/>
        <v>1444358.8653721903</v>
      </c>
      <c r="K114" s="466">
        <f t="shared" si="44"/>
        <v>0.37403964275975676</v>
      </c>
      <c r="L114" s="466">
        <f t="shared" si="45"/>
        <v>0.28514427282410404</v>
      </c>
      <c r="M114" s="466">
        <f t="shared" si="36"/>
        <v>7.8846133047455594E-2</v>
      </c>
      <c r="N114" s="466">
        <f t="shared" si="37"/>
        <v>-6.0930783880716953E-2</v>
      </c>
      <c r="W114" s="104">
        <f>+E114</f>
        <v>488783</v>
      </c>
      <c r="X114" s="524">
        <f>+F114</f>
        <v>1356352.9474999998</v>
      </c>
      <c r="Y114" s="104">
        <f>+I114</f>
        <v>453060.9</v>
      </c>
      <c r="Z114" s="524">
        <f>+J114</f>
        <v>1444358.8653721903</v>
      </c>
      <c r="AA114" s="525">
        <f>+M114</f>
        <v>7.8846133047455594E-2</v>
      </c>
      <c r="AB114" s="525">
        <f>+N114</f>
        <v>-6.0930783880716953E-2</v>
      </c>
    </row>
    <row r="115" spans="1:28" x14ac:dyDescent="0.2">
      <c r="A115" s="33"/>
      <c r="B115" s="31">
        <v>19999</v>
      </c>
      <c r="C115" s="451" t="s">
        <v>102</v>
      </c>
      <c r="D115" s="294" t="s">
        <v>588</v>
      </c>
      <c r="E115" s="256">
        <f>VLOOKUP(B115,'Resumen de Unidades'!$B$4:$Q$124,16,FALSE)</f>
        <v>9040</v>
      </c>
      <c r="F115" s="250">
        <f>VLOOKUP(B115,USD!$B$4:$Q$124,16,FALSE)</f>
        <v>0</v>
      </c>
      <c r="G115" s="423">
        <f>IFERROR(VLOOKUP(B115,BDFD!$B:$CE,80,FALSE),0)</f>
        <v>0</v>
      </c>
      <c r="H115" s="423">
        <f>IFERROR(VLOOKUP(B115,BDFDUSD!$B:$AO,38,FALSE),0)</f>
        <v>0</v>
      </c>
      <c r="I115" s="250">
        <f>IFERROR(VLOOKUP(B115,BDPPTO!$B:$Q,16,FALSE),0)</f>
        <v>0</v>
      </c>
      <c r="J115" s="256">
        <f>IFERROR(VLOOKUP(B115,BDPPTOUSD!$B:$Q,16,FALSE),0)</f>
        <v>0</v>
      </c>
      <c r="K115" s="461">
        <f>IFERROR((E115-G115)/ABS(G115),0)</f>
        <v>0</v>
      </c>
      <c r="L115" s="461">
        <f>IFERROR((F115-H115)/ABS(H115),0)</f>
        <v>0</v>
      </c>
      <c r="M115" s="462">
        <f t="shared" si="36"/>
        <v>0</v>
      </c>
      <c r="N115" s="462">
        <f t="shared" si="37"/>
        <v>0</v>
      </c>
    </row>
    <row r="116" spans="1:28" x14ac:dyDescent="0.2">
      <c r="A116" s="33"/>
      <c r="B116" s="31">
        <v>29999</v>
      </c>
      <c r="C116" s="20"/>
      <c r="D116" s="294" t="s">
        <v>589</v>
      </c>
      <c r="E116" s="256">
        <f>VLOOKUP(B116,'Resumen de Unidades'!$B$4:$Q$124,16,FALSE)</f>
        <v>27100</v>
      </c>
      <c r="F116" s="250">
        <f>VLOOKUP(B116,USD!$B$4:$Q$124,16,FALSE)</f>
        <v>0</v>
      </c>
      <c r="G116" s="423">
        <f>IFERROR(VLOOKUP(B116,BDFD!$B:$CE,80,FALSE),0)</f>
        <v>0</v>
      </c>
      <c r="H116" s="423">
        <f>IFERROR(VLOOKUP(B116,BDFDUSD!$B:$AO,38,FALSE),0)</f>
        <v>0</v>
      </c>
      <c r="I116" s="250">
        <f>IFERROR(VLOOKUP(B116,BDPPTO!$B:$Q,16,FALSE),0)</f>
        <v>0</v>
      </c>
      <c r="J116" s="256">
        <f>IFERROR(VLOOKUP(B116,BDPPTOUSD!$B:$Q,16,FALSE),0)</f>
        <v>0</v>
      </c>
      <c r="K116" s="461">
        <f t="shared" ref="K116:L129" si="47">IFERROR((E116-G116)/ABS(G116),0)</f>
        <v>0</v>
      </c>
      <c r="L116" s="461">
        <f t="shared" ref="L116:L127" si="48">IFERROR((F116-H116)/ABS(H116),0)</f>
        <v>0</v>
      </c>
      <c r="M116" s="462">
        <f t="shared" si="36"/>
        <v>0</v>
      </c>
      <c r="N116" s="462">
        <f t="shared" si="37"/>
        <v>0</v>
      </c>
    </row>
    <row r="117" spans="1:28" x14ac:dyDescent="0.2">
      <c r="A117" s="33"/>
      <c r="B117" s="31">
        <v>39999</v>
      </c>
      <c r="C117" s="20"/>
      <c r="D117" s="263" t="s">
        <v>590</v>
      </c>
      <c r="E117" s="256">
        <f>VLOOKUP(B117,'Resumen de Unidades'!$B$4:$Q$124,16,FALSE)</f>
        <v>30250</v>
      </c>
      <c r="F117" s="250">
        <f>VLOOKUP(B117,USD!$B$4:$Q$124,16,FALSE)</f>
        <v>0</v>
      </c>
      <c r="G117" s="423">
        <f>IFERROR(VLOOKUP(B117,BDFD!$B:$CE,80,FALSE),0)</f>
        <v>0</v>
      </c>
      <c r="H117" s="423">
        <f>IFERROR(VLOOKUP(B117,BDFDUSD!$B:$AO,38,FALSE),0)</f>
        <v>0</v>
      </c>
      <c r="I117" s="250">
        <f>IFERROR(VLOOKUP(B117,BDPPTO!$B:$Q,16,FALSE),0)</f>
        <v>0</v>
      </c>
      <c r="J117" s="256">
        <f>IFERROR(VLOOKUP(B117,BDPPTOUSD!$B:$Q,16,FALSE),0)</f>
        <v>0</v>
      </c>
      <c r="K117" s="461">
        <f t="shared" si="47"/>
        <v>0</v>
      </c>
      <c r="L117" s="461">
        <f t="shared" si="48"/>
        <v>0</v>
      </c>
      <c r="M117" s="462">
        <f t="shared" si="36"/>
        <v>0</v>
      </c>
      <c r="N117" s="462">
        <f t="shared" si="37"/>
        <v>0</v>
      </c>
    </row>
    <row r="118" spans="1:28" x14ac:dyDescent="0.2">
      <c r="A118" s="33"/>
      <c r="B118" s="31">
        <v>49999</v>
      </c>
      <c r="C118" s="20"/>
      <c r="D118" s="263" t="s">
        <v>591</v>
      </c>
      <c r="E118" s="256">
        <f>VLOOKUP(B118,'Resumen de Unidades'!$B$4:$Q$124,16,FALSE)</f>
        <v>20300</v>
      </c>
      <c r="F118" s="250">
        <f>VLOOKUP(B118,USD!$B$4:$Q$124,16,FALSE)</f>
        <v>0</v>
      </c>
      <c r="G118" s="423">
        <f>IFERROR(VLOOKUP(B118,BDFD!$B:$CE,80,FALSE),0)</f>
        <v>0</v>
      </c>
      <c r="H118" s="423">
        <f>IFERROR(VLOOKUP(B118,BDFDUSD!$B:$AO,38,FALSE),0)</f>
        <v>0</v>
      </c>
      <c r="I118" s="250">
        <f>IFERROR(VLOOKUP(B118,BDPPTO!$B:$Q,16,FALSE),0)</f>
        <v>0</v>
      </c>
      <c r="J118" s="256">
        <f>IFERROR(VLOOKUP(B118,BDPPTOUSD!$B:$Q,16,FALSE),0)</f>
        <v>0</v>
      </c>
      <c r="K118" s="461">
        <f t="shared" si="47"/>
        <v>0</v>
      </c>
      <c r="L118" s="461">
        <f t="shared" si="48"/>
        <v>0</v>
      </c>
      <c r="M118" s="462">
        <f t="shared" si="36"/>
        <v>0</v>
      </c>
      <c r="N118" s="462">
        <f t="shared" si="37"/>
        <v>0</v>
      </c>
    </row>
    <row r="119" spans="1:28" x14ac:dyDescent="0.2">
      <c r="A119" s="33"/>
      <c r="B119" s="31"/>
      <c r="C119" s="257" t="s">
        <v>692</v>
      </c>
      <c r="D119" s="429"/>
      <c r="E119" s="469">
        <f>SUM(E115:E118)</f>
        <v>86690</v>
      </c>
      <c r="F119" s="469">
        <f t="shared" ref="F119:J119" si="49">SUM(F115:F118)</f>
        <v>0</v>
      </c>
      <c r="G119" s="469">
        <f t="shared" si="49"/>
        <v>0</v>
      </c>
      <c r="H119" s="469">
        <f t="shared" si="49"/>
        <v>0</v>
      </c>
      <c r="I119" s="469">
        <f t="shared" si="49"/>
        <v>0</v>
      </c>
      <c r="J119" s="469">
        <f t="shared" si="49"/>
        <v>0</v>
      </c>
      <c r="K119" s="466">
        <f t="shared" si="47"/>
        <v>0</v>
      </c>
      <c r="L119" s="466">
        <f t="shared" si="48"/>
        <v>0</v>
      </c>
      <c r="M119" s="466">
        <f t="shared" si="36"/>
        <v>0</v>
      </c>
      <c r="N119" s="466">
        <f t="shared" si="37"/>
        <v>0</v>
      </c>
      <c r="W119" s="104">
        <f>+E119</f>
        <v>86690</v>
      </c>
      <c r="X119" s="524">
        <f>+F119</f>
        <v>0</v>
      </c>
      <c r="Y119" s="104">
        <f>+I119</f>
        <v>0</v>
      </c>
      <c r="Z119" s="524">
        <f>+J119</f>
        <v>0</v>
      </c>
      <c r="AA119" s="525">
        <f>+M119</f>
        <v>0</v>
      </c>
      <c r="AB119" s="525">
        <f>+N119</f>
        <v>0</v>
      </c>
    </row>
    <row r="120" spans="1:28" x14ac:dyDescent="0.2">
      <c r="A120" s="33"/>
      <c r="B120" s="260">
        <v>13015</v>
      </c>
      <c r="C120" s="441" t="s">
        <v>103</v>
      </c>
      <c r="D120" s="51" t="s">
        <v>104</v>
      </c>
      <c r="E120" s="256">
        <f>VLOOKUP(B120,'Resumen de Unidades'!$B$4:$Q$124,16,FALSE)</f>
        <v>12373</v>
      </c>
      <c r="F120" s="250">
        <f>VLOOKUP(B120,USD!$B$4:$Q$124,16,FALSE)</f>
        <v>61217.768369999998</v>
      </c>
      <c r="G120" s="423">
        <f>IFERROR(VLOOKUP(B120,BDFD!$B:$CE,80,FALSE),0)</f>
        <v>10554</v>
      </c>
      <c r="H120" s="423">
        <f>IFERROR(VLOOKUP(B120,BDFDUSD!$B:$AO,38,FALSE),0)</f>
        <v>49027.66</v>
      </c>
      <c r="I120" s="250">
        <f>IFERROR(VLOOKUP(B120,BDPPTO!$B:$Q,16,FALSE),0)</f>
        <v>10334</v>
      </c>
      <c r="J120" s="256">
        <f>IFERROR(VLOOKUP(B120,BDPPTOUSD!$B:$Q,16,FALSE),0)</f>
        <v>47230.276948920138</v>
      </c>
      <c r="K120" s="461">
        <f t="shared" si="47"/>
        <v>0.17235171498957741</v>
      </c>
      <c r="L120" s="461">
        <f t="shared" si="48"/>
        <v>0.24863736857928756</v>
      </c>
      <c r="M120" s="462">
        <f t="shared" si="36"/>
        <v>0.19730985097735629</v>
      </c>
      <c r="N120" s="462">
        <f t="shared" si="37"/>
        <v>0.296155185289458</v>
      </c>
    </row>
    <row r="121" spans="1:28" x14ac:dyDescent="0.2">
      <c r="A121" s="33"/>
      <c r="B121" s="260">
        <v>13023</v>
      </c>
      <c r="C121" s="6"/>
      <c r="D121" s="434" t="s">
        <v>105</v>
      </c>
      <c r="E121" s="256">
        <f>VLOOKUP(B121,'Resumen de Unidades'!$B$4:$Q$124,16,FALSE)</f>
        <v>14036</v>
      </c>
      <c r="F121" s="250">
        <f>VLOOKUP(B121,USD!$B$4:$Q$124,16,FALSE)</f>
        <v>69007.994000000006</v>
      </c>
      <c r="G121" s="423">
        <f>IFERROR(VLOOKUP(B121,BDFD!$B:$CE,80,FALSE),0)</f>
        <v>10884</v>
      </c>
      <c r="H121" s="423">
        <f>IFERROR(VLOOKUP(B121,BDFDUSD!$B:$AO,38,FALSE),0)</f>
        <v>58910.89</v>
      </c>
      <c r="I121" s="250">
        <f>IFERROR(VLOOKUP(B121,BDPPTO!$B:$Q,16,FALSE),0)</f>
        <v>10861</v>
      </c>
      <c r="J121" s="256">
        <f>IFERROR(VLOOKUP(B121,BDPPTOUSD!$B:$Q,16,FALSE),0)</f>
        <v>61121.101337839966</v>
      </c>
      <c r="K121" s="461">
        <f t="shared" si="47"/>
        <v>0.2895994119808894</v>
      </c>
      <c r="L121" s="461">
        <f t="shared" si="48"/>
        <v>0.17139622232833363</v>
      </c>
      <c r="M121" s="462">
        <f t="shared" si="36"/>
        <v>0.29233035632078075</v>
      </c>
      <c r="N121" s="462">
        <f t="shared" si="37"/>
        <v>0.12903714902920571</v>
      </c>
    </row>
    <row r="122" spans="1:28" x14ac:dyDescent="0.2">
      <c r="A122" s="33"/>
      <c r="B122" s="260"/>
      <c r="C122" s="19" t="s">
        <v>521</v>
      </c>
      <c r="D122" s="425"/>
      <c r="E122" s="469">
        <f>SUM(E120:E121)</f>
        <v>26409</v>
      </c>
      <c r="F122" s="469">
        <f t="shared" ref="F122:J122" si="50">SUM(F120:F121)</f>
        <v>130225.76237000001</v>
      </c>
      <c r="G122" s="469">
        <f t="shared" si="50"/>
        <v>21438</v>
      </c>
      <c r="H122" s="469">
        <f t="shared" si="50"/>
        <v>107938.55</v>
      </c>
      <c r="I122" s="469">
        <f t="shared" si="50"/>
        <v>21195</v>
      </c>
      <c r="J122" s="469">
        <f t="shared" si="50"/>
        <v>108351.3782867601</v>
      </c>
      <c r="K122" s="466">
        <f t="shared" si="47"/>
        <v>0.2318779736915757</v>
      </c>
      <c r="L122" s="466">
        <f t="shared" si="48"/>
        <v>0.20648056111556073</v>
      </c>
      <c r="M122" s="466">
        <f t="shared" si="36"/>
        <v>0.24600141542816703</v>
      </c>
      <c r="N122" s="466">
        <f t="shared" si="37"/>
        <v>0.20188376400111596</v>
      </c>
      <c r="W122" s="104">
        <f>+E122</f>
        <v>26409</v>
      </c>
      <c r="X122" s="524">
        <f>+F122</f>
        <v>130225.76237000001</v>
      </c>
      <c r="Y122" s="104">
        <f>+I122</f>
        <v>21195</v>
      </c>
      <c r="Z122" s="524">
        <f>+J122</f>
        <v>108351.3782867601</v>
      </c>
      <c r="AA122" s="525">
        <f>+M122</f>
        <v>0.24600141542816703</v>
      </c>
      <c r="AB122" s="525">
        <f>+N122</f>
        <v>0.20188376400111596</v>
      </c>
    </row>
    <row r="123" spans="1:28" x14ac:dyDescent="0.2">
      <c r="A123" s="33"/>
      <c r="B123" s="261">
        <v>13145</v>
      </c>
      <c r="C123" s="448" t="s">
        <v>106</v>
      </c>
      <c r="D123" s="49" t="s">
        <v>107</v>
      </c>
      <c r="E123" s="256">
        <f>VLOOKUP(B123,'Resumen de Unidades'!$B$4:$Q$124,16,FALSE)</f>
        <v>30835</v>
      </c>
      <c r="F123" s="250">
        <f>VLOOKUP(B123,USD!$B$4:$Q$124,16,FALSE)</f>
        <v>181093.95500000005</v>
      </c>
      <c r="G123" s="423">
        <f>IFERROR(VLOOKUP(B123,BDFD!$B:$CE,80,FALSE),0)</f>
        <v>25080</v>
      </c>
      <c r="H123" s="423">
        <f>IFERROR(VLOOKUP(B123,BDFDUSD!$B:$AO,38,FALSE),0)</f>
        <v>164318.82</v>
      </c>
      <c r="I123" s="250">
        <f>IFERROR(VLOOKUP(B123,BDPPTO!$B:$Q,16,FALSE),0)</f>
        <v>25278</v>
      </c>
      <c r="J123" s="256">
        <f>IFERROR(VLOOKUP(B123,BDPPTOUSD!$B:$Q,16,FALSE),0)</f>
        <v>152490.19179394492</v>
      </c>
      <c r="K123" s="461">
        <f t="shared" si="47"/>
        <v>0.22946570972886762</v>
      </c>
      <c r="L123" s="461">
        <f t="shared" si="48"/>
        <v>0.10208894513726448</v>
      </c>
      <c r="M123" s="462">
        <f t="shared" si="36"/>
        <v>0.21983543001819764</v>
      </c>
      <c r="N123" s="462">
        <f t="shared" si="37"/>
        <v>0.18757772463626035</v>
      </c>
    </row>
    <row r="124" spans="1:28" x14ac:dyDescent="0.2">
      <c r="A124" s="33"/>
      <c r="B124" s="261"/>
      <c r="C124" s="439" t="s">
        <v>523</v>
      </c>
      <c r="D124" s="425"/>
      <c r="E124" s="469">
        <f>SUM(E123)</f>
        <v>30835</v>
      </c>
      <c r="F124" s="469">
        <f t="shared" ref="F124:J124" si="51">SUM(F123)</f>
        <v>181093.95500000005</v>
      </c>
      <c r="G124" s="469">
        <f t="shared" si="51"/>
        <v>25080</v>
      </c>
      <c r="H124" s="469">
        <f t="shared" si="51"/>
        <v>164318.82</v>
      </c>
      <c r="I124" s="469">
        <f t="shared" si="51"/>
        <v>25278</v>
      </c>
      <c r="J124" s="469">
        <f t="shared" si="51"/>
        <v>152490.19179394492</v>
      </c>
      <c r="K124" s="466">
        <f t="shared" si="47"/>
        <v>0.22946570972886762</v>
      </c>
      <c r="L124" s="466">
        <f t="shared" si="48"/>
        <v>0.10208894513726448</v>
      </c>
      <c r="M124" s="466">
        <f t="shared" si="36"/>
        <v>0.21983543001819764</v>
      </c>
      <c r="N124" s="466">
        <f t="shared" si="37"/>
        <v>0.18757772463626035</v>
      </c>
      <c r="W124" s="104">
        <f>+E124</f>
        <v>30835</v>
      </c>
      <c r="X124" s="524">
        <f>+F124</f>
        <v>181093.95500000005</v>
      </c>
      <c r="Y124" s="104">
        <f>+I124</f>
        <v>25278</v>
      </c>
      <c r="Z124" s="524">
        <f>+J124</f>
        <v>152490.19179394492</v>
      </c>
      <c r="AA124" s="525">
        <f>+M124</f>
        <v>0.21983543001819764</v>
      </c>
      <c r="AB124" s="525">
        <f>+N124</f>
        <v>0.18757772463626035</v>
      </c>
    </row>
    <row r="125" spans="1:28" x14ac:dyDescent="0.2">
      <c r="A125" s="33"/>
      <c r="B125" s="31">
        <v>13087</v>
      </c>
      <c r="C125" s="447" t="s">
        <v>108</v>
      </c>
      <c r="D125" s="49" t="s">
        <v>109</v>
      </c>
      <c r="E125" s="256">
        <f>VLOOKUP(B125,'Resumen de Unidades'!$B$4:$Q$124,16,FALSE)</f>
        <v>22829</v>
      </c>
      <c r="F125" s="250">
        <f>VLOOKUP(B125,USD!$B$4:$Q$124,16,FALSE)</f>
        <v>71327.840760000006</v>
      </c>
      <c r="G125" s="423">
        <f>IFERROR(VLOOKUP(B125,BDFD!$B:$CE,80,FALSE),0)</f>
        <v>32286</v>
      </c>
      <c r="H125" s="423">
        <f>IFERROR(VLOOKUP(B125,BDFDUSD!$B:$AO,38,FALSE),0)</f>
        <v>88371.16</v>
      </c>
      <c r="I125" s="250">
        <f>IFERROR(VLOOKUP(B125,BDPPTO!$B:$Q,16,FALSE),0)</f>
        <v>20309</v>
      </c>
      <c r="J125" s="256">
        <f>IFERROR(VLOOKUP(B125,BDPPTOUSD!$B:$Q,16,FALSE),0)</f>
        <v>60075.043682753647</v>
      </c>
      <c r="K125" s="461">
        <f t="shared" si="47"/>
        <v>-0.29291333705011457</v>
      </c>
      <c r="L125" s="461">
        <f t="shared" si="48"/>
        <v>-0.19286064865505892</v>
      </c>
      <c r="M125" s="462">
        <f t="shared" si="36"/>
        <v>0.12408291890294944</v>
      </c>
      <c r="N125" s="462">
        <f t="shared" si="37"/>
        <v>0.18731234115568049</v>
      </c>
    </row>
    <row r="126" spans="1:28" x14ac:dyDescent="0.2">
      <c r="A126" s="33"/>
      <c r="B126" s="419">
        <v>13085</v>
      </c>
      <c r="C126" s="10"/>
      <c r="D126" s="51" t="s">
        <v>110</v>
      </c>
      <c r="E126" s="256">
        <f>VLOOKUP(B126,'Resumen de Unidades'!$B$4:$Q$124,16,FALSE)</f>
        <v>11906</v>
      </c>
      <c r="F126" s="250">
        <f>VLOOKUP(B126,USD!$B$4:$Q$124,16,FALSE)</f>
        <v>101454.5978</v>
      </c>
      <c r="G126" s="423">
        <f>IFERROR(VLOOKUP(B126,BDFD!$B:$CE,80,FALSE),0)</f>
        <v>12243</v>
      </c>
      <c r="H126" s="423">
        <f>IFERROR(VLOOKUP(B126,BDFDUSD!$B:$AO,38,FALSE),0)</f>
        <v>84414.41</v>
      </c>
      <c r="I126" s="250">
        <f>IFERROR(VLOOKUP(B126,BDPPTO!$B:$Q,16,FALSE),0)</f>
        <v>6060</v>
      </c>
      <c r="J126" s="256">
        <f>IFERROR(VLOOKUP(B126,BDPPTOUSD!$B:$Q,16,FALSE),0)</f>
        <v>47462.669354838712</v>
      </c>
      <c r="K126" s="461">
        <f t="shared" si="47"/>
        <v>-2.7525933186310546E-2</v>
      </c>
      <c r="L126" s="461">
        <f t="shared" si="48"/>
        <v>0.20186349463320302</v>
      </c>
      <c r="M126" s="462">
        <f t="shared" si="36"/>
        <v>0.96468646864686469</v>
      </c>
      <c r="N126" s="462">
        <f t="shared" si="37"/>
        <v>1.1375662005334923</v>
      </c>
    </row>
    <row r="127" spans="1:28" x14ac:dyDescent="0.2">
      <c r="A127" s="33"/>
      <c r="B127" s="31"/>
      <c r="C127" s="257" t="s">
        <v>693</v>
      </c>
      <c r="D127" s="435"/>
      <c r="E127" s="469">
        <f>SUM(E125:E126)</f>
        <v>34735</v>
      </c>
      <c r="F127" s="469">
        <f t="shared" ref="F127:J127" si="52">SUM(F125:F126)</f>
        <v>172782.43856000001</v>
      </c>
      <c r="G127" s="469">
        <f t="shared" si="52"/>
        <v>44529</v>
      </c>
      <c r="H127" s="469">
        <f t="shared" si="52"/>
        <v>172785.57</v>
      </c>
      <c r="I127" s="469">
        <f t="shared" si="52"/>
        <v>26369</v>
      </c>
      <c r="J127" s="469">
        <f t="shared" si="52"/>
        <v>107537.71303759236</v>
      </c>
      <c r="K127" s="466">
        <f t="shared" si="47"/>
        <v>-0.21994655168541849</v>
      </c>
      <c r="L127" s="466">
        <f t="shared" si="48"/>
        <v>-1.8123272678368819E-5</v>
      </c>
      <c r="M127" s="466">
        <f t="shared" si="36"/>
        <v>0.31726648716295652</v>
      </c>
      <c r="N127" s="466">
        <f t="shared" si="37"/>
        <v>0.60671483221518585</v>
      </c>
      <c r="W127" s="104">
        <f>+E127</f>
        <v>34735</v>
      </c>
      <c r="X127" s="524">
        <f>+F127</f>
        <v>172782.43856000001</v>
      </c>
      <c r="Y127" s="104">
        <f>+I127</f>
        <v>26369</v>
      </c>
      <c r="Z127" s="524">
        <f>+J127</f>
        <v>107537.71303759236</v>
      </c>
      <c r="AA127" s="525">
        <f>+M127</f>
        <v>0.31726648716295652</v>
      </c>
      <c r="AB127" s="525">
        <f>+N127</f>
        <v>0.60671483221518585</v>
      </c>
    </row>
    <row r="128" spans="1:28" x14ac:dyDescent="0.2">
      <c r="A128" s="33"/>
      <c r="B128" s="3"/>
      <c r="C128" s="417"/>
      <c r="D128" s="56"/>
      <c r="E128" s="418"/>
      <c r="F128" s="418"/>
      <c r="G128" s="418"/>
      <c r="H128" s="418"/>
      <c r="I128" s="418"/>
      <c r="J128" s="418"/>
      <c r="K128" s="418"/>
      <c r="L128" s="418"/>
      <c r="M128" s="418"/>
      <c r="N128" s="418"/>
      <c r="W128" s="418"/>
      <c r="X128" s="418"/>
      <c r="Y128" s="418"/>
      <c r="Z128" s="418"/>
    </row>
    <row r="129" spans="1:28" x14ac:dyDescent="0.2">
      <c r="A129" s="33"/>
      <c r="B129" s="3"/>
      <c r="C129" s="28"/>
      <c r="D129" s="56" t="s">
        <v>150</v>
      </c>
      <c r="E129" s="58">
        <f>SUM(E82,E89,E95,E98,E101,E114,E119,E122,E124,E127)</f>
        <v>1381013</v>
      </c>
      <c r="F129" s="287">
        <f t="shared" ref="F129:J129" si="53">SUM(F82,F89,F95,F98,F101,F114,F119,F122,F124,F127)</f>
        <v>9339468.7966599986</v>
      </c>
      <c r="G129" s="58">
        <f t="shared" si="53"/>
        <v>864121</v>
      </c>
      <c r="H129" s="287">
        <f t="shared" si="53"/>
        <v>5877686.2400000012</v>
      </c>
      <c r="I129" s="58">
        <f t="shared" si="53"/>
        <v>1216442.8999999999</v>
      </c>
      <c r="J129" s="287">
        <f t="shared" si="53"/>
        <v>9152087.7368320413</v>
      </c>
      <c r="K129" s="321">
        <f t="shared" si="47"/>
        <v>0.59817085801641201</v>
      </c>
      <c r="L129" s="321">
        <f t="shared" si="47"/>
        <v>0.58897028784918548</v>
      </c>
      <c r="M129" s="321">
        <f t="shared" si="36"/>
        <v>0.13528797775875884</v>
      </c>
      <c r="N129" s="321">
        <f t="shared" si="36"/>
        <v>2.0474132811670195E-2</v>
      </c>
      <c r="W129" s="58">
        <f t="shared" ref="W129:Z129" si="54">SUM(W82,W89,W95,W98,W101,W114,W119,W122,W124,W127)</f>
        <v>1332113</v>
      </c>
      <c r="X129" s="58">
        <f t="shared" si="54"/>
        <v>9099584.9566599987</v>
      </c>
      <c r="Y129" s="58">
        <f t="shared" si="54"/>
        <v>1189966.8999999999</v>
      </c>
      <c r="Z129" s="58">
        <f t="shared" si="54"/>
        <v>9005800.3659547828</v>
      </c>
      <c r="AA129" s="526">
        <f>+W129/Y129-1</f>
        <v>0.119453826824931</v>
      </c>
      <c r="AB129" s="526">
        <f>+X129/Z129-1</f>
        <v>1.0413798540300334E-2</v>
      </c>
    </row>
    <row r="130" spans="1:28" ht="13.5" thickBot="1" x14ac:dyDescent="0.25">
      <c r="A130" s="33"/>
      <c r="B130" s="3"/>
      <c r="C130" s="29"/>
      <c r="D130" s="57"/>
      <c r="E130" s="58"/>
      <c r="F130" s="58"/>
      <c r="G130" s="418"/>
      <c r="H130" s="418"/>
      <c r="I130" s="418"/>
      <c r="J130" s="418"/>
      <c r="K130" s="418"/>
      <c r="L130" s="418"/>
      <c r="M130" s="58"/>
      <c r="N130" s="58"/>
      <c r="W130" s="418"/>
      <c r="X130" s="418"/>
      <c r="Y130" s="418"/>
      <c r="Z130" s="418"/>
    </row>
    <row r="131" spans="1:28" s="33" customFormat="1" ht="13.5" thickBot="1" x14ac:dyDescent="0.25">
      <c r="B131" s="35"/>
      <c r="C131" s="36"/>
      <c r="D131" s="45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V131" s="527"/>
    </row>
    <row r="132" spans="1:28" x14ac:dyDescent="0.2">
      <c r="A132" s="33"/>
      <c r="B132" s="3"/>
      <c r="C132" s="27"/>
      <c r="D132" s="55"/>
      <c r="E132" s="58"/>
      <c r="F132" s="58"/>
      <c r="G132" s="287"/>
      <c r="H132" s="287"/>
      <c r="I132" s="287"/>
      <c r="J132" s="287"/>
      <c r="K132" s="287"/>
      <c r="L132" s="287"/>
      <c r="M132" s="58"/>
      <c r="N132" s="58"/>
      <c r="W132" s="287"/>
      <c r="X132" s="287"/>
      <c r="Y132" s="287"/>
      <c r="Z132" s="287"/>
    </row>
    <row r="133" spans="1:28" x14ac:dyDescent="0.2">
      <c r="A133" s="33"/>
      <c r="B133" s="3"/>
      <c r="C133" s="490" t="s">
        <v>151</v>
      </c>
      <c r="D133" s="491"/>
      <c r="E133" s="58">
        <f>SUM(E72,E129)</f>
        <v>2562511</v>
      </c>
      <c r="F133" s="287">
        <f t="shared" ref="F133:J133" si="55">SUM(F72,F129)</f>
        <v>17741430.693923999</v>
      </c>
      <c r="G133" s="58">
        <f t="shared" si="55"/>
        <v>1822650</v>
      </c>
      <c r="H133" s="287">
        <f t="shared" si="55"/>
        <v>12940773.480000002</v>
      </c>
      <c r="I133" s="58">
        <f t="shared" si="55"/>
        <v>2347986.9</v>
      </c>
      <c r="J133" s="287">
        <f t="shared" si="55"/>
        <v>17280916.047595575</v>
      </c>
      <c r="K133" s="321">
        <f t="shared" ref="K133:L133" si="56">IFERROR((E133-G133)/ABS(G133),0)</f>
        <v>0.40592598688722464</v>
      </c>
      <c r="L133" s="321">
        <f t="shared" si="56"/>
        <v>0.37097142773910879</v>
      </c>
      <c r="M133" s="321">
        <f t="shared" ref="M133:N133" si="57">IFERROR((E133-I133)/ABS(I133),0)</f>
        <v>9.136511792293224E-2</v>
      </c>
      <c r="N133" s="321">
        <f t="shared" si="57"/>
        <v>2.6648740440614434E-2</v>
      </c>
      <c r="W133" s="58">
        <f t="shared" ref="W133:Z133" si="58">SUM(W72,W129)</f>
        <v>1560992</v>
      </c>
      <c r="X133" s="58">
        <f t="shared" si="58"/>
        <v>10861753.31126</v>
      </c>
      <c r="Y133" s="58">
        <f t="shared" si="58"/>
        <v>1407905.9</v>
      </c>
      <c r="Z133" s="58">
        <f t="shared" si="58"/>
        <v>10713265.147183903</v>
      </c>
      <c r="AA133" s="526">
        <f>+W133/Y133-1</f>
        <v>0.10873319019403227</v>
      </c>
      <c r="AB133" s="526">
        <f>+X133/Z133-1</f>
        <v>1.3860215539902798E-2</v>
      </c>
    </row>
    <row r="134" spans="1:28" ht="13.5" thickBot="1" x14ac:dyDescent="0.25">
      <c r="A134" s="33"/>
      <c r="B134" s="3"/>
      <c r="C134" s="29"/>
      <c r="D134" s="57"/>
      <c r="E134" s="58"/>
      <c r="F134" s="287"/>
      <c r="G134" s="287"/>
      <c r="H134" s="287"/>
      <c r="I134" s="287"/>
      <c r="J134" s="287"/>
      <c r="K134" s="287"/>
      <c r="L134" s="287"/>
      <c r="M134" s="287"/>
      <c r="N134" s="287"/>
      <c r="W134" s="287"/>
      <c r="X134" s="287"/>
      <c r="Y134" s="287"/>
      <c r="Z134" s="287"/>
    </row>
    <row r="135" spans="1:28" s="53" customFormat="1" x14ac:dyDescent="0.2">
      <c r="D135" s="54"/>
      <c r="H135" s="523"/>
      <c r="V135" s="527"/>
    </row>
    <row r="136" spans="1:28" s="53" customFormat="1" x14ac:dyDescent="0.2">
      <c r="D136" s="54"/>
      <c r="V136" s="527"/>
    </row>
    <row r="137" spans="1:28" s="53" customFormat="1" x14ac:dyDescent="0.2">
      <c r="D137" s="54"/>
      <c r="V137" s="527"/>
    </row>
    <row r="138" spans="1:28" s="53" customFormat="1" x14ac:dyDescent="0.2">
      <c r="D138" s="54"/>
      <c r="V138" s="527"/>
    </row>
    <row r="139" spans="1:28" s="53" customFormat="1" x14ac:dyDescent="0.2">
      <c r="D139" s="54"/>
      <c r="V139" s="527"/>
    </row>
    <row r="140" spans="1:28" s="53" customFormat="1" x14ac:dyDescent="0.2">
      <c r="D140" s="54"/>
      <c r="V140" s="527"/>
    </row>
    <row r="141" spans="1:28" s="53" customFormat="1" x14ac:dyDescent="0.2">
      <c r="D141" s="54"/>
      <c r="V141" s="527"/>
    </row>
    <row r="142" spans="1:28" s="53" customFormat="1" x14ac:dyDescent="0.2">
      <c r="D142" s="54"/>
      <c r="V142" s="527"/>
    </row>
    <row r="143" spans="1:28" s="53" customFormat="1" x14ac:dyDescent="0.2">
      <c r="D143" s="54"/>
      <c r="V143" s="527"/>
    </row>
    <row r="144" spans="1:28" x14ac:dyDescent="0.2">
      <c r="G144" s="53"/>
      <c r="H144" s="53"/>
      <c r="I144" s="53"/>
      <c r="J144" s="53"/>
      <c r="K144" s="53"/>
      <c r="L144" s="53"/>
    </row>
    <row r="145" spans="7:12" x14ac:dyDescent="0.2">
      <c r="G145" s="53"/>
      <c r="H145" s="53"/>
      <c r="I145" s="53"/>
      <c r="J145" s="53"/>
      <c r="K145" s="53"/>
      <c r="L145" s="53"/>
    </row>
    <row r="146" spans="7:12" x14ac:dyDescent="0.2">
      <c r="G146" s="53"/>
      <c r="H146" s="53"/>
      <c r="I146" s="53"/>
      <c r="J146" s="53"/>
      <c r="K146" s="53"/>
      <c r="L146" s="53"/>
    </row>
    <row r="147" spans="7:12" x14ac:dyDescent="0.2">
      <c r="G147" s="53"/>
      <c r="H147" s="53"/>
      <c r="I147" s="53"/>
      <c r="J147" s="53"/>
      <c r="K147" s="53"/>
      <c r="L147" s="53"/>
    </row>
    <row r="148" spans="7:12" x14ac:dyDescent="0.2">
      <c r="G148" s="53"/>
      <c r="H148" s="53"/>
      <c r="I148" s="53"/>
      <c r="J148" s="53"/>
      <c r="K148" s="53"/>
      <c r="L148" s="53"/>
    </row>
    <row r="149" spans="7:12" x14ac:dyDescent="0.2">
      <c r="G149" s="53"/>
      <c r="H149" s="53"/>
      <c r="I149" s="53"/>
      <c r="J149" s="53"/>
      <c r="K149" s="53"/>
      <c r="L149" s="53"/>
    </row>
    <row r="150" spans="7:12" x14ac:dyDescent="0.2">
      <c r="G150" s="53"/>
      <c r="H150" s="53"/>
      <c r="I150" s="53"/>
      <c r="J150" s="53"/>
      <c r="K150" s="53"/>
      <c r="L150" s="53"/>
    </row>
    <row r="151" spans="7:12" x14ac:dyDescent="0.2">
      <c r="G151" s="53"/>
      <c r="H151" s="53"/>
      <c r="I151" s="53"/>
      <c r="J151" s="53"/>
      <c r="K151" s="53"/>
      <c r="L151" s="53"/>
    </row>
    <row r="152" spans="7:12" x14ac:dyDescent="0.2">
      <c r="G152" s="53"/>
      <c r="H152" s="53"/>
      <c r="I152" s="53"/>
      <c r="J152" s="53"/>
      <c r="K152" s="53"/>
      <c r="L152" s="53"/>
    </row>
    <row r="153" spans="7:12" x14ac:dyDescent="0.2">
      <c r="G153" s="53"/>
      <c r="H153" s="53"/>
      <c r="I153" s="53"/>
      <c r="J153" s="53"/>
      <c r="K153" s="53"/>
      <c r="L153" s="53"/>
    </row>
    <row r="154" spans="7:12" x14ac:dyDescent="0.2">
      <c r="G154" s="53"/>
      <c r="H154" s="53"/>
      <c r="I154" s="53"/>
      <c r="J154" s="53"/>
      <c r="K154" s="53"/>
      <c r="L154" s="53"/>
    </row>
    <row r="155" spans="7:12" x14ac:dyDescent="0.2">
      <c r="G155" s="53"/>
      <c r="H155" s="53"/>
      <c r="I155" s="53"/>
      <c r="J155" s="53"/>
      <c r="K155" s="53"/>
      <c r="L155" s="53"/>
    </row>
    <row r="156" spans="7:12" x14ac:dyDescent="0.2">
      <c r="G156" s="53"/>
      <c r="H156" s="53"/>
      <c r="I156" s="53"/>
      <c r="J156" s="53"/>
      <c r="K156" s="53"/>
      <c r="L156" s="53"/>
    </row>
    <row r="157" spans="7:12" x14ac:dyDescent="0.2">
      <c r="G157" s="53"/>
      <c r="H157" s="53"/>
      <c r="I157" s="53"/>
      <c r="J157" s="53"/>
      <c r="K157" s="53"/>
      <c r="L157" s="53"/>
    </row>
    <row r="158" spans="7:12" x14ac:dyDescent="0.2">
      <c r="G158" s="53"/>
      <c r="H158" s="53"/>
      <c r="I158" s="53"/>
      <c r="J158" s="53"/>
      <c r="K158" s="53"/>
      <c r="L158" s="53"/>
    </row>
    <row r="159" spans="7:12" x14ac:dyDescent="0.2">
      <c r="G159" s="53"/>
      <c r="H159" s="53"/>
      <c r="I159" s="53"/>
      <c r="J159" s="53"/>
      <c r="K159" s="53"/>
      <c r="L159" s="53"/>
    </row>
    <row r="160" spans="7:12" x14ac:dyDescent="0.2">
      <c r="G160" s="53"/>
      <c r="H160" s="53"/>
      <c r="I160" s="53"/>
      <c r="J160" s="53"/>
      <c r="K160" s="53"/>
      <c r="L160" s="53"/>
    </row>
    <row r="161" spans="7:12" x14ac:dyDescent="0.2">
      <c r="G161" s="53"/>
      <c r="H161" s="53"/>
      <c r="I161" s="53"/>
      <c r="J161" s="53"/>
      <c r="K161" s="53"/>
      <c r="L161" s="53"/>
    </row>
    <row r="162" spans="7:12" x14ac:dyDescent="0.2">
      <c r="G162" s="53"/>
      <c r="H162" s="53"/>
      <c r="I162" s="53"/>
      <c r="J162" s="53"/>
      <c r="K162" s="53"/>
      <c r="L162" s="53"/>
    </row>
    <row r="163" spans="7:12" x14ac:dyDescent="0.2">
      <c r="G163" s="53"/>
      <c r="H163" s="53"/>
      <c r="I163" s="53"/>
      <c r="J163" s="53"/>
      <c r="K163" s="53"/>
      <c r="L163" s="53"/>
    </row>
    <row r="164" spans="7:12" x14ac:dyDescent="0.2">
      <c r="G164" s="53"/>
      <c r="H164" s="53"/>
      <c r="I164" s="53"/>
      <c r="J164" s="53"/>
      <c r="K164" s="53"/>
      <c r="L164" s="53"/>
    </row>
    <row r="165" spans="7:12" x14ac:dyDescent="0.2">
      <c r="G165" s="53"/>
      <c r="H165" s="53"/>
      <c r="I165" s="53"/>
      <c r="J165" s="53"/>
      <c r="K165" s="53"/>
      <c r="L165" s="53"/>
    </row>
    <row r="166" spans="7:12" x14ac:dyDescent="0.2">
      <c r="G166" s="53"/>
      <c r="H166" s="53"/>
      <c r="I166" s="53"/>
      <c r="J166" s="53"/>
      <c r="K166" s="53"/>
      <c r="L166" s="53"/>
    </row>
    <row r="167" spans="7:12" x14ac:dyDescent="0.2">
      <c r="G167" s="53"/>
      <c r="H167" s="53"/>
      <c r="I167" s="53"/>
      <c r="J167" s="53"/>
      <c r="K167" s="53"/>
      <c r="L167" s="53"/>
    </row>
    <row r="168" spans="7:12" x14ac:dyDescent="0.2">
      <c r="G168" s="53"/>
      <c r="H168" s="53"/>
      <c r="I168" s="53"/>
      <c r="J168" s="53"/>
      <c r="K168" s="53"/>
      <c r="L168" s="53"/>
    </row>
    <row r="169" spans="7:12" x14ac:dyDescent="0.2">
      <c r="G169" s="53"/>
      <c r="H169" s="53"/>
      <c r="I169" s="53"/>
      <c r="J169" s="53"/>
      <c r="K169" s="53"/>
      <c r="L169" s="53"/>
    </row>
    <row r="170" spans="7:12" x14ac:dyDescent="0.2">
      <c r="G170" s="53"/>
      <c r="H170" s="53"/>
      <c r="I170" s="53"/>
      <c r="J170" s="53"/>
      <c r="K170" s="53"/>
      <c r="L170" s="53"/>
    </row>
    <row r="171" spans="7:12" x14ac:dyDescent="0.2">
      <c r="G171" s="53"/>
      <c r="H171" s="53"/>
      <c r="I171" s="53"/>
      <c r="J171" s="53"/>
      <c r="K171" s="53"/>
      <c r="L171" s="53"/>
    </row>
    <row r="172" spans="7:12" x14ac:dyDescent="0.2">
      <c r="G172" s="53"/>
      <c r="H172" s="53"/>
      <c r="I172" s="53"/>
      <c r="J172" s="53"/>
      <c r="K172" s="53"/>
      <c r="L172" s="53"/>
    </row>
    <row r="173" spans="7:12" x14ac:dyDescent="0.2">
      <c r="G173" s="53"/>
      <c r="H173" s="53"/>
      <c r="I173" s="53"/>
      <c r="J173" s="53"/>
      <c r="K173" s="53"/>
      <c r="L173" s="53"/>
    </row>
    <row r="174" spans="7:12" x14ac:dyDescent="0.2">
      <c r="G174" s="53"/>
      <c r="H174" s="53"/>
      <c r="I174" s="53"/>
      <c r="J174" s="53"/>
      <c r="K174" s="53"/>
      <c r="L174" s="53"/>
    </row>
    <row r="175" spans="7:12" x14ac:dyDescent="0.2">
      <c r="G175" s="53"/>
      <c r="H175" s="53"/>
      <c r="I175" s="53"/>
      <c r="J175" s="53"/>
      <c r="K175" s="53"/>
      <c r="L175" s="53"/>
    </row>
    <row r="176" spans="7:12" x14ac:dyDescent="0.2">
      <c r="G176" s="53"/>
      <c r="H176" s="53"/>
      <c r="I176" s="53"/>
      <c r="J176" s="53"/>
      <c r="K176" s="53"/>
      <c r="L176" s="53"/>
    </row>
    <row r="177" spans="7:12" x14ac:dyDescent="0.2">
      <c r="G177" s="53"/>
      <c r="H177" s="53"/>
      <c r="I177" s="53"/>
      <c r="J177" s="53"/>
      <c r="K177" s="53"/>
      <c r="L177" s="53"/>
    </row>
    <row r="178" spans="7:12" x14ac:dyDescent="0.2">
      <c r="G178" s="53"/>
      <c r="H178" s="53"/>
      <c r="I178" s="53"/>
      <c r="J178" s="53"/>
      <c r="K178" s="53"/>
      <c r="L178" s="53"/>
    </row>
    <row r="179" spans="7:12" x14ac:dyDescent="0.2">
      <c r="G179" s="53"/>
      <c r="H179" s="53"/>
      <c r="I179" s="53"/>
      <c r="J179" s="53"/>
      <c r="K179" s="53"/>
      <c r="L179" s="53"/>
    </row>
    <row r="180" spans="7:12" x14ac:dyDescent="0.2">
      <c r="G180" s="53"/>
      <c r="H180" s="53"/>
      <c r="I180" s="53"/>
      <c r="J180" s="53"/>
      <c r="K180" s="53"/>
      <c r="L180" s="53"/>
    </row>
    <row r="181" spans="7:12" x14ac:dyDescent="0.2">
      <c r="G181" s="53"/>
      <c r="H181" s="53"/>
      <c r="I181" s="53"/>
      <c r="J181" s="53"/>
      <c r="K181" s="53"/>
      <c r="L181" s="53"/>
    </row>
    <row r="182" spans="7:12" x14ac:dyDescent="0.2">
      <c r="G182" s="53"/>
      <c r="H182" s="53"/>
      <c r="I182" s="53"/>
      <c r="J182" s="53"/>
      <c r="K182" s="53"/>
      <c r="L182" s="53"/>
    </row>
    <row r="183" spans="7:12" x14ac:dyDescent="0.2">
      <c r="G183" s="53"/>
      <c r="H183" s="53"/>
      <c r="I183" s="53"/>
      <c r="J183" s="53"/>
      <c r="K183" s="53"/>
      <c r="L183" s="53"/>
    </row>
    <row r="184" spans="7:12" x14ac:dyDescent="0.2">
      <c r="G184" s="53"/>
      <c r="H184" s="53"/>
      <c r="I184" s="53"/>
      <c r="J184" s="53"/>
      <c r="K184" s="53"/>
      <c r="L184" s="53"/>
    </row>
    <row r="185" spans="7:12" x14ac:dyDescent="0.2">
      <c r="G185" s="53"/>
      <c r="H185" s="53"/>
      <c r="I185" s="53"/>
      <c r="J185" s="53"/>
      <c r="K185" s="53"/>
      <c r="L185" s="53"/>
    </row>
    <row r="186" spans="7:12" x14ac:dyDescent="0.2">
      <c r="G186" s="53"/>
      <c r="H186" s="53"/>
      <c r="I186" s="53"/>
      <c r="J186" s="53"/>
      <c r="K186" s="53"/>
      <c r="L186" s="53"/>
    </row>
    <row r="187" spans="7:12" x14ac:dyDescent="0.2">
      <c r="G187" s="53"/>
      <c r="H187" s="53"/>
      <c r="I187" s="53"/>
      <c r="J187" s="53"/>
      <c r="K187" s="53"/>
      <c r="L187" s="53"/>
    </row>
    <row r="188" spans="7:12" x14ac:dyDescent="0.2">
      <c r="G188" s="53"/>
      <c r="H188" s="53"/>
      <c r="I188" s="53"/>
      <c r="J188" s="53"/>
      <c r="K188" s="53"/>
      <c r="L188" s="53"/>
    </row>
    <row r="189" spans="7:12" x14ac:dyDescent="0.2">
      <c r="G189" s="53"/>
      <c r="H189" s="53"/>
      <c r="I189" s="53"/>
      <c r="J189" s="53"/>
      <c r="K189" s="53"/>
      <c r="L189" s="53"/>
    </row>
    <row r="190" spans="7:12" x14ac:dyDescent="0.2">
      <c r="G190" s="53"/>
      <c r="H190" s="53"/>
      <c r="I190" s="53"/>
      <c r="J190" s="53"/>
      <c r="K190" s="53"/>
      <c r="L190" s="53"/>
    </row>
    <row r="191" spans="7:12" x14ac:dyDescent="0.2">
      <c r="G191" s="53"/>
      <c r="H191" s="53"/>
      <c r="I191" s="53"/>
      <c r="J191" s="53"/>
      <c r="K191" s="53"/>
      <c r="L191" s="53"/>
    </row>
    <row r="192" spans="7:12" x14ac:dyDescent="0.2">
      <c r="G192" s="53"/>
      <c r="H192" s="53"/>
      <c r="I192" s="53"/>
      <c r="J192" s="53"/>
      <c r="K192" s="53"/>
      <c r="L192" s="53"/>
    </row>
    <row r="193" spans="7:12" x14ac:dyDescent="0.2">
      <c r="G193" s="53"/>
      <c r="H193" s="53"/>
      <c r="I193" s="53"/>
      <c r="J193" s="53"/>
      <c r="K193" s="53"/>
      <c r="L193" s="53"/>
    </row>
    <row r="194" spans="7:12" x14ac:dyDescent="0.2">
      <c r="G194" s="53"/>
      <c r="H194" s="53"/>
      <c r="I194" s="53"/>
      <c r="J194" s="53"/>
      <c r="K194" s="53"/>
      <c r="L194" s="53"/>
    </row>
    <row r="195" spans="7:12" x14ac:dyDescent="0.2">
      <c r="G195" s="53"/>
      <c r="H195" s="53"/>
      <c r="I195" s="53"/>
      <c r="J195" s="53"/>
      <c r="K195" s="53"/>
      <c r="L195" s="53"/>
    </row>
    <row r="196" spans="7:12" x14ac:dyDescent="0.2">
      <c r="G196" s="53"/>
      <c r="H196" s="53"/>
      <c r="I196" s="53"/>
      <c r="J196" s="53"/>
      <c r="K196" s="53"/>
      <c r="L196" s="53"/>
    </row>
    <row r="197" spans="7:12" x14ac:dyDescent="0.2">
      <c r="G197" s="53"/>
      <c r="H197" s="53"/>
      <c r="I197" s="53"/>
      <c r="J197" s="53"/>
      <c r="K197" s="53"/>
      <c r="L197" s="53"/>
    </row>
    <row r="198" spans="7:12" x14ac:dyDescent="0.2">
      <c r="G198" s="53"/>
      <c r="H198" s="53"/>
      <c r="I198" s="53"/>
      <c r="J198" s="53"/>
      <c r="K198" s="53"/>
      <c r="L198" s="53"/>
    </row>
    <row r="199" spans="7:12" x14ac:dyDescent="0.2">
      <c r="G199" s="53"/>
      <c r="H199" s="53"/>
      <c r="I199" s="53"/>
      <c r="J199" s="53"/>
      <c r="K199" s="53"/>
      <c r="L199" s="53"/>
    </row>
    <row r="200" spans="7:12" x14ac:dyDescent="0.2">
      <c r="G200" s="53"/>
      <c r="H200" s="53"/>
      <c r="I200" s="53"/>
      <c r="J200" s="53"/>
      <c r="K200" s="53"/>
      <c r="L200" s="53"/>
    </row>
    <row r="201" spans="7:12" x14ac:dyDescent="0.2">
      <c r="G201" s="53"/>
      <c r="H201" s="53"/>
      <c r="I201" s="53"/>
      <c r="J201" s="53"/>
      <c r="K201" s="53"/>
      <c r="L201" s="53"/>
    </row>
    <row r="202" spans="7:12" x14ac:dyDescent="0.2">
      <c r="G202" s="53"/>
      <c r="H202" s="53"/>
      <c r="I202" s="53"/>
      <c r="J202" s="53"/>
      <c r="K202" s="53"/>
      <c r="L202" s="53"/>
    </row>
    <row r="203" spans="7:12" x14ac:dyDescent="0.2">
      <c r="G203" s="53"/>
      <c r="H203" s="53"/>
      <c r="I203" s="53"/>
      <c r="J203" s="53"/>
      <c r="K203" s="53"/>
      <c r="L203" s="53"/>
    </row>
    <row r="204" spans="7:12" x14ac:dyDescent="0.2">
      <c r="G204" s="53"/>
      <c r="H204" s="53"/>
      <c r="I204" s="53"/>
      <c r="J204" s="53"/>
      <c r="K204" s="53"/>
      <c r="L204" s="53"/>
    </row>
    <row r="205" spans="7:12" x14ac:dyDescent="0.2">
      <c r="G205" s="53"/>
      <c r="H205" s="53"/>
      <c r="I205" s="53"/>
      <c r="J205" s="53"/>
      <c r="K205" s="53"/>
      <c r="L205" s="53"/>
    </row>
    <row r="206" spans="7:12" x14ac:dyDescent="0.2">
      <c r="G206" s="53"/>
      <c r="H206" s="53"/>
      <c r="I206" s="53"/>
      <c r="J206" s="53"/>
      <c r="K206" s="53"/>
      <c r="L206" s="53"/>
    </row>
    <row r="207" spans="7:12" x14ac:dyDescent="0.2">
      <c r="G207" s="53"/>
      <c r="H207" s="53"/>
      <c r="I207" s="53"/>
      <c r="J207" s="53"/>
      <c r="K207" s="53"/>
      <c r="L207" s="53"/>
    </row>
    <row r="208" spans="7:12" x14ac:dyDescent="0.2">
      <c r="G208" s="53"/>
      <c r="H208" s="53"/>
      <c r="I208" s="53"/>
      <c r="J208" s="53"/>
      <c r="K208" s="53"/>
      <c r="L208" s="53"/>
    </row>
    <row r="209" spans="7:12" x14ac:dyDescent="0.2">
      <c r="G209" s="53"/>
      <c r="H209" s="53"/>
      <c r="I209" s="53"/>
      <c r="J209" s="53"/>
      <c r="K209" s="53"/>
      <c r="L209" s="53"/>
    </row>
    <row r="210" spans="7:12" x14ac:dyDescent="0.2">
      <c r="G210" s="53"/>
      <c r="H210" s="53"/>
      <c r="I210" s="53"/>
      <c r="J210" s="53"/>
      <c r="K210" s="53"/>
      <c r="L210" s="53"/>
    </row>
    <row r="211" spans="7:12" x14ac:dyDescent="0.2">
      <c r="G211" s="53"/>
      <c r="H211" s="53"/>
      <c r="I211" s="53"/>
      <c r="J211" s="53"/>
      <c r="K211" s="53"/>
      <c r="L211" s="53"/>
    </row>
    <row r="212" spans="7:12" x14ac:dyDescent="0.2">
      <c r="G212" s="53"/>
      <c r="H212" s="53"/>
      <c r="I212" s="53"/>
      <c r="J212" s="53"/>
      <c r="K212" s="53"/>
      <c r="L212" s="53"/>
    </row>
    <row r="213" spans="7:12" x14ac:dyDescent="0.2">
      <c r="G213" s="53"/>
      <c r="H213" s="53"/>
      <c r="I213" s="53"/>
      <c r="J213" s="53"/>
      <c r="K213" s="53"/>
      <c r="L213" s="53"/>
    </row>
    <row r="214" spans="7:12" x14ac:dyDescent="0.2">
      <c r="G214" s="53"/>
      <c r="H214" s="53"/>
      <c r="I214" s="53"/>
      <c r="J214" s="53"/>
      <c r="K214" s="53"/>
      <c r="L214" s="53"/>
    </row>
    <row r="215" spans="7:12" x14ac:dyDescent="0.2">
      <c r="G215" s="53"/>
      <c r="H215" s="53"/>
      <c r="I215" s="53"/>
      <c r="J215" s="53"/>
      <c r="K215" s="53"/>
      <c r="L215" s="53"/>
    </row>
    <row r="216" spans="7:12" x14ac:dyDescent="0.2">
      <c r="G216" s="53"/>
      <c r="H216" s="53"/>
      <c r="I216" s="53"/>
      <c r="J216" s="53"/>
      <c r="K216" s="53"/>
      <c r="L216" s="53"/>
    </row>
    <row r="217" spans="7:12" x14ac:dyDescent="0.2">
      <c r="G217" s="53"/>
      <c r="H217" s="53"/>
      <c r="I217" s="53"/>
      <c r="J217" s="53"/>
      <c r="K217" s="53"/>
      <c r="L217" s="53"/>
    </row>
    <row r="218" spans="7:12" x14ac:dyDescent="0.2">
      <c r="G218" s="53"/>
      <c r="H218" s="53"/>
      <c r="I218" s="53"/>
      <c r="J218" s="53"/>
      <c r="K218" s="53"/>
      <c r="L218" s="53"/>
    </row>
    <row r="219" spans="7:12" x14ac:dyDescent="0.2">
      <c r="G219" s="53"/>
      <c r="H219" s="53"/>
      <c r="I219" s="53"/>
      <c r="J219" s="53"/>
      <c r="K219" s="53"/>
      <c r="L219" s="53"/>
    </row>
    <row r="220" spans="7:12" x14ac:dyDescent="0.2">
      <c r="G220" s="53"/>
      <c r="H220" s="53"/>
      <c r="I220" s="53"/>
      <c r="J220" s="53"/>
      <c r="K220" s="53"/>
      <c r="L220" s="53"/>
    </row>
    <row r="221" spans="7:12" x14ac:dyDescent="0.2">
      <c r="G221" s="53"/>
      <c r="H221" s="53"/>
      <c r="I221" s="53"/>
      <c r="J221" s="53"/>
      <c r="K221" s="53"/>
      <c r="L221" s="53"/>
    </row>
    <row r="222" spans="7:12" x14ac:dyDescent="0.2">
      <c r="G222" s="53"/>
      <c r="H222" s="53"/>
      <c r="I222" s="53"/>
      <c r="J222" s="53"/>
      <c r="K222" s="53"/>
      <c r="L222" s="53"/>
    </row>
    <row r="223" spans="7:12" x14ac:dyDescent="0.2">
      <c r="G223" s="53"/>
      <c r="H223" s="53"/>
      <c r="I223" s="53"/>
      <c r="J223" s="53"/>
      <c r="K223" s="53"/>
      <c r="L223" s="53"/>
    </row>
    <row r="224" spans="7:12" x14ac:dyDescent="0.2">
      <c r="G224" s="53"/>
      <c r="H224" s="53"/>
      <c r="I224" s="53"/>
      <c r="J224" s="53"/>
      <c r="K224" s="53"/>
      <c r="L224" s="53"/>
    </row>
    <row r="225" spans="7:12" x14ac:dyDescent="0.2">
      <c r="G225" s="53"/>
      <c r="H225" s="53"/>
      <c r="I225" s="53"/>
      <c r="J225" s="53"/>
      <c r="K225" s="53"/>
      <c r="L225" s="53"/>
    </row>
    <row r="226" spans="7:12" x14ac:dyDescent="0.2">
      <c r="G226" s="53"/>
      <c r="H226" s="53"/>
      <c r="I226" s="53"/>
      <c r="J226" s="53"/>
      <c r="K226" s="53"/>
      <c r="L226" s="53"/>
    </row>
    <row r="227" spans="7:12" x14ac:dyDescent="0.2">
      <c r="G227" s="53"/>
      <c r="H227" s="53"/>
      <c r="I227" s="53"/>
      <c r="J227" s="53"/>
      <c r="K227" s="53"/>
      <c r="L227" s="53"/>
    </row>
    <row r="228" spans="7:12" x14ac:dyDescent="0.2">
      <c r="G228" s="53"/>
      <c r="H228" s="53"/>
      <c r="I228" s="53"/>
      <c r="J228" s="53"/>
      <c r="K228" s="53"/>
      <c r="L228" s="53"/>
    </row>
    <row r="229" spans="7:12" x14ac:dyDescent="0.2">
      <c r="G229" s="53"/>
      <c r="H229" s="53"/>
      <c r="I229" s="53"/>
      <c r="J229" s="53"/>
      <c r="K229" s="53"/>
      <c r="L229" s="53"/>
    </row>
    <row r="230" spans="7:12" x14ac:dyDescent="0.2">
      <c r="G230" s="53"/>
      <c r="H230" s="53"/>
      <c r="I230" s="53"/>
      <c r="J230" s="53"/>
      <c r="K230" s="53"/>
      <c r="L230" s="53"/>
    </row>
    <row r="231" spans="7:12" x14ac:dyDescent="0.2">
      <c r="G231" s="53"/>
      <c r="H231" s="53"/>
      <c r="I231" s="53"/>
      <c r="J231" s="53"/>
      <c r="K231" s="53"/>
      <c r="L231" s="53"/>
    </row>
    <row r="232" spans="7:12" x14ac:dyDescent="0.2">
      <c r="G232" s="53"/>
      <c r="H232" s="53"/>
      <c r="I232" s="53"/>
      <c r="J232" s="53"/>
      <c r="K232" s="53"/>
      <c r="L232" s="53"/>
    </row>
    <row r="233" spans="7:12" x14ac:dyDescent="0.2">
      <c r="G233" s="53"/>
      <c r="H233" s="53"/>
      <c r="I233" s="53"/>
      <c r="J233" s="53"/>
      <c r="K233" s="53"/>
      <c r="L233" s="53"/>
    </row>
    <row r="234" spans="7:12" x14ac:dyDescent="0.2">
      <c r="G234" s="53"/>
      <c r="H234" s="53"/>
      <c r="I234" s="53"/>
      <c r="J234" s="53"/>
      <c r="K234" s="53"/>
      <c r="L234" s="53"/>
    </row>
    <row r="235" spans="7:12" x14ac:dyDescent="0.2">
      <c r="G235" s="53"/>
      <c r="H235" s="53"/>
      <c r="I235" s="53"/>
      <c r="J235" s="53"/>
      <c r="K235" s="53"/>
      <c r="L235" s="53"/>
    </row>
    <row r="236" spans="7:12" x14ac:dyDescent="0.2">
      <c r="G236" s="53"/>
      <c r="H236" s="53"/>
      <c r="I236" s="53"/>
      <c r="J236" s="53"/>
      <c r="K236" s="53"/>
      <c r="L236" s="53"/>
    </row>
    <row r="237" spans="7:12" x14ac:dyDescent="0.2">
      <c r="G237" s="53"/>
      <c r="H237" s="53"/>
      <c r="I237" s="53"/>
      <c r="J237" s="53"/>
      <c r="K237" s="53"/>
      <c r="L237" s="53"/>
    </row>
    <row r="238" spans="7:12" x14ac:dyDescent="0.2">
      <c r="G238" s="53"/>
      <c r="H238" s="53"/>
      <c r="I238" s="53"/>
      <c r="J238" s="53"/>
      <c r="K238" s="53"/>
      <c r="L238" s="53"/>
    </row>
    <row r="239" spans="7:12" x14ac:dyDescent="0.2">
      <c r="G239" s="53"/>
      <c r="H239" s="53"/>
      <c r="I239" s="53"/>
      <c r="J239" s="53"/>
      <c r="K239" s="53"/>
      <c r="L239" s="53"/>
    </row>
    <row r="240" spans="7:12" x14ac:dyDescent="0.2">
      <c r="G240" s="53"/>
      <c r="H240" s="53"/>
      <c r="I240" s="53"/>
      <c r="J240" s="53"/>
      <c r="K240" s="53"/>
      <c r="L240" s="53"/>
    </row>
    <row r="241" spans="7:12" x14ac:dyDescent="0.2">
      <c r="G241" s="53"/>
      <c r="H241" s="53"/>
      <c r="I241" s="53"/>
      <c r="J241" s="53"/>
      <c r="K241" s="53"/>
      <c r="L241" s="53"/>
    </row>
    <row r="242" spans="7:12" x14ac:dyDescent="0.2">
      <c r="G242" s="53"/>
      <c r="H242" s="53"/>
      <c r="I242" s="53"/>
      <c r="J242" s="53"/>
      <c r="K242" s="53"/>
      <c r="L242" s="53"/>
    </row>
    <row r="243" spans="7:12" x14ac:dyDescent="0.2">
      <c r="G243" s="53"/>
      <c r="H243" s="53"/>
      <c r="I243" s="53"/>
      <c r="J243" s="53"/>
      <c r="K243" s="53"/>
      <c r="L243" s="53"/>
    </row>
    <row r="244" spans="7:12" x14ac:dyDescent="0.2">
      <c r="G244" s="53"/>
      <c r="H244" s="53"/>
      <c r="I244" s="53"/>
      <c r="J244" s="53"/>
      <c r="K244" s="53"/>
      <c r="L244" s="53"/>
    </row>
    <row r="245" spans="7:12" x14ac:dyDescent="0.2">
      <c r="G245" s="53"/>
      <c r="H245" s="53"/>
      <c r="I245" s="53"/>
      <c r="J245" s="53"/>
      <c r="K245" s="53"/>
      <c r="L245" s="53"/>
    </row>
    <row r="246" spans="7:12" x14ac:dyDescent="0.2">
      <c r="G246" s="53"/>
      <c r="H246" s="53"/>
      <c r="I246" s="53"/>
      <c r="J246" s="53"/>
      <c r="K246" s="53"/>
      <c r="L246" s="53"/>
    </row>
    <row r="247" spans="7:12" x14ac:dyDescent="0.2">
      <c r="G247" s="53"/>
      <c r="H247" s="53"/>
      <c r="I247" s="53"/>
      <c r="J247" s="53"/>
      <c r="K247" s="53"/>
      <c r="L247" s="53"/>
    </row>
    <row r="248" spans="7:12" x14ac:dyDescent="0.2">
      <c r="G248" s="53"/>
      <c r="H248" s="53"/>
      <c r="I248" s="53"/>
      <c r="J248" s="53"/>
      <c r="K248" s="53"/>
      <c r="L248" s="53"/>
    </row>
    <row r="249" spans="7:12" x14ac:dyDescent="0.2">
      <c r="G249" s="53"/>
      <c r="H249" s="53"/>
      <c r="I249" s="53"/>
      <c r="J249" s="53"/>
      <c r="K249" s="53"/>
      <c r="L249" s="53"/>
    </row>
    <row r="250" spans="7:12" x14ac:dyDescent="0.2">
      <c r="G250" s="53"/>
      <c r="H250" s="53"/>
      <c r="I250" s="53"/>
      <c r="J250" s="53"/>
      <c r="K250" s="53"/>
      <c r="L250" s="53"/>
    </row>
    <row r="251" spans="7:12" x14ac:dyDescent="0.2">
      <c r="G251" s="53"/>
      <c r="H251" s="53"/>
      <c r="I251" s="53"/>
      <c r="J251" s="53"/>
      <c r="K251" s="53"/>
      <c r="L251" s="53"/>
    </row>
    <row r="252" spans="7:12" x14ac:dyDescent="0.2">
      <c r="G252" s="53"/>
      <c r="H252" s="53"/>
      <c r="I252" s="53"/>
      <c r="J252" s="53"/>
      <c r="K252" s="53"/>
      <c r="L252" s="53"/>
    </row>
    <row r="253" spans="7:12" x14ac:dyDescent="0.2">
      <c r="G253" s="53"/>
      <c r="H253" s="53"/>
      <c r="I253" s="53"/>
      <c r="J253" s="53"/>
      <c r="K253" s="53"/>
      <c r="L253" s="53"/>
    </row>
    <row r="254" spans="7:12" x14ac:dyDescent="0.2">
      <c r="G254" s="53"/>
      <c r="H254" s="53"/>
      <c r="I254" s="53"/>
      <c r="J254" s="53"/>
      <c r="K254" s="53"/>
      <c r="L254" s="53"/>
    </row>
    <row r="255" spans="7:12" x14ac:dyDescent="0.2">
      <c r="G255" s="53"/>
      <c r="H255" s="53"/>
      <c r="I255" s="53"/>
      <c r="J255" s="53"/>
      <c r="K255" s="53"/>
      <c r="L255" s="53"/>
    </row>
    <row r="256" spans="7:12" x14ac:dyDescent="0.2">
      <c r="G256" s="53"/>
      <c r="H256" s="53"/>
      <c r="I256" s="53"/>
      <c r="J256" s="53"/>
      <c r="K256" s="53"/>
      <c r="L256" s="53"/>
    </row>
    <row r="257" spans="7:12" x14ac:dyDescent="0.2">
      <c r="G257" s="53"/>
      <c r="H257" s="53"/>
      <c r="I257" s="53"/>
      <c r="J257" s="53"/>
      <c r="K257" s="53"/>
      <c r="L257" s="53"/>
    </row>
    <row r="258" spans="7:12" x14ac:dyDescent="0.2">
      <c r="G258" s="53"/>
      <c r="H258" s="53"/>
      <c r="I258" s="53"/>
      <c r="J258" s="53"/>
      <c r="K258" s="53"/>
      <c r="L258" s="53"/>
    </row>
    <row r="259" spans="7:12" x14ac:dyDescent="0.2">
      <c r="G259" s="53"/>
      <c r="H259" s="53"/>
      <c r="I259" s="53"/>
      <c r="J259" s="53"/>
      <c r="K259" s="53"/>
      <c r="L259" s="53"/>
    </row>
    <row r="260" spans="7:12" x14ac:dyDescent="0.2">
      <c r="G260" s="53"/>
      <c r="H260" s="53"/>
      <c r="I260" s="53"/>
      <c r="J260" s="53"/>
      <c r="K260" s="53"/>
      <c r="L260" s="53"/>
    </row>
    <row r="261" spans="7:12" x14ac:dyDescent="0.2">
      <c r="G261" s="53"/>
      <c r="H261" s="53"/>
      <c r="I261" s="53"/>
      <c r="J261" s="53"/>
      <c r="K261" s="53"/>
      <c r="L261" s="53"/>
    </row>
    <row r="262" spans="7:12" x14ac:dyDescent="0.2">
      <c r="G262" s="53"/>
      <c r="H262" s="53"/>
      <c r="I262" s="53"/>
      <c r="J262" s="53"/>
      <c r="K262" s="53"/>
      <c r="L262" s="53"/>
    </row>
    <row r="263" spans="7:12" x14ac:dyDescent="0.2">
      <c r="G263" s="53"/>
      <c r="H263" s="53"/>
      <c r="I263" s="53"/>
      <c r="J263" s="53"/>
      <c r="K263" s="53"/>
      <c r="L263" s="53"/>
    </row>
    <row r="264" spans="7:12" x14ac:dyDescent="0.2">
      <c r="G264" s="53"/>
      <c r="H264" s="53"/>
      <c r="I264" s="53"/>
      <c r="J264" s="53"/>
      <c r="K264" s="53"/>
      <c r="L264" s="53"/>
    </row>
    <row r="265" spans="7:12" x14ac:dyDescent="0.2">
      <c r="G265" s="53"/>
      <c r="H265" s="53"/>
      <c r="I265" s="53"/>
      <c r="J265" s="53"/>
      <c r="K265" s="53"/>
      <c r="L265" s="53"/>
    </row>
    <row r="266" spans="7:12" x14ac:dyDescent="0.2">
      <c r="G266" s="53"/>
      <c r="H266" s="53"/>
      <c r="I266" s="53"/>
      <c r="J266" s="53"/>
      <c r="K266" s="53"/>
      <c r="L266" s="53"/>
    </row>
    <row r="267" spans="7:12" x14ac:dyDescent="0.2">
      <c r="G267" s="53"/>
      <c r="H267" s="53"/>
      <c r="I267" s="53"/>
      <c r="J267" s="53"/>
      <c r="K267" s="53"/>
      <c r="L267" s="53"/>
    </row>
    <row r="268" spans="7:12" x14ac:dyDescent="0.2">
      <c r="G268" s="53"/>
      <c r="H268" s="53"/>
      <c r="I268" s="53"/>
      <c r="J268" s="53"/>
      <c r="K268" s="53"/>
      <c r="L268" s="53"/>
    </row>
    <row r="269" spans="7:12" x14ac:dyDescent="0.2">
      <c r="G269" s="53"/>
      <c r="H269" s="53"/>
      <c r="I269" s="53"/>
      <c r="J269" s="53"/>
      <c r="K269" s="53"/>
      <c r="L269" s="53"/>
    </row>
    <row r="270" spans="7:12" x14ac:dyDescent="0.2">
      <c r="G270" s="53"/>
      <c r="H270" s="53"/>
      <c r="I270" s="53"/>
      <c r="J270" s="53"/>
      <c r="K270" s="53"/>
      <c r="L270" s="53"/>
    </row>
    <row r="271" spans="7:12" x14ac:dyDescent="0.2">
      <c r="G271" s="53"/>
      <c r="H271" s="53"/>
      <c r="I271" s="53"/>
      <c r="J271" s="53"/>
      <c r="K271" s="53"/>
      <c r="L271" s="53"/>
    </row>
    <row r="272" spans="7:12" x14ac:dyDescent="0.2">
      <c r="G272" s="53"/>
      <c r="H272" s="53"/>
      <c r="I272" s="53"/>
      <c r="J272" s="53"/>
      <c r="K272" s="53"/>
      <c r="L272" s="53"/>
    </row>
    <row r="273" spans="7:12" x14ac:dyDescent="0.2">
      <c r="G273" s="53"/>
      <c r="H273" s="53"/>
      <c r="I273" s="53"/>
      <c r="J273" s="53"/>
      <c r="K273" s="53"/>
      <c r="L273" s="53"/>
    </row>
    <row r="274" spans="7:12" x14ac:dyDescent="0.2">
      <c r="G274" s="53"/>
      <c r="H274" s="53"/>
      <c r="I274" s="53"/>
      <c r="J274" s="53"/>
      <c r="K274" s="53"/>
      <c r="L274" s="53"/>
    </row>
    <row r="275" spans="7:12" x14ac:dyDescent="0.2">
      <c r="G275" s="53"/>
      <c r="H275" s="53"/>
      <c r="I275" s="53"/>
      <c r="J275" s="53"/>
      <c r="K275" s="53"/>
      <c r="L275" s="53"/>
    </row>
    <row r="276" spans="7:12" x14ac:dyDescent="0.2">
      <c r="G276" s="53"/>
      <c r="H276" s="53"/>
      <c r="I276" s="53"/>
      <c r="J276" s="53"/>
      <c r="K276" s="53"/>
      <c r="L276" s="53"/>
    </row>
    <row r="277" spans="7:12" x14ac:dyDescent="0.2">
      <c r="G277" s="53"/>
      <c r="H277" s="53"/>
      <c r="I277" s="53"/>
      <c r="J277" s="53"/>
      <c r="K277" s="53"/>
      <c r="L277" s="53"/>
    </row>
    <row r="278" spans="7:12" x14ac:dyDescent="0.2">
      <c r="G278" s="53"/>
      <c r="H278" s="53"/>
      <c r="I278" s="53"/>
      <c r="J278" s="53"/>
      <c r="K278" s="53"/>
      <c r="L278" s="53"/>
    </row>
    <row r="279" spans="7:12" x14ac:dyDescent="0.2">
      <c r="G279" s="53"/>
      <c r="H279" s="53"/>
      <c r="I279" s="53"/>
      <c r="J279" s="53"/>
      <c r="K279" s="53"/>
      <c r="L279" s="53"/>
    </row>
    <row r="280" spans="7:12" x14ac:dyDescent="0.2">
      <c r="G280" s="53"/>
      <c r="H280" s="53"/>
      <c r="I280" s="53"/>
      <c r="J280" s="53"/>
      <c r="K280" s="53"/>
      <c r="L280" s="53"/>
    </row>
    <row r="281" spans="7:12" x14ac:dyDescent="0.2">
      <c r="G281" s="53"/>
      <c r="H281" s="53"/>
      <c r="I281" s="53"/>
      <c r="J281" s="53"/>
      <c r="K281" s="53"/>
      <c r="L281" s="53"/>
    </row>
    <row r="282" spans="7:12" x14ac:dyDescent="0.2">
      <c r="G282" s="53"/>
      <c r="H282" s="53"/>
      <c r="I282" s="53"/>
      <c r="J282" s="53"/>
      <c r="K282" s="53"/>
      <c r="L282" s="53"/>
    </row>
    <row r="283" spans="7:12" x14ac:dyDescent="0.2">
      <c r="G283" s="53"/>
      <c r="H283" s="53"/>
      <c r="I283" s="53"/>
      <c r="J283" s="53"/>
      <c r="K283" s="53"/>
      <c r="L283" s="53"/>
    </row>
    <row r="284" spans="7:12" x14ac:dyDescent="0.2">
      <c r="G284" s="53"/>
      <c r="H284" s="53"/>
      <c r="I284" s="53"/>
      <c r="J284" s="53"/>
      <c r="K284" s="53"/>
      <c r="L284" s="53"/>
    </row>
    <row r="285" spans="7:12" x14ac:dyDescent="0.2">
      <c r="G285" s="53"/>
      <c r="H285" s="53"/>
      <c r="I285" s="53"/>
      <c r="J285" s="53"/>
      <c r="K285" s="53"/>
      <c r="L285" s="53"/>
    </row>
    <row r="286" spans="7:12" x14ac:dyDescent="0.2">
      <c r="G286" s="53"/>
      <c r="H286" s="53"/>
      <c r="I286" s="53"/>
      <c r="J286" s="53"/>
      <c r="K286" s="53"/>
      <c r="L286" s="53"/>
    </row>
    <row r="287" spans="7:12" x14ac:dyDescent="0.2">
      <c r="G287" s="53"/>
      <c r="H287" s="53"/>
      <c r="I287" s="53"/>
      <c r="J287" s="53"/>
      <c r="K287" s="53"/>
      <c r="L287" s="53"/>
    </row>
    <row r="288" spans="7:12" x14ac:dyDescent="0.2">
      <c r="G288" s="53"/>
      <c r="H288" s="53"/>
      <c r="I288" s="53"/>
      <c r="J288" s="53"/>
      <c r="K288" s="53"/>
      <c r="L288" s="53"/>
    </row>
    <row r="289" spans="7:12" x14ac:dyDescent="0.2">
      <c r="G289" s="53"/>
      <c r="H289" s="53"/>
      <c r="I289" s="53"/>
      <c r="J289" s="53"/>
      <c r="K289" s="53"/>
      <c r="L289" s="53"/>
    </row>
    <row r="290" spans="7:12" x14ac:dyDescent="0.2">
      <c r="G290" s="53"/>
      <c r="H290" s="53"/>
      <c r="I290" s="53"/>
      <c r="J290" s="53"/>
      <c r="K290" s="53"/>
      <c r="L290" s="53"/>
    </row>
    <row r="291" spans="7:12" x14ac:dyDescent="0.2">
      <c r="G291" s="53"/>
      <c r="H291" s="53"/>
      <c r="I291" s="53"/>
      <c r="J291" s="53"/>
      <c r="K291" s="53"/>
      <c r="L291" s="53"/>
    </row>
    <row r="292" spans="7:12" x14ac:dyDescent="0.2">
      <c r="G292" s="53"/>
      <c r="H292" s="53"/>
      <c r="I292" s="53"/>
      <c r="J292" s="53"/>
      <c r="K292" s="53"/>
      <c r="L292" s="53"/>
    </row>
    <row r="293" spans="7:12" x14ac:dyDescent="0.2">
      <c r="G293" s="53"/>
      <c r="H293" s="53"/>
      <c r="I293" s="53"/>
      <c r="J293" s="53"/>
      <c r="K293" s="53"/>
      <c r="L293" s="53"/>
    </row>
    <row r="294" spans="7:12" x14ac:dyDescent="0.2">
      <c r="G294" s="53"/>
      <c r="H294" s="53"/>
      <c r="I294" s="53"/>
      <c r="J294" s="53"/>
      <c r="K294" s="53"/>
      <c r="L294" s="53"/>
    </row>
    <row r="295" spans="7:12" x14ac:dyDescent="0.2">
      <c r="G295" s="53"/>
      <c r="H295" s="53"/>
      <c r="I295" s="53"/>
      <c r="J295" s="53"/>
      <c r="K295" s="53"/>
      <c r="L295" s="53"/>
    </row>
    <row r="296" spans="7:12" x14ac:dyDescent="0.2">
      <c r="G296" s="53"/>
      <c r="H296" s="53"/>
      <c r="I296" s="53"/>
      <c r="J296" s="53"/>
      <c r="K296" s="53"/>
      <c r="L296" s="53"/>
    </row>
    <row r="297" spans="7:12" x14ac:dyDescent="0.2">
      <c r="G297" s="53"/>
      <c r="H297" s="53"/>
      <c r="I297" s="53"/>
      <c r="J297" s="53"/>
      <c r="K297" s="53"/>
      <c r="L297" s="53"/>
    </row>
    <row r="298" spans="7:12" x14ac:dyDescent="0.2">
      <c r="G298" s="53"/>
      <c r="H298" s="53"/>
      <c r="I298" s="53"/>
      <c r="J298" s="53"/>
      <c r="K298" s="53"/>
      <c r="L298" s="53"/>
    </row>
    <row r="299" spans="7:12" x14ac:dyDescent="0.2">
      <c r="G299" s="53"/>
      <c r="H299" s="53"/>
      <c r="I299" s="53"/>
      <c r="J299" s="53"/>
      <c r="K299" s="53"/>
      <c r="L299" s="53"/>
    </row>
    <row r="300" spans="7:12" x14ac:dyDescent="0.2">
      <c r="G300" s="53"/>
      <c r="H300" s="53"/>
      <c r="I300" s="53"/>
      <c r="J300" s="53"/>
      <c r="K300" s="53"/>
      <c r="L300" s="53"/>
    </row>
    <row r="301" spans="7:12" x14ac:dyDescent="0.2">
      <c r="G301" s="53"/>
      <c r="H301" s="53"/>
      <c r="I301" s="53"/>
      <c r="J301" s="53"/>
      <c r="K301" s="53"/>
      <c r="L301" s="53"/>
    </row>
    <row r="302" spans="7:12" x14ac:dyDescent="0.2">
      <c r="G302" s="53"/>
      <c r="H302" s="53"/>
      <c r="I302" s="53"/>
      <c r="J302" s="53"/>
      <c r="K302" s="53"/>
      <c r="L302" s="53"/>
    </row>
    <row r="303" spans="7:12" x14ac:dyDescent="0.2">
      <c r="G303" s="53"/>
      <c r="H303" s="53"/>
      <c r="I303" s="53"/>
      <c r="J303" s="53"/>
      <c r="K303" s="53"/>
      <c r="L303" s="53"/>
    </row>
    <row r="304" spans="7:12" x14ac:dyDescent="0.2">
      <c r="G304" s="53"/>
      <c r="H304" s="53"/>
      <c r="I304" s="53"/>
      <c r="J304" s="53"/>
      <c r="K304" s="53"/>
      <c r="L304" s="53"/>
    </row>
    <row r="305" spans="7:12" x14ac:dyDescent="0.2">
      <c r="G305" s="53"/>
      <c r="H305" s="53"/>
      <c r="I305" s="53"/>
      <c r="J305" s="53"/>
      <c r="K305" s="53"/>
      <c r="L305" s="53"/>
    </row>
    <row r="306" spans="7:12" x14ac:dyDescent="0.2">
      <c r="G306" s="53"/>
      <c r="H306" s="53"/>
      <c r="I306" s="53"/>
      <c r="J306" s="53"/>
      <c r="K306" s="53"/>
      <c r="L306" s="53"/>
    </row>
    <row r="307" spans="7:12" x14ac:dyDescent="0.2">
      <c r="G307" s="53"/>
      <c r="H307" s="53"/>
      <c r="I307" s="53"/>
      <c r="J307" s="53"/>
      <c r="K307" s="53"/>
      <c r="L307" s="53"/>
    </row>
    <row r="308" spans="7:12" x14ac:dyDescent="0.2">
      <c r="G308" s="53"/>
      <c r="H308" s="53"/>
      <c r="I308" s="53"/>
      <c r="J308" s="53"/>
      <c r="K308" s="53"/>
      <c r="L308" s="53"/>
    </row>
    <row r="309" spans="7:12" x14ac:dyDescent="0.2">
      <c r="G309" s="53"/>
      <c r="H309" s="53"/>
      <c r="I309" s="53"/>
      <c r="J309" s="53"/>
      <c r="K309" s="53"/>
      <c r="L309" s="53"/>
    </row>
    <row r="310" spans="7:12" x14ac:dyDescent="0.2">
      <c r="G310" s="53"/>
      <c r="H310" s="53"/>
      <c r="I310" s="53"/>
      <c r="J310" s="53"/>
      <c r="K310" s="53"/>
      <c r="L310" s="53"/>
    </row>
    <row r="311" spans="7:12" x14ac:dyDescent="0.2">
      <c r="G311" s="53"/>
      <c r="H311" s="53"/>
      <c r="I311" s="53"/>
      <c r="J311" s="53"/>
      <c r="K311" s="53"/>
      <c r="L311" s="53"/>
    </row>
    <row r="312" spans="7:12" x14ac:dyDescent="0.2">
      <c r="G312" s="53"/>
      <c r="H312" s="53"/>
      <c r="I312" s="53"/>
      <c r="J312" s="53"/>
      <c r="K312" s="53"/>
      <c r="L312" s="53"/>
    </row>
    <row r="313" spans="7:12" x14ac:dyDescent="0.2">
      <c r="G313" s="53"/>
      <c r="H313" s="53"/>
      <c r="I313" s="53"/>
      <c r="J313" s="53"/>
      <c r="K313" s="53"/>
      <c r="L313" s="53"/>
    </row>
    <row r="314" spans="7:12" x14ac:dyDescent="0.2">
      <c r="G314" s="53"/>
      <c r="H314" s="53"/>
      <c r="I314" s="53"/>
      <c r="J314" s="53"/>
      <c r="K314" s="53"/>
      <c r="L314" s="53"/>
    </row>
    <row r="315" spans="7:12" x14ac:dyDescent="0.2">
      <c r="G315" s="53"/>
      <c r="H315" s="53"/>
      <c r="I315" s="53"/>
      <c r="J315" s="53"/>
      <c r="K315" s="53"/>
      <c r="L315" s="53"/>
    </row>
    <row r="316" spans="7:12" x14ac:dyDescent="0.2">
      <c r="G316" s="53"/>
      <c r="H316" s="53"/>
      <c r="I316" s="53"/>
      <c r="J316" s="53"/>
      <c r="K316" s="53"/>
      <c r="L316" s="53"/>
    </row>
    <row r="317" spans="7:12" x14ac:dyDescent="0.2">
      <c r="G317" s="53"/>
      <c r="H317" s="53"/>
      <c r="I317" s="53"/>
      <c r="J317" s="53"/>
      <c r="K317" s="53"/>
      <c r="L317" s="53"/>
    </row>
    <row r="318" spans="7:12" x14ac:dyDescent="0.2">
      <c r="G318" s="53"/>
      <c r="H318" s="53"/>
      <c r="I318" s="53"/>
      <c r="J318" s="53"/>
      <c r="K318" s="53"/>
      <c r="L318" s="53"/>
    </row>
    <row r="319" spans="7:12" x14ac:dyDescent="0.2">
      <c r="G319" s="53"/>
      <c r="H319" s="53"/>
      <c r="I319" s="53"/>
      <c r="J319" s="53"/>
      <c r="K319" s="53"/>
      <c r="L319" s="53"/>
    </row>
    <row r="320" spans="7:12" x14ac:dyDescent="0.2">
      <c r="G320" s="53"/>
      <c r="H320" s="53"/>
      <c r="I320" s="53"/>
      <c r="J320" s="53"/>
      <c r="K320" s="53"/>
      <c r="L320" s="53"/>
    </row>
    <row r="321" spans="7:12" x14ac:dyDescent="0.2">
      <c r="G321" s="53"/>
      <c r="H321" s="53"/>
      <c r="I321" s="53"/>
      <c r="J321" s="53"/>
      <c r="K321" s="53"/>
      <c r="L321" s="53"/>
    </row>
    <row r="322" spans="7:12" x14ac:dyDescent="0.2">
      <c r="G322" s="53"/>
      <c r="H322" s="53"/>
      <c r="I322" s="53"/>
      <c r="J322" s="53"/>
      <c r="K322" s="53"/>
      <c r="L322" s="53"/>
    </row>
    <row r="323" spans="7:12" x14ac:dyDescent="0.2">
      <c r="G323" s="53"/>
      <c r="H323" s="53"/>
      <c r="I323" s="53"/>
      <c r="J323" s="53"/>
      <c r="K323" s="53"/>
      <c r="L323" s="53"/>
    </row>
    <row r="324" spans="7:12" x14ac:dyDescent="0.2">
      <c r="G324" s="53"/>
      <c r="H324" s="53"/>
      <c r="I324" s="53"/>
      <c r="J324" s="53"/>
      <c r="K324" s="53"/>
      <c r="L324" s="53"/>
    </row>
    <row r="325" spans="7:12" x14ac:dyDescent="0.2">
      <c r="G325" s="53"/>
      <c r="H325" s="53"/>
      <c r="I325" s="53"/>
      <c r="J325" s="53"/>
      <c r="K325" s="53"/>
      <c r="L325" s="53"/>
    </row>
    <row r="326" spans="7:12" x14ac:dyDescent="0.2">
      <c r="G326" s="53"/>
      <c r="H326" s="53"/>
      <c r="I326" s="53"/>
      <c r="J326" s="53"/>
      <c r="K326" s="53"/>
      <c r="L326" s="53"/>
    </row>
    <row r="327" spans="7:12" x14ac:dyDescent="0.2">
      <c r="G327" s="53"/>
      <c r="H327" s="53"/>
      <c r="I327" s="53"/>
      <c r="J327" s="53"/>
      <c r="K327" s="53"/>
      <c r="L327" s="53"/>
    </row>
    <row r="328" spans="7:12" x14ac:dyDescent="0.2">
      <c r="G328" s="53"/>
      <c r="H328" s="53"/>
      <c r="I328" s="53"/>
      <c r="J328" s="53"/>
      <c r="K328" s="53"/>
      <c r="L328" s="53"/>
    </row>
    <row r="329" spans="7:12" x14ac:dyDescent="0.2">
      <c r="G329" s="53"/>
      <c r="H329" s="53"/>
      <c r="I329" s="53"/>
      <c r="J329" s="53"/>
      <c r="K329" s="53"/>
      <c r="L329" s="53"/>
    </row>
    <row r="330" spans="7:12" x14ac:dyDescent="0.2">
      <c r="G330" s="53"/>
      <c r="H330" s="53"/>
      <c r="I330" s="53"/>
      <c r="J330" s="53"/>
      <c r="K330" s="53"/>
      <c r="L330" s="53"/>
    </row>
    <row r="331" spans="7:12" x14ac:dyDescent="0.2">
      <c r="G331" s="53"/>
      <c r="H331" s="53"/>
      <c r="I331" s="53"/>
      <c r="J331" s="53"/>
      <c r="K331" s="53"/>
      <c r="L331" s="53"/>
    </row>
    <row r="332" spans="7:12" x14ac:dyDescent="0.2">
      <c r="G332" s="53"/>
      <c r="H332" s="53"/>
      <c r="I332" s="53"/>
      <c r="J332" s="53"/>
      <c r="K332" s="53"/>
      <c r="L332" s="53"/>
    </row>
    <row r="333" spans="7:12" x14ac:dyDescent="0.2">
      <c r="G333" s="53"/>
      <c r="H333" s="53"/>
      <c r="I333" s="53"/>
      <c r="J333" s="53"/>
      <c r="K333" s="53"/>
      <c r="L333" s="53"/>
    </row>
    <row r="334" spans="7:12" x14ac:dyDescent="0.2">
      <c r="G334" s="53"/>
      <c r="H334" s="53"/>
      <c r="I334" s="53"/>
      <c r="J334" s="53"/>
      <c r="K334" s="53"/>
      <c r="L334" s="53"/>
    </row>
    <row r="335" spans="7:12" x14ac:dyDescent="0.2">
      <c r="G335" s="53"/>
      <c r="H335" s="53"/>
      <c r="I335" s="53"/>
      <c r="J335" s="53"/>
      <c r="K335" s="53"/>
      <c r="L335" s="53"/>
    </row>
    <row r="336" spans="7:12" x14ac:dyDescent="0.2">
      <c r="G336" s="53"/>
      <c r="H336" s="53"/>
      <c r="I336" s="53"/>
      <c r="J336" s="53"/>
      <c r="K336" s="53"/>
      <c r="L336" s="53"/>
    </row>
    <row r="337" spans="7:12" x14ac:dyDescent="0.2">
      <c r="G337" s="53"/>
      <c r="H337" s="53"/>
      <c r="I337" s="53"/>
      <c r="J337" s="53"/>
      <c r="K337" s="53"/>
      <c r="L337" s="53"/>
    </row>
    <row r="338" spans="7:12" x14ac:dyDescent="0.2">
      <c r="G338" s="53"/>
      <c r="H338" s="53"/>
      <c r="I338" s="53"/>
      <c r="J338" s="53"/>
      <c r="K338" s="53"/>
      <c r="L338" s="53"/>
    </row>
    <row r="339" spans="7:12" x14ac:dyDescent="0.2">
      <c r="G339" s="53"/>
      <c r="H339" s="53"/>
      <c r="I339" s="53"/>
      <c r="J339" s="53"/>
      <c r="K339" s="53"/>
      <c r="L339" s="53"/>
    </row>
    <row r="340" spans="7:12" x14ac:dyDescent="0.2">
      <c r="G340" s="53"/>
      <c r="H340" s="53"/>
      <c r="I340" s="53"/>
      <c r="J340" s="53"/>
      <c r="K340" s="53"/>
      <c r="L340" s="53"/>
    </row>
    <row r="341" spans="7:12" x14ac:dyDescent="0.2">
      <c r="G341" s="53"/>
      <c r="H341" s="53"/>
      <c r="I341" s="53"/>
      <c r="J341" s="53"/>
      <c r="K341" s="53"/>
      <c r="L341" s="53"/>
    </row>
    <row r="342" spans="7:12" x14ac:dyDescent="0.2">
      <c r="G342" s="53"/>
      <c r="H342" s="53"/>
      <c r="I342" s="53"/>
      <c r="J342" s="53"/>
      <c r="K342" s="53"/>
      <c r="L342" s="53"/>
    </row>
    <row r="343" spans="7:12" x14ac:dyDescent="0.2">
      <c r="G343" s="53"/>
      <c r="H343" s="53"/>
      <c r="I343" s="53"/>
      <c r="J343" s="53"/>
      <c r="K343" s="53"/>
      <c r="L343" s="53"/>
    </row>
    <row r="344" spans="7:12" x14ac:dyDescent="0.2">
      <c r="G344" s="53"/>
      <c r="H344" s="53"/>
      <c r="I344" s="53"/>
      <c r="J344" s="53"/>
      <c r="K344" s="53"/>
      <c r="L344" s="53"/>
    </row>
    <row r="345" spans="7:12" x14ac:dyDescent="0.2">
      <c r="G345" s="53"/>
      <c r="H345" s="53"/>
      <c r="I345" s="53"/>
      <c r="J345" s="53"/>
      <c r="K345" s="53"/>
      <c r="L345" s="53"/>
    </row>
    <row r="346" spans="7:12" x14ac:dyDescent="0.2">
      <c r="G346" s="53"/>
      <c r="H346" s="53"/>
      <c r="I346" s="53"/>
      <c r="J346" s="53"/>
      <c r="K346" s="53"/>
      <c r="L346" s="53"/>
    </row>
    <row r="347" spans="7:12" x14ac:dyDescent="0.2">
      <c r="G347" s="53"/>
      <c r="H347" s="53"/>
      <c r="I347" s="53"/>
      <c r="J347" s="53"/>
      <c r="K347" s="53"/>
      <c r="L347" s="53"/>
    </row>
    <row r="348" spans="7:12" x14ac:dyDescent="0.2">
      <c r="G348" s="53"/>
      <c r="H348" s="53"/>
      <c r="I348" s="53"/>
      <c r="J348" s="53"/>
      <c r="K348" s="53"/>
      <c r="L348" s="53"/>
    </row>
    <row r="349" spans="7:12" x14ac:dyDescent="0.2">
      <c r="G349" s="53"/>
      <c r="H349" s="53"/>
      <c r="I349" s="53"/>
      <c r="J349" s="53"/>
      <c r="K349" s="53"/>
      <c r="L349" s="53"/>
    </row>
    <row r="350" spans="7:12" x14ac:dyDescent="0.2">
      <c r="G350" s="53"/>
      <c r="H350" s="53"/>
      <c r="I350" s="53"/>
      <c r="J350" s="53"/>
      <c r="K350" s="53"/>
      <c r="L350" s="53"/>
    </row>
    <row r="351" spans="7:12" x14ac:dyDescent="0.2">
      <c r="G351" s="53"/>
      <c r="H351" s="53"/>
      <c r="I351" s="53"/>
      <c r="J351" s="53"/>
      <c r="K351" s="53"/>
      <c r="L351" s="53"/>
    </row>
    <row r="352" spans="7:12" x14ac:dyDescent="0.2">
      <c r="G352" s="53"/>
      <c r="H352" s="53"/>
      <c r="I352" s="53"/>
      <c r="J352" s="53"/>
      <c r="K352" s="53"/>
      <c r="L352" s="53"/>
    </row>
    <row r="353" spans="7:12" x14ac:dyDescent="0.2">
      <c r="G353" s="53"/>
      <c r="H353" s="53"/>
      <c r="I353" s="53"/>
      <c r="J353" s="53"/>
      <c r="K353" s="53"/>
      <c r="L353" s="53"/>
    </row>
    <row r="354" spans="7:12" x14ac:dyDescent="0.2">
      <c r="G354" s="53"/>
      <c r="H354" s="53"/>
      <c r="I354" s="53"/>
      <c r="J354" s="53"/>
      <c r="K354" s="53"/>
      <c r="L354" s="53"/>
    </row>
    <row r="355" spans="7:12" x14ac:dyDescent="0.2">
      <c r="G355" s="53"/>
      <c r="H355" s="53"/>
      <c r="I355" s="53"/>
      <c r="J355" s="53"/>
      <c r="K355" s="53"/>
      <c r="L355" s="53"/>
    </row>
    <row r="356" spans="7:12" x14ac:dyDescent="0.2">
      <c r="G356" s="53"/>
      <c r="H356" s="53"/>
      <c r="I356" s="53"/>
      <c r="J356" s="53"/>
      <c r="K356" s="53"/>
      <c r="L356" s="53"/>
    </row>
    <row r="357" spans="7:12" x14ac:dyDescent="0.2">
      <c r="G357" s="53"/>
      <c r="H357" s="53"/>
      <c r="I357" s="53"/>
      <c r="J357" s="53"/>
      <c r="K357" s="53"/>
      <c r="L357" s="53"/>
    </row>
    <row r="358" spans="7:12" x14ac:dyDescent="0.2">
      <c r="G358" s="53"/>
      <c r="H358" s="53"/>
      <c r="I358" s="53"/>
      <c r="J358" s="53"/>
      <c r="K358" s="53"/>
      <c r="L358" s="53"/>
    </row>
    <row r="359" spans="7:12" x14ac:dyDescent="0.2">
      <c r="G359" s="53"/>
      <c r="H359" s="53"/>
      <c r="I359" s="53"/>
      <c r="J359" s="53"/>
      <c r="K359" s="53"/>
      <c r="L359" s="53"/>
    </row>
    <row r="360" spans="7:12" x14ac:dyDescent="0.2">
      <c r="G360" s="53"/>
      <c r="H360" s="53"/>
      <c r="I360" s="53"/>
      <c r="J360" s="53"/>
      <c r="K360" s="53"/>
      <c r="L360" s="53"/>
    </row>
    <row r="361" spans="7:12" x14ac:dyDescent="0.2">
      <c r="G361" s="53"/>
      <c r="H361" s="53"/>
      <c r="I361" s="53"/>
      <c r="J361" s="53"/>
      <c r="K361" s="53"/>
      <c r="L361" s="53"/>
    </row>
    <row r="362" spans="7:12" x14ac:dyDescent="0.2">
      <c r="G362" s="53"/>
      <c r="H362" s="53"/>
      <c r="I362" s="53"/>
      <c r="J362" s="53"/>
      <c r="K362" s="53"/>
      <c r="L362" s="53"/>
    </row>
    <row r="363" spans="7:12" x14ac:dyDescent="0.2">
      <c r="G363" s="53"/>
      <c r="H363" s="53"/>
      <c r="I363" s="53"/>
      <c r="J363" s="53"/>
      <c r="K363" s="53"/>
      <c r="L363" s="53"/>
    </row>
    <row r="364" spans="7:12" x14ac:dyDescent="0.2">
      <c r="G364" s="53"/>
      <c r="H364" s="53"/>
      <c r="I364" s="53"/>
      <c r="J364" s="53"/>
      <c r="K364" s="53"/>
      <c r="L364" s="53"/>
    </row>
    <row r="365" spans="7:12" x14ac:dyDescent="0.2">
      <c r="G365" s="53"/>
      <c r="H365" s="53"/>
      <c r="I365" s="53"/>
      <c r="J365" s="53"/>
      <c r="K365" s="53"/>
      <c r="L365" s="53"/>
    </row>
    <row r="366" spans="7:12" x14ac:dyDescent="0.2">
      <c r="G366" s="53"/>
      <c r="H366" s="53"/>
      <c r="I366" s="53"/>
      <c r="J366" s="53"/>
      <c r="K366" s="53"/>
      <c r="L366" s="53"/>
    </row>
    <row r="367" spans="7:12" x14ac:dyDescent="0.2">
      <c r="G367" s="53"/>
      <c r="H367" s="53"/>
      <c r="I367" s="53"/>
      <c r="J367" s="53"/>
      <c r="K367" s="53"/>
      <c r="L367" s="53"/>
    </row>
    <row r="368" spans="7:12" x14ac:dyDescent="0.2">
      <c r="G368" s="53"/>
      <c r="H368" s="53"/>
      <c r="I368" s="53"/>
      <c r="J368" s="53"/>
      <c r="K368" s="53"/>
      <c r="L368" s="53"/>
    </row>
    <row r="369" spans="7:12" x14ac:dyDescent="0.2">
      <c r="G369" s="53"/>
      <c r="H369" s="53"/>
      <c r="I369" s="53"/>
      <c r="J369" s="53"/>
      <c r="K369" s="53"/>
      <c r="L369" s="53"/>
    </row>
    <row r="370" spans="7:12" x14ac:dyDescent="0.2">
      <c r="G370" s="53"/>
      <c r="H370" s="53"/>
      <c r="I370" s="53"/>
      <c r="J370" s="53"/>
      <c r="K370" s="53"/>
      <c r="L370" s="53"/>
    </row>
    <row r="371" spans="7:12" x14ac:dyDescent="0.2">
      <c r="G371" s="53"/>
      <c r="H371" s="53"/>
      <c r="I371" s="53"/>
      <c r="J371" s="53"/>
      <c r="K371" s="53"/>
      <c r="L371" s="53"/>
    </row>
    <row r="372" spans="7:12" x14ac:dyDescent="0.2">
      <c r="G372" s="53"/>
      <c r="H372" s="53"/>
      <c r="I372" s="53"/>
      <c r="J372" s="53"/>
      <c r="K372" s="53"/>
      <c r="L372" s="53"/>
    </row>
    <row r="373" spans="7:12" x14ac:dyDescent="0.2">
      <c r="G373" s="53"/>
      <c r="H373" s="53"/>
      <c r="I373" s="53"/>
      <c r="J373" s="53"/>
      <c r="K373" s="53"/>
      <c r="L373" s="53"/>
    </row>
    <row r="374" spans="7:12" x14ac:dyDescent="0.2">
      <c r="G374" s="53"/>
      <c r="H374" s="53"/>
      <c r="I374" s="53"/>
      <c r="J374" s="53"/>
      <c r="K374" s="53"/>
      <c r="L374" s="53"/>
    </row>
    <row r="375" spans="7:12" x14ac:dyDescent="0.2">
      <c r="G375" s="53"/>
      <c r="H375" s="53"/>
      <c r="I375" s="53"/>
      <c r="J375" s="53"/>
      <c r="K375" s="53"/>
      <c r="L375" s="53"/>
    </row>
    <row r="376" spans="7:12" x14ac:dyDescent="0.2">
      <c r="G376" s="53"/>
      <c r="H376" s="53"/>
      <c r="I376" s="53"/>
      <c r="J376" s="53"/>
      <c r="K376" s="53"/>
      <c r="L376" s="53"/>
    </row>
    <row r="377" spans="7:12" x14ac:dyDescent="0.2">
      <c r="G377" s="53"/>
      <c r="H377" s="53"/>
      <c r="I377" s="53"/>
      <c r="J377" s="53"/>
      <c r="K377" s="53"/>
      <c r="L377" s="53"/>
    </row>
    <row r="378" spans="7:12" x14ac:dyDescent="0.2">
      <c r="G378" s="53"/>
      <c r="H378" s="53"/>
      <c r="I378" s="53"/>
      <c r="J378" s="53"/>
      <c r="K378" s="53"/>
      <c r="L378" s="53"/>
    </row>
    <row r="379" spans="7:12" x14ac:dyDescent="0.2">
      <c r="G379" s="53"/>
      <c r="H379" s="53"/>
      <c r="I379" s="53"/>
      <c r="J379" s="53"/>
      <c r="K379" s="53"/>
      <c r="L379" s="53"/>
    </row>
    <row r="380" spans="7:12" x14ac:dyDescent="0.2">
      <c r="G380" s="53"/>
      <c r="H380" s="53"/>
      <c r="I380" s="53"/>
      <c r="J380" s="53"/>
      <c r="K380" s="53"/>
      <c r="L380" s="53"/>
    </row>
    <row r="381" spans="7:12" x14ac:dyDescent="0.2">
      <c r="G381" s="53"/>
      <c r="H381" s="53"/>
      <c r="I381" s="53"/>
      <c r="J381" s="53"/>
      <c r="K381" s="53"/>
      <c r="L381" s="53"/>
    </row>
    <row r="382" spans="7:12" x14ac:dyDescent="0.2">
      <c r="G382" s="53"/>
      <c r="H382" s="53"/>
      <c r="I382" s="53"/>
      <c r="J382" s="53"/>
      <c r="K382" s="53"/>
      <c r="L382" s="53"/>
    </row>
    <row r="383" spans="7:12" x14ac:dyDescent="0.2">
      <c r="G383" s="53"/>
      <c r="H383" s="53"/>
      <c r="I383" s="53"/>
      <c r="J383" s="53"/>
      <c r="K383" s="53"/>
      <c r="L383" s="53"/>
    </row>
    <row r="384" spans="7:12" x14ac:dyDescent="0.2">
      <c r="G384" s="53"/>
      <c r="H384" s="53"/>
      <c r="I384" s="53"/>
      <c r="J384" s="53"/>
      <c r="K384" s="53"/>
      <c r="L384" s="53"/>
    </row>
    <row r="385" spans="7:12" x14ac:dyDescent="0.2">
      <c r="G385" s="53"/>
      <c r="H385" s="53"/>
      <c r="I385" s="53"/>
      <c r="J385" s="53"/>
      <c r="K385" s="53"/>
      <c r="L385" s="53"/>
    </row>
    <row r="386" spans="7:12" x14ac:dyDescent="0.2">
      <c r="G386" s="53"/>
      <c r="H386" s="53"/>
      <c r="I386" s="53"/>
      <c r="J386" s="53"/>
      <c r="K386" s="53"/>
      <c r="L386" s="53"/>
    </row>
    <row r="387" spans="7:12" x14ac:dyDescent="0.2">
      <c r="G387" s="53"/>
      <c r="H387" s="53"/>
      <c r="I387" s="53"/>
      <c r="J387" s="53"/>
      <c r="K387" s="53"/>
      <c r="L387" s="53"/>
    </row>
    <row r="388" spans="7:12" x14ac:dyDescent="0.2">
      <c r="G388" s="53"/>
      <c r="H388" s="53"/>
      <c r="I388" s="53"/>
      <c r="J388" s="53"/>
      <c r="K388" s="53"/>
      <c r="L388" s="53"/>
    </row>
    <row r="389" spans="7:12" x14ac:dyDescent="0.2">
      <c r="G389" s="53"/>
      <c r="H389" s="53"/>
      <c r="I389" s="53"/>
      <c r="J389" s="53"/>
      <c r="K389" s="53"/>
      <c r="L389" s="53"/>
    </row>
    <row r="390" spans="7:12" x14ac:dyDescent="0.2">
      <c r="G390" s="53"/>
      <c r="H390" s="53"/>
      <c r="I390" s="53"/>
      <c r="J390" s="53"/>
      <c r="K390" s="53"/>
      <c r="L390" s="53"/>
    </row>
    <row r="391" spans="7:12" x14ac:dyDescent="0.2">
      <c r="G391" s="53"/>
      <c r="H391" s="53"/>
      <c r="I391" s="53"/>
      <c r="J391" s="53"/>
      <c r="K391" s="53"/>
      <c r="L391" s="53"/>
    </row>
    <row r="392" spans="7:12" x14ac:dyDescent="0.2">
      <c r="G392" s="53"/>
      <c r="H392" s="53"/>
      <c r="I392" s="53"/>
      <c r="J392" s="53"/>
      <c r="K392" s="53"/>
      <c r="L392" s="53"/>
    </row>
    <row r="393" spans="7:12" x14ac:dyDescent="0.2">
      <c r="G393" s="53"/>
      <c r="H393" s="53"/>
      <c r="I393" s="53"/>
      <c r="J393" s="53"/>
      <c r="K393" s="53"/>
      <c r="L393" s="53"/>
    </row>
    <row r="394" spans="7:12" x14ac:dyDescent="0.2">
      <c r="G394" s="53"/>
      <c r="H394" s="53"/>
      <c r="I394" s="53"/>
      <c r="J394" s="53"/>
      <c r="K394" s="53"/>
      <c r="L394" s="53"/>
    </row>
    <row r="395" spans="7:12" x14ac:dyDescent="0.2">
      <c r="G395" s="53"/>
      <c r="H395" s="53"/>
      <c r="I395" s="53"/>
      <c r="J395" s="53"/>
      <c r="K395" s="53"/>
      <c r="L395" s="53"/>
    </row>
    <row r="396" spans="7:12" x14ac:dyDescent="0.2">
      <c r="G396" s="53"/>
      <c r="H396" s="53"/>
      <c r="I396" s="53"/>
      <c r="J396" s="53"/>
      <c r="K396" s="53"/>
      <c r="L396" s="53"/>
    </row>
    <row r="397" spans="7:12" x14ac:dyDescent="0.2">
      <c r="G397" s="53"/>
      <c r="H397" s="53"/>
      <c r="I397" s="53"/>
      <c r="J397" s="53"/>
      <c r="K397" s="53"/>
      <c r="L397" s="53"/>
    </row>
    <row r="398" spans="7:12" x14ac:dyDescent="0.2">
      <c r="G398" s="53"/>
      <c r="H398" s="53"/>
      <c r="I398" s="53"/>
      <c r="J398" s="53"/>
      <c r="K398" s="53"/>
      <c r="L398" s="53"/>
    </row>
    <row r="399" spans="7:12" x14ac:dyDescent="0.2">
      <c r="G399" s="53"/>
      <c r="H399" s="53"/>
      <c r="I399" s="53"/>
      <c r="J399" s="53"/>
      <c r="K399" s="53"/>
      <c r="L399" s="53"/>
    </row>
    <row r="400" spans="7:12" x14ac:dyDescent="0.2">
      <c r="G400" s="53"/>
      <c r="H400" s="53"/>
      <c r="I400" s="53"/>
      <c r="J400" s="53"/>
      <c r="K400" s="53"/>
      <c r="L400" s="53"/>
    </row>
    <row r="401" spans="7:12" x14ac:dyDescent="0.2">
      <c r="G401" s="53"/>
      <c r="H401" s="53"/>
      <c r="I401" s="53"/>
      <c r="J401" s="53"/>
      <c r="K401" s="53"/>
      <c r="L401" s="53"/>
    </row>
    <row r="402" spans="7:12" x14ac:dyDescent="0.2">
      <c r="G402" s="53"/>
      <c r="H402" s="53"/>
      <c r="I402" s="53"/>
      <c r="J402" s="53"/>
      <c r="K402" s="53"/>
      <c r="L402" s="53"/>
    </row>
    <row r="403" spans="7:12" x14ac:dyDescent="0.2">
      <c r="G403" s="53"/>
      <c r="H403" s="53"/>
      <c r="I403" s="53"/>
      <c r="J403" s="53"/>
      <c r="K403" s="53"/>
      <c r="L403" s="53"/>
    </row>
    <row r="404" spans="7:12" x14ac:dyDescent="0.2">
      <c r="G404" s="53"/>
      <c r="H404" s="53"/>
      <c r="I404" s="53"/>
      <c r="J404" s="53"/>
      <c r="K404" s="53"/>
      <c r="L404" s="53"/>
    </row>
    <row r="405" spans="7:12" x14ac:dyDescent="0.2">
      <c r="G405" s="53"/>
      <c r="H405" s="53"/>
      <c r="I405" s="53"/>
      <c r="J405" s="53"/>
      <c r="K405" s="53"/>
      <c r="L405" s="53"/>
    </row>
    <row r="406" spans="7:12" x14ac:dyDescent="0.2">
      <c r="G406" s="53"/>
      <c r="H406" s="53"/>
      <c r="I406" s="53"/>
      <c r="J406" s="53"/>
      <c r="K406" s="53"/>
      <c r="L406" s="53"/>
    </row>
    <row r="407" spans="7:12" x14ac:dyDescent="0.2">
      <c r="G407" s="53"/>
      <c r="H407" s="53"/>
      <c r="I407" s="53"/>
      <c r="J407" s="53"/>
      <c r="K407" s="53"/>
      <c r="L407" s="53"/>
    </row>
    <row r="408" spans="7:12" x14ac:dyDescent="0.2">
      <c r="G408" s="53"/>
      <c r="H408" s="53"/>
      <c r="I408" s="53"/>
      <c r="J408" s="53"/>
      <c r="K408" s="53"/>
      <c r="L408" s="53"/>
    </row>
    <row r="409" spans="7:12" x14ac:dyDescent="0.2">
      <c r="G409" s="53"/>
      <c r="H409" s="53"/>
      <c r="I409" s="53"/>
      <c r="J409" s="53"/>
      <c r="K409" s="53"/>
      <c r="L409" s="53"/>
    </row>
    <row r="410" spans="7:12" x14ac:dyDescent="0.2">
      <c r="G410" s="53"/>
      <c r="H410" s="53"/>
      <c r="I410" s="53"/>
      <c r="J410" s="53"/>
      <c r="K410" s="53"/>
      <c r="L410" s="53"/>
    </row>
    <row r="411" spans="7:12" x14ac:dyDescent="0.2">
      <c r="G411" s="53"/>
      <c r="H411" s="53"/>
      <c r="I411" s="53"/>
      <c r="J411" s="53"/>
      <c r="K411" s="53"/>
      <c r="L411" s="53"/>
    </row>
    <row r="412" spans="7:12" x14ac:dyDescent="0.2">
      <c r="G412" s="53"/>
      <c r="H412" s="53"/>
      <c r="I412" s="53"/>
      <c r="J412" s="53"/>
      <c r="K412" s="53"/>
      <c r="L412" s="53"/>
    </row>
    <row r="413" spans="7:12" x14ac:dyDescent="0.2">
      <c r="G413" s="53"/>
      <c r="H413" s="53"/>
      <c r="I413" s="53"/>
      <c r="J413" s="53"/>
      <c r="K413" s="53"/>
      <c r="L413" s="53"/>
    </row>
    <row r="414" spans="7:12" x14ac:dyDescent="0.2">
      <c r="G414" s="53"/>
      <c r="H414" s="53"/>
      <c r="I414" s="53"/>
      <c r="J414" s="53"/>
      <c r="K414" s="53"/>
      <c r="L414" s="53"/>
    </row>
    <row r="415" spans="7:12" x14ac:dyDescent="0.2">
      <c r="G415" s="53"/>
      <c r="H415" s="53"/>
      <c r="I415" s="53"/>
      <c r="J415" s="53"/>
      <c r="K415" s="53"/>
      <c r="L415" s="53"/>
    </row>
    <row r="416" spans="7:12" x14ac:dyDescent="0.2">
      <c r="G416" s="53"/>
      <c r="H416" s="53"/>
      <c r="I416" s="53"/>
      <c r="J416" s="53"/>
      <c r="K416" s="53"/>
      <c r="L416" s="53"/>
    </row>
    <row r="417" spans="7:12" x14ac:dyDescent="0.2">
      <c r="G417" s="53"/>
      <c r="H417" s="53"/>
      <c r="I417" s="53"/>
      <c r="J417" s="53"/>
      <c r="K417" s="53"/>
      <c r="L417" s="53"/>
    </row>
    <row r="418" spans="7:12" x14ac:dyDescent="0.2">
      <c r="G418" s="53"/>
      <c r="H418" s="53"/>
      <c r="I418" s="53"/>
      <c r="J418" s="53"/>
      <c r="K418" s="53"/>
      <c r="L418" s="53"/>
    </row>
    <row r="419" spans="7:12" x14ac:dyDescent="0.2">
      <c r="G419" s="53"/>
      <c r="H419" s="53"/>
      <c r="I419" s="53"/>
      <c r="J419" s="53"/>
      <c r="K419" s="53"/>
      <c r="L419" s="53"/>
    </row>
    <row r="420" spans="7:12" x14ac:dyDescent="0.2">
      <c r="G420" s="53"/>
      <c r="H420" s="53"/>
      <c r="I420" s="53"/>
      <c r="J420" s="53"/>
      <c r="K420" s="53"/>
      <c r="L420" s="53"/>
    </row>
    <row r="421" spans="7:12" x14ac:dyDescent="0.2">
      <c r="G421" s="53"/>
      <c r="H421" s="53"/>
      <c r="I421" s="53"/>
      <c r="J421" s="53"/>
      <c r="K421" s="53"/>
      <c r="L421" s="53"/>
    </row>
    <row r="422" spans="7:12" x14ac:dyDescent="0.2">
      <c r="G422" s="53"/>
      <c r="H422" s="53"/>
      <c r="I422" s="53"/>
      <c r="J422" s="53"/>
      <c r="K422" s="53"/>
      <c r="L422" s="53"/>
    </row>
    <row r="423" spans="7:12" x14ac:dyDescent="0.2">
      <c r="G423" s="53"/>
      <c r="H423" s="53"/>
      <c r="I423" s="53"/>
      <c r="J423" s="53"/>
      <c r="K423" s="53"/>
      <c r="L423" s="53"/>
    </row>
    <row r="424" spans="7:12" x14ac:dyDescent="0.2">
      <c r="G424" s="53"/>
      <c r="H424" s="53"/>
      <c r="I424" s="53"/>
      <c r="J424" s="53"/>
      <c r="K424" s="53"/>
      <c r="L424" s="53"/>
    </row>
    <row r="425" spans="7:12" x14ac:dyDescent="0.2">
      <c r="G425" s="53"/>
      <c r="H425" s="53"/>
      <c r="I425" s="53"/>
      <c r="J425" s="53"/>
      <c r="K425" s="53"/>
      <c r="L425" s="53"/>
    </row>
    <row r="426" spans="7:12" x14ac:dyDescent="0.2">
      <c r="G426" s="53"/>
      <c r="H426" s="53"/>
      <c r="I426" s="53"/>
      <c r="J426" s="53"/>
      <c r="K426" s="53"/>
      <c r="L426" s="53"/>
    </row>
    <row r="427" spans="7:12" x14ac:dyDescent="0.2">
      <c r="G427" s="53"/>
      <c r="H427" s="53"/>
      <c r="I427" s="53"/>
      <c r="J427" s="53"/>
      <c r="K427" s="53"/>
      <c r="L427" s="53"/>
    </row>
    <row r="428" spans="7:12" x14ac:dyDescent="0.2">
      <c r="G428" s="53"/>
      <c r="H428" s="53"/>
      <c r="I428" s="53"/>
      <c r="J428" s="53"/>
      <c r="K428" s="53"/>
      <c r="L428" s="53"/>
    </row>
    <row r="429" spans="7:12" x14ac:dyDescent="0.2">
      <c r="G429" s="53"/>
      <c r="H429" s="53"/>
      <c r="I429" s="53"/>
      <c r="J429" s="53"/>
      <c r="K429" s="53"/>
      <c r="L429" s="53"/>
    </row>
    <row r="430" spans="7:12" x14ac:dyDescent="0.2">
      <c r="G430" s="53"/>
      <c r="H430" s="53"/>
      <c r="I430" s="53"/>
      <c r="J430" s="53"/>
      <c r="K430" s="53"/>
      <c r="L430" s="53"/>
    </row>
    <row r="431" spans="7:12" x14ac:dyDescent="0.2">
      <c r="G431" s="53"/>
      <c r="H431" s="53"/>
      <c r="I431" s="53"/>
      <c r="J431" s="53"/>
      <c r="K431" s="53"/>
      <c r="L431" s="53"/>
    </row>
    <row r="432" spans="7:12" x14ac:dyDescent="0.2">
      <c r="G432" s="53"/>
      <c r="H432" s="53"/>
      <c r="I432" s="53"/>
      <c r="J432" s="53"/>
      <c r="K432" s="53"/>
      <c r="L432" s="53"/>
    </row>
    <row r="433" spans="7:12" x14ac:dyDescent="0.2">
      <c r="G433" s="53"/>
      <c r="H433" s="53"/>
      <c r="I433" s="53"/>
      <c r="J433" s="53"/>
      <c r="K433" s="53"/>
      <c r="L433" s="53"/>
    </row>
    <row r="434" spans="7:12" x14ac:dyDescent="0.2">
      <c r="G434" s="53"/>
      <c r="H434" s="53"/>
      <c r="I434" s="53"/>
      <c r="J434" s="53"/>
      <c r="K434" s="53"/>
      <c r="L434" s="53"/>
    </row>
    <row r="435" spans="7:12" x14ac:dyDescent="0.2">
      <c r="G435" s="53"/>
      <c r="H435" s="53"/>
      <c r="I435" s="53"/>
      <c r="J435" s="53"/>
      <c r="K435" s="53"/>
      <c r="L435" s="53"/>
    </row>
    <row r="436" spans="7:12" x14ac:dyDescent="0.2">
      <c r="G436" s="53"/>
      <c r="H436" s="53"/>
      <c r="I436" s="53"/>
      <c r="J436" s="53"/>
      <c r="K436" s="53"/>
      <c r="L436" s="53"/>
    </row>
    <row r="437" spans="7:12" x14ac:dyDescent="0.2">
      <c r="G437" s="53"/>
      <c r="H437" s="53"/>
      <c r="I437" s="53"/>
      <c r="J437" s="53"/>
      <c r="K437" s="53"/>
      <c r="L437" s="53"/>
    </row>
    <row r="438" spans="7:12" x14ac:dyDescent="0.2">
      <c r="G438" s="53"/>
      <c r="H438" s="53"/>
      <c r="I438" s="53"/>
      <c r="J438" s="53"/>
      <c r="K438" s="53"/>
      <c r="L438" s="53"/>
    </row>
    <row r="439" spans="7:12" x14ac:dyDescent="0.2">
      <c r="G439" s="53"/>
      <c r="H439" s="53"/>
      <c r="I439" s="53"/>
      <c r="J439" s="53"/>
      <c r="K439" s="53"/>
      <c r="L439" s="53"/>
    </row>
    <row r="440" spans="7:12" x14ac:dyDescent="0.2">
      <c r="G440" s="53"/>
      <c r="H440" s="53"/>
      <c r="I440" s="53"/>
      <c r="J440" s="53"/>
      <c r="K440" s="53"/>
      <c r="L440" s="53"/>
    </row>
    <row r="441" spans="7:12" x14ac:dyDescent="0.2">
      <c r="G441" s="53"/>
      <c r="H441" s="53"/>
      <c r="I441" s="53"/>
      <c r="J441" s="53"/>
      <c r="K441" s="53"/>
      <c r="L441" s="53"/>
    </row>
    <row r="442" spans="7:12" x14ac:dyDescent="0.2">
      <c r="G442" s="53"/>
      <c r="H442" s="53"/>
      <c r="I442" s="53"/>
      <c r="J442" s="53"/>
      <c r="K442" s="53"/>
      <c r="L442" s="53"/>
    </row>
    <row r="443" spans="7:12" x14ac:dyDescent="0.2">
      <c r="G443" s="53"/>
      <c r="H443" s="53"/>
      <c r="I443" s="53"/>
      <c r="J443" s="53"/>
      <c r="K443" s="53"/>
      <c r="L443" s="53"/>
    </row>
    <row r="444" spans="7:12" x14ac:dyDescent="0.2">
      <c r="G444" s="53"/>
      <c r="H444" s="53"/>
      <c r="I444" s="53"/>
      <c r="J444" s="53"/>
      <c r="K444" s="53"/>
      <c r="L444" s="53"/>
    </row>
    <row r="445" spans="7:12" x14ac:dyDescent="0.2">
      <c r="G445" s="53"/>
      <c r="H445" s="53"/>
      <c r="I445" s="53"/>
      <c r="J445" s="53"/>
      <c r="K445" s="53"/>
      <c r="L445" s="53"/>
    </row>
    <row r="446" spans="7:12" x14ac:dyDescent="0.2">
      <c r="G446" s="53"/>
      <c r="H446" s="53"/>
      <c r="I446" s="53"/>
      <c r="J446" s="53"/>
      <c r="K446" s="53"/>
      <c r="L446" s="53"/>
    </row>
    <row r="447" spans="7:12" x14ac:dyDescent="0.2">
      <c r="G447" s="53"/>
      <c r="H447" s="53"/>
      <c r="I447" s="53"/>
      <c r="J447" s="53"/>
      <c r="K447" s="53"/>
      <c r="L447" s="53"/>
    </row>
    <row r="448" spans="7:12" x14ac:dyDescent="0.2">
      <c r="G448" s="53"/>
      <c r="H448" s="53"/>
      <c r="I448" s="53"/>
      <c r="J448" s="53"/>
      <c r="K448" s="53"/>
      <c r="L448" s="53"/>
    </row>
    <row r="449" spans="7:12" x14ac:dyDescent="0.2">
      <c r="G449" s="53"/>
      <c r="H449" s="53"/>
      <c r="I449" s="53"/>
      <c r="J449" s="53"/>
      <c r="K449" s="53"/>
      <c r="L449" s="53"/>
    </row>
    <row r="450" spans="7:12" x14ac:dyDescent="0.2">
      <c r="G450" s="53"/>
      <c r="H450" s="53"/>
      <c r="I450" s="53"/>
      <c r="J450" s="53"/>
      <c r="K450" s="53"/>
      <c r="L450" s="53"/>
    </row>
    <row r="451" spans="7:12" x14ac:dyDescent="0.2">
      <c r="G451" s="53"/>
      <c r="H451" s="53"/>
      <c r="I451" s="53"/>
      <c r="J451" s="53"/>
      <c r="K451" s="53"/>
      <c r="L451" s="53"/>
    </row>
    <row r="452" spans="7:12" x14ac:dyDescent="0.2">
      <c r="G452" s="53"/>
      <c r="H452" s="53"/>
      <c r="I452" s="53"/>
      <c r="J452" s="53"/>
      <c r="K452" s="53"/>
      <c r="L452" s="53"/>
    </row>
    <row r="453" spans="7:12" x14ac:dyDescent="0.2">
      <c r="G453" s="53"/>
      <c r="H453" s="53"/>
      <c r="I453" s="53"/>
      <c r="J453" s="53"/>
      <c r="K453" s="53"/>
      <c r="L453" s="53"/>
    </row>
    <row r="454" spans="7:12" x14ac:dyDescent="0.2">
      <c r="G454" s="53"/>
      <c r="H454" s="53"/>
      <c r="I454" s="53"/>
      <c r="J454" s="53"/>
      <c r="K454" s="53"/>
      <c r="L454" s="53"/>
    </row>
    <row r="455" spans="7:12" x14ac:dyDescent="0.2">
      <c r="G455" s="53"/>
      <c r="H455" s="53"/>
      <c r="I455" s="53"/>
      <c r="J455" s="53"/>
      <c r="K455" s="53"/>
      <c r="L455" s="53"/>
    </row>
    <row r="456" spans="7:12" x14ac:dyDescent="0.2">
      <c r="G456" s="53"/>
      <c r="H456" s="53"/>
      <c r="I456" s="53"/>
      <c r="J456" s="53"/>
      <c r="K456" s="53"/>
      <c r="L456" s="53"/>
    </row>
    <row r="457" spans="7:12" x14ac:dyDescent="0.2">
      <c r="G457" s="53"/>
      <c r="H457" s="53"/>
      <c r="I457" s="53"/>
      <c r="J457" s="53"/>
      <c r="K457" s="53"/>
      <c r="L457" s="53"/>
    </row>
    <row r="458" spans="7:12" x14ac:dyDescent="0.2">
      <c r="G458" s="53"/>
      <c r="H458" s="53"/>
      <c r="I458" s="53"/>
      <c r="J458" s="53"/>
      <c r="K458" s="53"/>
      <c r="L458" s="53"/>
    </row>
    <row r="459" spans="7:12" x14ac:dyDescent="0.2">
      <c r="G459" s="53"/>
      <c r="H459" s="53"/>
      <c r="I459" s="53"/>
      <c r="J459" s="53"/>
      <c r="K459" s="53"/>
      <c r="L459" s="53"/>
    </row>
    <row r="460" spans="7:12" x14ac:dyDescent="0.2">
      <c r="G460" s="53"/>
      <c r="H460" s="53"/>
      <c r="I460" s="53"/>
      <c r="J460" s="53"/>
      <c r="K460" s="53"/>
      <c r="L460" s="53"/>
    </row>
    <row r="461" spans="7:12" x14ac:dyDescent="0.2">
      <c r="G461" s="53"/>
      <c r="H461" s="53"/>
      <c r="I461" s="53"/>
      <c r="J461" s="53"/>
      <c r="K461" s="53"/>
      <c r="L461" s="53"/>
    </row>
    <row r="462" spans="7:12" x14ac:dyDescent="0.2">
      <c r="G462" s="53"/>
      <c r="H462" s="53"/>
      <c r="I462" s="53"/>
      <c r="J462" s="53"/>
      <c r="K462" s="53"/>
      <c r="L462" s="53"/>
    </row>
    <row r="463" spans="7:12" x14ac:dyDescent="0.2">
      <c r="G463" s="53"/>
      <c r="H463" s="53"/>
      <c r="I463" s="53"/>
      <c r="J463" s="53"/>
      <c r="K463" s="53"/>
      <c r="L463" s="53"/>
    </row>
    <row r="464" spans="7:12" x14ac:dyDescent="0.2">
      <c r="G464" s="53"/>
      <c r="H464" s="53"/>
      <c r="I464" s="53"/>
      <c r="J464" s="53"/>
      <c r="K464" s="53"/>
      <c r="L464" s="53"/>
    </row>
    <row r="465" spans="7:12" x14ac:dyDescent="0.2">
      <c r="G465" s="53"/>
      <c r="H465" s="53"/>
      <c r="I465" s="53"/>
      <c r="J465" s="53"/>
      <c r="K465" s="53"/>
      <c r="L465" s="53"/>
    </row>
    <row r="466" spans="7:12" x14ac:dyDescent="0.2">
      <c r="G466" s="53"/>
      <c r="H466" s="53"/>
      <c r="I466" s="53"/>
      <c r="J466" s="53"/>
      <c r="K466" s="53"/>
      <c r="L466" s="53"/>
    </row>
    <row r="467" spans="7:12" x14ac:dyDescent="0.2">
      <c r="G467" s="53"/>
      <c r="H467" s="53"/>
      <c r="I467" s="53"/>
      <c r="J467" s="53"/>
      <c r="K467" s="53"/>
      <c r="L467" s="53"/>
    </row>
    <row r="468" spans="7:12" x14ac:dyDescent="0.2">
      <c r="G468" s="53"/>
      <c r="H468" s="53"/>
      <c r="I468" s="53"/>
      <c r="J468" s="53"/>
      <c r="K468" s="53"/>
      <c r="L468" s="53"/>
    </row>
    <row r="469" spans="7:12" x14ac:dyDescent="0.2">
      <c r="G469" s="53"/>
      <c r="H469" s="53"/>
      <c r="I469" s="53"/>
      <c r="J469" s="53"/>
      <c r="K469" s="53"/>
      <c r="L469" s="53"/>
    </row>
    <row r="470" spans="7:12" x14ac:dyDescent="0.2">
      <c r="G470" s="53"/>
      <c r="H470" s="53"/>
      <c r="I470" s="53"/>
      <c r="J470" s="53"/>
      <c r="K470" s="53"/>
      <c r="L470" s="53"/>
    </row>
    <row r="471" spans="7:12" x14ac:dyDescent="0.2">
      <c r="G471" s="53"/>
      <c r="H471" s="53"/>
      <c r="I471" s="53"/>
      <c r="J471" s="53"/>
      <c r="K471" s="53"/>
      <c r="L471" s="53"/>
    </row>
    <row r="472" spans="7:12" x14ac:dyDescent="0.2">
      <c r="G472" s="53"/>
      <c r="H472" s="53"/>
      <c r="I472" s="53"/>
      <c r="J472" s="53"/>
      <c r="K472" s="53"/>
      <c r="L472" s="53"/>
    </row>
    <row r="473" spans="7:12" x14ac:dyDescent="0.2">
      <c r="G473" s="53"/>
      <c r="H473" s="53"/>
      <c r="I473" s="53"/>
      <c r="J473" s="53"/>
      <c r="K473" s="53"/>
      <c r="L473" s="53"/>
    </row>
    <row r="474" spans="7:12" x14ac:dyDescent="0.2">
      <c r="G474" s="53"/>
      <c r="H474" s="53"/>
      <c r="I474" s="53"/>
      <c r="J474" s="53"/>
      <c r="K474" s="53"/>
      <c r="L474" s="53"/>
    </row>
    <row r="475" spans="7:12" x14ac:dyDescent="0.2">
      <c r="G475" s="53"/>
      <c r="H475" s="53"/>
      <c r="I475" s="53"/>
      <c r="J475" s="53"/>
      <c r="K475" s="53"/>
      <c r="L475" s="53"/>
    </row>
    <row r="476" spans="7:12" x14ac:dyDescent="0.2">
      <c r="G476" s="53"/>
      <c r="H476" s="53"/>
      <c r="I476" s="53"/>
      <c r="J476" s="53"/>
      <c r="K476" s="53"/>
      <c r="L476" s="53"/>
    </row>
    <row r="477" spans="7:12" x14ac:dyDescent="0.2">
      <c r="G477" s="53"/>
      <c r="H477" s="53"/>
      <c r="I477" s="53"/>
      <c r="J477" s="53"/>
      <c r="K477" s="53"/>
      <c r="L477" s="53"/>
    </row>
    <row r="478" spans="7:12" x14ac:dyDescent="0.2">
      <c r="G478" s="53"/>
      <c r="H478" s="53"/>
      <c r="I478" s="53"/>
      <c r="J478" s="53"/>
      <c r="K478" s="53"/>
      <c r="L478" s="53"/>
    </row>
    <row r="479" spans="7:12" x14ac:dyDescent="0.2">
      <c r="G479" s="53"/>
      <c r="H479" s="53"/>
      <c r="I479" s="53"/>
      <c r="J479" s="53"/>
      <c r="K479" s="53"/>
      <c r="L479" s="53"/>
    </row>
    <row r="480" spans="7:12" x14ac:dyDescent="0.2">
      <c r="G480" s="53"/>
      <c r="H480" s="53"/>
      <c r="I480" s="53"/>
      <c r="J480" s="53"/>
      <c r="K480" s="53"/>
      <c r="L480" s="53"/>
    </row>
    <row r="481" spans="7:12" x14ac:dyDescent="0.2">
      <c r="G481" s="53"/>
      <c r="H481" s="53"/>
      <c r="I481" s="53"/>
      <c r="J481" s="53"/>
      <c r="K481" s="53"/>
      <c r="L481" s="53"/>
    </row>
    <row r="482" spans="7:12" x14ac:dyDescent="0.2">
      <c r="G482" s="53"/>
      <c r="H482" s="53"/>
      <c r="I482" s="53"/>
      <c r="J482" s="53"/>
      <c r="K482" s="53"/>
      <c r="L482" s="53"/>
    </row>
    <row r="483" spans="7:12" x14ac:dyDescent="0.2">
      <c r="G483" s="53"/>
      <c r="H483" s="53"/>
      <c r="I483" s="53"/>
      <c r="J483" s="53"/>
      <c r="K483" s="53"/>
      <c r="L483" s="53"/>
    </row>
    <row r="484" spans="7:12" x14ac:dyDescent="0.2">
      <c r="G484" s="53"/>
      <c r="H484" s="53"/>
      <c r="I484" s="53"/>
      <c r="J484" s="53"/>
      <c r="K484" s="53"/>
      <c r="L484" s="53"/>
    </row>
    <row r="485" spans="7:12" x14ac:dyDescent="0.2">
      <c r="G485" s="53"/>
      <c r="H485" s="53"/>
      <c r="I485" s="53"/>
      <c r="J485" s="53"/>
      <c r="K485" s="53"/>
      <c r="L485" s="53"/>
    </row>
    <row r="486" spans="7:12" x14ac:dyDescent="0.2">
      <c r="G486" s="53"/>
      <c r="H486" s="53"/>
      <c r="I486" s="53"/>
      <c r="J486" s="53"/>
      <c r="K486" s="53"/>
      <c r="L486" s="53"/>
    </row>
    <row r="487" spans="7:12" x14ac:dyDescent="0.2">
      <c r="G487" s="53"/>
      <c r="H487" s="53"/>
      <c r="I487" s="53"/>
      <c r="J487" s="53"/>
      <c r="K487" s="53"/>
      <c r="L487" s="53"/>
    </row>
    <row r="488" spans="7:12" x14ac:dyDescent="0.2">
      <c r="G488" s="53"/>
      <c r="H488" s="53"/>
      <c r="I488" s="53"/>
      <c r="J488" s="53"/>
      <c r="K488" s="53"/>
      <c r="L488" s="53"/>
    </row>
    <row r="489" spans="7:12" x14ac:dyDescent="0.2">
      <c r="G489" s="53"/>
      <c r="H489" s="53"/>
      <c r="I489" s="53"/>
      <c r="J489" s="53"/>
      <c r="K489" s="53"/>
      <c r="L489" s="53"/>
    </row>
    <row r="490" spans="7:12" x14ac:dyDescent="0.2">
      <c r="G490" s="53"/>
      <c r="H490" s="53"/>
      <c r="I490" s="53"/>
      <c r="J490" s="53"/>
      <c r="K490" s="53"/>
      <c r="L490" s="53"/>
    </row>
    <row r="491" spans="7:12" x14ac:dyDescent="0.2">
      <c r="G491" s="53"/>
      <c r="H491" s="53"/>
      <c r="I491" s="53"/>
      <c r="J491" s="53"/>
      <c r="K491" s="53"/>
      <c r="L491" s="53"/>
    </row>
    <row r="492" spans="7:12" x14ac:dyDescent="0.2">
      <c r="G492" s="53"/>
      <c r="H492" s="53"/>
      <c r="I492" s="53"/>
      <c r="J492" s="53"/>
      <c r="K492" s="53"/>
      <c r="L492" s="53"/>
    </row>
    <row r="493" spans="7:12" x14ac:dyDescent="0.2">
      <c r="G493" s="53"/>
      <c r="H493" s="53"/>
      <c r="I493" s="53"/>
      <c r="J493" s="53"/>
      <c r="K493" s="53"/>
      <c r="L493" s="53"/>
    </row>
    <row r="494" spans="7:12" x14ac:dyDescent="0.2">
      <c r="G494" s="53"/>
      <c r="H494" s="53"/>
      <c r="I494" s="53"/>
      <c r="J494" s="53"/>
      <c r="K494" s="53"/>
      <c r="L494" s="53"/>
    </row>
    <row r="495" spans="7:12" x14ac:dyDescent="0.2">
      <c r="G495" s="53"/>
      <c r="H495" s="53"/>
      <c r="I495" s="53"/>
      <c r="J495" s="53"/>
      <c r="K495" s="53"/>
      <c r="L495" s="53"/>
    </row>
    <row r="496" spans="7:12" x14ac:dyDescent="0.2">
      <c r="G496" s="53"/>
      <c r="H496" s="53"/>
      <c r="I496" s="53"/>
      <c r="J496" s="53"/>
      <c r="K496" s="53"/>
      <c r="L496" s="53"/>
    </row>
    <row r="497" spans="7:12" x14ac:dyDescent="0.2">
      <c r="G497" s="53"/>
      <c r="H497" s="53"/>
      <c r="I497" s="53"/>
      <c r="J497" s="53"/>
      <c r="K497" s="53"/>
      <c r="L497" s="53"/>
    </row>
    <row r="498" spans="7:12" x14ac:dyDescent="0.2">
      <c r="G498" s="53"/>
      <c r="H498" s="53"/>
      <c r="I498" s="53"/>
      <c r="J498" s="53"/>
      <c r="K498" s="53"/>
      <c r="L498" s="53"/>
    </row>
    <row r="499" spans="7:12" x14ac:dyDescent="0.2">
      <c r="G499" s="53"/>
      <c r="H499" s="53"/>
      <c r="I499" s="53"/>
      <c r="J499" s="53"/>
      <c r="K499" s="53"/>
      <c r="L499" s="53"/>
    </row>
    <row r="500" spans="7:12" x14ac:dyDescent="0.2">
      <c r="G500" s="53"/>
      <c r="H500" s="53"/>
      <c r="I500" s="53"/>
      <c r="J500" s="53"/>
      <c r="K500" s="53"/>
      <c r="L500" s="53"/>
    </row>
    <row r="501" spans="7:12" x14ac:dyDescent="0.2">
      <c r="G501" s="53"/>
      <c r="H501" s="53"/>
      <c r="I501" s="53"/>
      <c r="J501" s="53"/>
      <c r="K501" s="53"/>
      <c r="L501" s="53"/>
    </row>
    <row r="502" spans="7:12" x14ac:dyDescent="0.2">
      <c r="G502" s="53"/>
      <c r="H502" s="53"/>
      <c r="I502" s="53"/>
      <c r="J502" s="53"/>
      <c r="K502" s="53"/>
      <c r="L502" s="53"/>
    </row>
    <row r="503" spans="7:12" x14ac:dyDescent="0.2">
      <c r="G503" s="53"/>
      <c r="H503" s="53"/>
      <c r="I503" s="53"/>
      <c r="J503" s="53"/>
      <c r="K503" s="53"/>
      <c r="L503" s="53"/>
    </row>
    <row r="504" spans="7:12" x14ac:dyDescent="0.2">
      <c r="G504" s="53"/>
      <c r="H504" s="53"/>
      <c r="I504" s="53"/>
      <c r="J504" s="53"/>
      <c r="K504" s="53"/>
      <c r="L504" s="53"/>
    </row>
    <row r="505" spans="7:12" x14ac:dyDescent="0.2">
      <c r="G505" s="53"/>
      <c r="H505" s="53"/>
      <c r="I505" s="53"/>
      <c r="J505" s="53"/>
      <c r="K505" s="53"/>
      <c r="L505" s="53"/>
    </row>
    <row r="506" spans="7:12" x14ac:dyDescent="0.2">
      <c r="G506" s="53"/>
      <c r="H506" s="53"/>
      <c r="I506" s="53"/>
      <c r="J506" s="53"/>
      <c r="K506" s="53"/>
      <c r="L506" s="53"/>
    </row>
    <row r="507" spans="7:12" x14ac:dyDescent="0.2">
      <c r="G507" s="53"/>
      <c r="H507" s="53"/>
      <c r="I507" s="53"/>
      <c r="J507" s="53"/>
      <c r="K507" s="53"/>
      <c r="L507" s="53"/>
    </row>
    <row r="508" spans="7:12" x14ac:dyDescent="0.2">
      <c r="G508" s="53"/>
      <c r="H508" s="53"/>
      <c r="I508" s="53"/>
      <c r="J508" s="53"/>
      <c r="K508" s="53"/>
      <c r="L508" s="53"/>
    </row>
    <row r="509" spans="7:12" x14ac:dyDescent="0.2">
      <c r="G509" s="53"/>
      <c r="H509" s="53"/>
      <c r="I509" s="53"/>
      <c r="J509" s="53"/>
      <c r="K509" s="53"/>
      <c r="L509" s="53"/>
    </row>
    <row r="510" spans="7:12" x14ac:dyDescent="0.2">
      <c r="G510" s="53"/>
      <c r="H510" s="53"/>
      <c r="I510" s="53"/>
      <c r="J510" s="53"/>
      <c r="K510" s="53"/>
      <c r="L510" s="53"/>
    </row>
    <row r="511" spans="7:12" x14ac:dyDescent="0.2">
      <c r="G511" s="53"/>
      <c r="H511" s="53"/>
      <c r="I511" s="53"/>
      <c r="J511" s="53"/>
      <c r="K511" s="53"/>
      <c r="L511" s="53"/>
    </row>
    <row r="512" spans="7:12" x14ac:dyDescent="0.2">
      <c r="G512" s="53"/>
      <c r="H512" s="53"/>
      <c r="I512" s="53"/>
      <c r="J512" s="53"/>
      <c r="K512" s="53"/>
      <c r="L512" s="53"/>
    </row>
    <row r="513" spans="7:12" x14ac:dyDescent="0.2">
      <c r="G513" s="53"/>
      <c r="H513" s="53"/>
      <c r="I513" s="53"/>
      <c r="J513" s="53"/>
      <c r="K513" s="53"/>
      <c r="L513" s="53"/>
    </row>
    <row r="514" spans="7:12" x14ac:dyDescent="0.2">
      <c r="G514" s="53"/>
      <c r="H514" s="53"/>
      <c r="I514" s="53"/>
      <c r="J514" s="53"/>
      <c r="K514" s="53"/>
      <c r="L514" s="53"/>
    </row>
    <row r="515" spans="7:12" x14ac:dyDescent="0.2">
      <c r="G515" s="53"/>
      <c r="H515" s="53"/>
      <c r="I515" s="53"/>
      <c r="J515" s="53"/>
      <c r="K515" s="53"/>
      <c r="L515" s="53"/>
    </row>
    <row r="516" spans="7:12" x14ac:dyDescent="0.2">
      <c r="G516" s="53"/>
      <c r="H516" s="53"/>
      <c r="I516" s="53"/>
      <c r="J516" s="53"/>
      <c r="K516" s="53"/>
      <c r="L516" s="53"/>
    </row>
    <row r="517" spans="7:12" x14ac:dyDescent="0.2">
      <c r="G517" s="53"/>
      <c r="H517" s="53"/>
      <c r="I517" s="53"/>
      <c r="J517" s="53"/>
      <c r="K517" s="53"/>
      <c r="L517" s="53"/>
    </row>
    <row r="518" spans="7:12" x14ac:dyDescent="0.2">
      <c r="G518" s="53"/>
      <c r="H518" s="53"/>
      <c r="I518" s="53"/>
      <c r="J518" s="53"/>
      <c r="K518" s="53"/>
      <c r="L518" s="53"/>
    </row>
    <row r="519" spans="7:12" x14ac:dyDescent="0.2">
      <c r="G519" s="53"/>
      <c r="H519" s="53"/>
      <c r="I519" s="53"/>
      <c r="J519" s="53"/>
      <c r="K519" s="53"/>
      <c r="L519" s="53"/>
    </row>
    <row r="520" spans="7:12" x14ac:dyDescent="0.2">
      <c r="G520" s="53"/>
      <c r="H520" s="53"/>
      <c r="I520" s="53"/>
      <c r="J520" s="53"/>
      <c r="K520" s="53"/>
      <c r="L520" s="53"/>
    </row>
    <row r="521" spans="7:12" x14ac:dyDescent="0.2">
      <c r="G521" s="53"/>
      <c r="H521" s="53"/>
      <c r="I521" s="53"/>
      <c r="J521" s="53"/>
      <c r="K521" s="53"/>
      <c r="L521" s="53"/>
    </row>
    <row r="522" spans="7:12" x14ac:dyDescent="0.2">
      <c r="G522" s="53"/>
      <c r="H522" s="53"/>
      <c r="I522" s="53"/>
      <c r="J522" s="53"/>
      <c r="K522" s="53"/>
      <c r="L522" s="53"/>
    </row>
    <row r="523" spans="7:12" x14ac:dyDescent="0.2">
      <c r="G523" s="53"/>
      <c r="H523" s="53"/>
      <c r="I523" s="53"/>
      <c r="J523" s="53"/>
      <c r="K523" s="53"/>
      <c r="L523" s="53"/>
    </row>
    <row r="524" spans="7:12" x14ac:dyDescent="0.2">
      <c r="G524" s="53"/>
      <c r="H524" s="53"/>
      <c r="I524" s="53"/>
      <c r="J524" s="53"/>
      <c r="K524" s="53"/>
      <c r="L524" s="53"/>
    </row>
    <row r="525" spans="7:12" x14ac:dyDescent="0.2">
      <c r="G525" s="53"/>
      <c r="H525" s="53"/>
      <c r="I525" s="53"/>
      <c r="J525" s="53"/>
      <c r="K525" s="53"/>
      <c r="L525" s="53"/>
    </row>
    <row r="526" spans="7:12" x14ac:dyDescent="0.2">
      <c r="G526" s="53"/>
      <c r="H526" s="53"/>
      <c r="I526" s="53"/>
      <c r="J526" s="53"/>
      <c r="K526" s="53"/>
      <c r="L526" s="53"/>
    </row>
    <row r="527" spans="7:12" x14ac:dyDescent="0.2">
      <c r="G527" s="53"/>
      <c r="H527" s="53"/>
      <c r="I527" s="53"/>
      <c r="J527" s="53"/>
      <c r="K527" s="53"/>
      <c r="L527" s="53"/>
    </row>
    <row r="528" spans="7:12" x14ac:dyDescent="0.2">
      <c r="G528" s="53"/>
      <c r="H528" s="53"/>
      <c r="I528" s="53"/>
      <c r="J528" s="53"/>
      <c r="K528" s="53"/>
      <c r="L528" s="53"/>
    </row>
    <row r="529" spans="7:12" x14ac:dyDescent="0.2">
      <c r="G529" s="53"/>
      <c r="H529" s="53"/>
      <c r="I529" s="53"/>
      <c r="J529" s="53"/>
      <c r="K529" s="53"/>
      <c r="L529" s="53"/>
    </row>
    <row r="530" spans="7:12" x14ac:dyDescent="0.2">
      <c r="G530" s="53"/>
      <c r="H530" s="53"/>
      <c r="I530" s="53"/>
      <c r="J530" s="53"/>
      <c r="K530" s="53"/>
      <c r="L530" s="53"/>
    </row>
    <row r="531" spans="7:12" x14ac:dyDescent="0.2">
      <c r="G531" s="53"/>
      <c r="H531" s="53"/>
      <c r="I531" s="53"/>
      <c r="J531" s="53"/>
      <c r="K531" s="53"/>
      <c r="L531" s="53"/>
    </row>
    <row r="532" spans="7:12" x14ac:dyDescent="0.2">
      <c r="G532" s="53"/>
      <c r="H532" s="53"/>
      <c r="I532" s="53"/>
      <c r="J532" s="53"/>
      <c r="K532" s="53"/>
      <c r="L532" s="53"/>
    </row>
    <row r="533" spans="7:12" x14ac:dyDescent="0.2">
      <c r="G533" s="53"/>
      <c r="H533" s="53"/>
      <c r="I533" s="53"/>
      <c r="J533" s="53"/>
      <c r="K533" s="53"/>
      <c r="L533" s="53"/>
    </row>
    <row r="534" spans="7:12" x14ac:dyDescent="0.2">
      <c r="G534" s="53"/>
      <c r="H534" s="53"/>
      <c r="I534" s="53"/>
      <c r="J534" s="53"/>
      <c r="K534" s="53"/>
      <c r="L534" s="53"/>
    </row>
    <row r="535" spans="7:12" x14ac:dyDescent="0.2">
      <c r="G535" s="53"/>
      <c r="H535" s="53"/>
      <c r="I535" s="53"/>
      <c r="J535" s="53"/>
      <c r="K535" s="53"/>
      <c r="L535" s="53"/>
    </row>
    <row r="536" spans="7:12" x14ac:dyDescent="0.2">
      <c r="G536" s="53"/>
      <c r="H536" s="53"/>
      <c r="I536" s="53"/>
      <c r="J536" s="53"/>
      <c r="K536" s="53"/>
      <c r="L536" s="53"/>
    </row>
    <row r="537" spans="7:12" x14ac:dyDescent="0.2">
      <c r="G537" s="53"/>
      <c r="H537" s="53"/>
      <c r="I537" s="53"/>
      <c r="J537" s="53"/>
      <c r="K537" s="53"/>
      <c r="L537" s="53"/>
    </row>
    <row r="538" spans="7:12" x14ac:dyDescent="0.2">
      <c r="G538" s="53"/>
      <c r="H538" s="53"/>
      <c r="I538" s="53"/>
      <c r="J538" s="53"/>
      <c r="K538" s="53"/>
      <c r="L538" s="53"/>
    </row>
    <row r="539" spans="7:12" x14ac:dyDescent="0.2">
      <c r="G539" s="53"/>
      <c r="H539" s="53"/>
      <c r="I539" s="53"/>
      <c r="J539" s="53"/>
      <c r="K539" s="53"/>
      <c r="L539" s="53"/>
    </row>
    <row r="540" spans="7:12" x14ac:dyDescent="0.2">
      <c r="G540" s="53"/>
      <c r="H540" s="53"/>
      <c r="I540" s="53"/>
      <c r="J540" s="53"/>
      <c r="K540" s="53"/>
      <c r="L540" s="53"/>
    </row>
    <row r="541" spans="7:12" x14ac:dyDescent="0.2">
      <c r="G541" s="53"/>
      <c r="H541" s="53"/>
      <c r="I541" s="53"/>
      <c r="J541" s="53"/>
      <c r="K541" s="53"/>
      <c r="L541" s="53"/>
    </row>
    <row r="542" spans="7:12" x14ac:dyDescent="0.2">
      <c r="G542" s="53"/>
      <c r="H542" s="53"/>
      <c r="I542" s="53"/>
      <c r="J542" s="53"/>
      <c r="K542" s="53"/>
      <c r="L542" s="53"/>
    </row>
    <row r="543" spans="7:12" x14ac:dyDescent="0.2">
      <c r="G543" s="53"/>
      <c r="H543" s="53"/>
      <c r="I543" s="53"/>
      <c r="J543" s="53"/>
      <c r="K543" s="53"/>
      <c r="L543" s="53"/>
    </row>
    <row r="544" spans="7:12" x14ac:dyDescent="0.2">
      <c r="G544" s="53"/>
      <c r="H544" s="53"/>
      <c r="I544" s="53"/>
      <c r="J544" s="53"/>
      <c r="K544" s="53"/>
      <c r="L544" s="53"/>
    </row>
    <row r="545" spans="7:12" x14ac:dyDescent="0.2">
      <c r="G545" s="53"/>
      <c r="H545" s="53"/>
      <c r="I545" s="53"/>
      <c r="J545" s="53"/>
      <c r="K545" s="53"/>
      <c r="L545" s="53"/>
    </row>
    <row r="546" spans="7:12" x14ac:dyDescent="0.2">
      <c r="G546" s="53"/>
      <c r="H546" s="53"/>
      <c r="I546" s="53"/>
      <c r="J546" s="53"/>
      <c r="K546" s="53"/>
      <c r="L546" s="53"/>
    </row>
    <row r="547" spans="7:12" x14ac:dyDescent="0.2">
      <c r="G547" s="53"/>
      <c r="H547" s="53"/>
      <c r="I547" s="53"/>
      <c r="J547" s="53"/>
      <c r="K547" s="53"/>
      <c r="L547" s="53"/>
    </row>
    <row r="548" spans="7:12" x14ac:dyDescent="0.2">
      <c r="G548" s="53"/>
      <c r="H548" s="53"/>
      <c r="I548" s="53"/>
      <c r="J548" s="53"/>
      <c r="K548" s="53"/>
      <c r="L548" s="53"/>
    </row>
    <row r="549" spans="7:12" x14ac:dyDescent="0.2">
      <c r="G549" s="53"/>
      <c r="H549" s="53"/>
      <c r="I549" s="53"/>
      <c r="J549" s="53"/>
      <c r="K549" s="53"/>
      <c r="L549" s="53"/>
    </row>
    <row r="550" spans="7:12" x14ac:dyDescent="0.2">
      <c r="G550" s="53"/>
      <c r="H550" s="53"/>
      <c r="I550" s="53"/>
      <c r="J550" s="53"/>
      <c r="K550" s="53"/>
      <c r="L550" s="53"/>
    </row>
    <row r="551" spans="7:12" x14ac:dyDescent="0.2">
      <c r="G551" s="53"/>
      <c r="H551" s="53"/>
      <c r="I551" s="53"/>
      <c r="J551" s="53"/>
      <c r="K551" s="53"/>
      <c r="L551" s="53"/>
    </row>
    <row r="552" spans="7:12" x14ac:dyDescent="0.2">
      <c r="G552" s="53"/>
      <c r="H552" s="53"/>
      <c r="I552" s="53"/>
      <c r="J552" s="53"/>
      <c r="K552" s="53"/>
      <c r="L552" s="53"/>
    </row>
    <row r="553" spans="7:12" x14ac:dyDescent="0.2">
      <c r="G553" s="53"/>
      <c r="H553" s="53"/>
      <c r="I553" s="53"/>
      <c r="J553" s="53"/>
      <c r="K553" s="53"/>
      <c r="L553" s="53"/>
    </row>
    <row r="554" spans="7:12" x14ac:dyDescent="0.2">
      <c r="G554" s="53"/>
      <c r="H554" s="53"/>
      <c r="I554" s="53"/>
      <c r="J554" s="53"/>
      <c r="K554" s="53"/>
      <c r="L554" s="53"/>
    </row>
    <row r="555" spans="7:12" x14ac:dyDescent="0.2">
      <c r="G555" s="53"/>
      <c r="H555" s="53"/>
      <c r="I555" s="53"/>
      <c r="J555" s="53"/>
      <c r="K555" s="53"/>
      <c r="L555" s="53"/>
    </row>
    <row r="556" spans="7:12" x14ac:dyDescent="0.2">
      <c r="G556" s="53"/>
      <c r="H556" s="53"/>
      <c r="I556" s="53"/>
      <c r="J556" s="53"/>
      <c r="K556" s="53"/>
      <c r="L556" s="53"/>
    </row>
    <row r="557" spans="7:12" x14ac:dyDescent="0.2">
      <c r="G557" s="53"/>
      <c r="H557" s="53"/>
      <c r="I557" s="53"/>
      <c r="J557" s="53"/>
      <c r="K557" s="53"/>
      <c r="L557" s="53"/>
    </row>
    <row r="558" spans="7:12" x14ac:dyDescent="0.2">
      <c r="G558" s="53"/>
      <c r="H558" s="53"/>
      <c r="I558" s="53"/>
      <c r="J558" s="53"/>
      <c r="K558" s="53"/>
      <c r="L558" s="53"/>
    </row>
    <row r="559" spans="7:12" x14ac:dyDescent="0.2">
      <c r="G559" s="53"/>
      <c r="H559" s="53"/>
      <c r="I559" s="53"/>
      <c r="J559" s="53"/>
      <c r="K559" s="53"/>
      <c r="L559" s="53"/>
    </row>
    <row r="560" spans="7:12" x14ac:dyDescent="0.2">
      <c r="G560" s="53"/>
      <c r="H560" s="53"/>
      <c r="I560" s="53"/>
      <c r="J560" s="53"/>
      <c r="K560" s="53"/>
      <c r="L560" s="53"/>
    </row>
    <row r="561" spans="7:12" x14ac:dyDescent="0.2">
      <c r="G561" s="53"/>
      <c r="H561" s="53"/>
      <c r="I561" s="53"/>
      <c r="J561" s="53"/>
      <c r="K561" s="53"/>
      <c r="L561" s="53"/>
    </row>
    <row r="562" spans="7:12" x14ac:dyDescent="0.2">
      <c r="G562" s="53"/>
      <c r="H562" s="53"/>
      <c r="I562" s="53"/>
      <c r="J562" s="53"/>
      <c r="K562" s="53"/>
      <c r="L562" s="53"/>
    </row>
    <row r="563" spans="7:12" x14ac:dyDescent="0.2">
      <c r="G563" s="53"/>
      <c r="H563" s="53"/>
      <c r="I563" s="53"/>
      <c r="J563" s="53"/>
      <c r="K563" s="53"/>
      <c r="L563" s="53"/>
    </row>
    <row r="564" spans="7:12" x14ac:dyDescent="0.2">
      <c r="G564" s="53"/>
      <c r="H564" s="53"/>
      <c r="I564" s="53"/>
      <c r="J564" s="53"/>
      <c r="K564" s="53"/>
      <c r="L564" s="53"/>
    </row>
    <row r="565" spans="7:12" x14ac:dyDescent="0.2">
      <c r="G565" s="53"/>
      <c r="H565" s="53"/>
      <c r="I565" s="53"/>
      <c r="J565" s="53"/>
      <c r="K565" s="53"/>
      <c r="L565" s="53"/>
    </row>
    <row r="566" spans="7:12" x14ac:dyDescent="0.2">
      <c r="G566" s="53"/>
      <c r="H566" s="53"/>
      <c r="I566" s="53"/>
      <c r="J566" s="53"/>
      <c r="K566" s="53"/>
      <c r="L566" s="53"/>
    </row>
    <row r="567" spans="7:12" x14ac:dyDescent="0.2">
      <c r="G567" s="53"/>
      <c r="H567" s="53"/>
      <c r="I567" s="53"/>
      <c r="J567" s="53"/>
      <c r="K567" s="53"/>
      <c r="L567" s="53"/>
    </row>
    <row r="568" spans="7:12" x14ac:dyDescent="0.2">
      <c r="G568" s="53"/>
      <c r="H568" s="53"/>
      <c r="I568" s="53"/>
      <c r="J568" s="53"/>
      <c r="K568" s="53"/>
      <c r="L568" s="53"/>
    </row>
    <row r="569" spans="7:12" x14ac:dyDescent="0.2">
      <c r="G569" s="53"/>
      <c r="H569" s="53"/>
      <c r="I569" s="53"/>
      <c r="J569" s="53"/>
      <c r="K569" s="53"/>
      <c r="L569" s="53"/>
    </row>
    <row r="570" spans="7:12" x14ac:dyDescent="0.2">
      <c r="G570" s="53"/>
      <c r="H570" s="53"/>
      <c r="I570" s="53"/>
      <c r="J570" s="53"/>
      <c r="K570" s="53"/>
      <c r="L570" s="53"/>
    </row>
    <row r="571" spans="7:12" x14ac:dyDescent="0.2">
      <c r="G571" s="53"/>
      <c r="H571" s="53"/>
      <c r="I571" s="53"/>
      <c r="J571" s="53"/>
      <c r="K571" s="53"/>
      <c r="L571" s="53"/>
    </row>
    <row r="572" spans="7:12" x14ac:dyDescent="0.2">
      <c r="G572" s="53"/>
      <c r="H572" s="53"/>
      <c r="I572" s="53"/>
      <c r="J572" s="53"/>
      <c r="K572" s="53"/>
      <c r="L572" s="53"/>
    </row>
    <row r="573" spans="7:12" x14ac:dyDescent="0.2">
      <c r="G573" s="53"/>
      <c r="H573" s="53"/>
      <c r="I573" s="53"/>
      <c r="J573" s="53"/>
      <c r="K573" s="53"/>
      <c r="L573" s="53"/>
    </row>
    <row r="574" spans="7:12" x14ac:dyDescent="0.2">
      <c r="G574" s="53"/>
      <c r="H574" s="53"/>
      <c r="I574" s="53"/>
      <c r="J574" s="53"/>
      <c r="K574" s="53"/>
      <c r="L574" s="53"/>
    </row>
    <row r="575" spans="7:12" x14ac:dyDescent="0.2">
      <c r="G575" s="53"/>
      <c r="H575" s="53"/>
      <c r="I575" s="53"/>
      <c r="J575" s="53"/>
      <c r="K575" s="53"/>
      <c r="L575" s="53"/>
    </row>
    <row r="576" spans="7:12" x14ac:dyDescent="0.2">
      <c r="G576" s="53"/>
      <c r="H576" s="53"/>
      <c r="I576" s="53"/>
      <c r="J576" s="53"/>
      <c r="K576" s="53"/>
      <c r="L576" s="53"/>
    </row>
    <row r="577" spans="7:12" x14ac:dyDescent="0.2">
      <c r="G577" s="53"/>
      <c r="H577" s="53"/>
      <c r="I577" s="53"/>
      <c r="J577" s="53"/>
      <c r="K577" s="53"/>
      <c r="L577" s="53"/>
    </row>
    <row r="578" spans="7:12" x14ac:dyDescent="0.2">
      <c r="G578" s="53"/>
      <c r="H578" s="53"/>
      <c r="I578" s="53"/>
      <c r="J578" s="53"/>
      <c r="K578" s="53"/>
      <c r="L578" s="53"/>
    </row>
    <row r="579" spans="7:12" x14ac:dyDescent="0.2">
      <c r="G579" s="53"/>
      <c r="H579" s="53"/>
      <c r="I579" s="53"/>
      <c r="J579" s="53"/>
      <c r="K579" s="53"/>
      <c r="L579" s="53"/>
    </row>
    <row r="580" spans="7:12" x14ac:dyDescent="0.2">
      <c r="G580" s="53"/>
      <c r="H580" s="53"/>
      <c r="I580" s="53"/>
      <c r="J580" s="53"/>
      <c r="K580" s="53"/>
      <c r="L580" s="53"/>
    </row>
    <row r="581" spans="7:12" x14ac:dyDescent="0.2">
      <c r="G581" s="53"/>
      <c r="H581" s="53"/>
      <c r="I581" s="53"/>
      <c r="J581" s="53"/>
      <c r="K581" s="53"/>
      <c r="L581" s="53"/>
    </row>
    <row r="582" spans="7:12" x14ac:dyDescent="0.2">
      <c r="G582" s="53"/>
      <c r="H582" s="53"/>
      <c r="I582" s="53"/>
      <c r="J582" s="53"/>
      <c r="K582" s="53"/>
      <c r="L582" s="53"/>
    </row>
    <row r="583" spans="7:12" x14ac:dyDescent="0.2">
      <c r="G583" s="53"/>
      <c r="H583" s="53"/>
      <c r="I583" s="53"/>
      <c r="J583" s="53"/>
      <c r="K583" s="53"/>
      <c r="L583" s="53"/>
    </row>
    <row r="584" spans="7:12" x14ac:dyDescent="0.2">
      <c r="G584" s="53"/>
      <c r="H584" s="53"/>
      <c r="I584" s="53"/>
      <c r="J584" s="53"/>
      <c r="K584" s="53"/>
      <c r="L584" s="53"/>
    </row>
    <row r="585" spans="7:12" x14ac:dyDescent="0.2">
      <c r="G585" s="53"/>
      <c r="H585" s="53"/>
      <c r="I585" s="53"/>
      <c r="J585" s="53"/>
      <c r="K585" s="53"/>
      <c r="L585" s="53"/>
    </row>
    <row r="586" spans="7:12" x14ac:dyDescent="0.2">
      <c r="G586" s="53"/>
      <c r="H586" s="53"/>
      <c r="I586" s="53"/>
      <c r="J586" s="53"/>
      <c r="K586" s="53"/>
      <c r="L586" s="53"/>
    </row>
    <row r="587" spans="7:12" x14ac:dyDescent="0.2">
      <c r="G587" s="53"/>
      <c r="H587" s="53"/>
      <c r="I587" s="53"/>
      <c r="J587" s="53"/>
      <c r="K587" s="53"/>
      <c r="L587" s="53"/>
    </row>
    <row r="588" spans="7:12" x14ac:dyDescent="0.2">
      <c r="G588" s="53"/>
      <c r="H588" s="53"/>
      <c r="I588" s="53"/>
      <c r="J588" s="53"/>
      <c r="K588" s="53"/>
      <c r="L588" s="53"/>
    </row>
    <row r="589" spans="7:12" x14ac:dyDescent="0.2">
      <c r="G589" s="53"/>
      <c r="H589" s="53"/>
      <c r="I589" s="53"/>
      <c r="J589" s="53"/>
      <c r="K589" s="53"/>
      <c r="L589" s="53"/>
    </row>
    <row r="590" spans="7:12" x14ac:dyDescent="0.2">
      <c r="G590" s="53"/>
      <c r="H590" s="53"/>
      <c r="I590" s="53"/>
      <c r="J590" s="53"/>
      <c r="K590" s="53"/>
      <c r="L590" s="53"/>
    </row>
    <row r="591" spans="7:12" x14ac:dyDescent="0.2">
      <c r="G591" s="53"/>
      <c r="H591" s="53"/>
      <c r="I591" s="53"/>
      <c r="J591" s="53"/>
      <c r="K591" s="53"/>
      <c r="L591" s="53"/>
    </row>
    <row r="592" spans="7:12" x14ac:dyDescent="0.2">
      <c r="G592" s="53"/>
      <c r="H592" s="53"/>
      <c r="I592" s="53"/>
      <c r="J592" s="53"/>
      <c r="K592" s="53"/>
      <c r="L592" s="53"/>
    </row>
    <row r="593" spans="7:12" x14ac:dyDescent="0.2">
      <c r="G593" s="53"/>
      <c r="H593" s="53"/>
      <c r="I593" s="53"/>
      <c r="J593" s="53"/>
      <c r="K593" s="53"/>
      <c r="L593" s="53"/>
    </row>
    <row r="594" spans="7:12" x14ac:dyDescent="0.2">
      <c r="G594" s="53"/>
      <c r="H594" s="53"/>
      <c r="I594" s="53"/>
      <c r="J594" s="53"/>
      <c r="K594" s="53"/>
      <c r="L594" s="53"/>
    </row>
    <row r="595" spans="7:12" x14ac:dyDescent="0.2">
      <c r="G595" s="53"/>
      <c r="H595" s="53"/>
      <c r="I595" s="53"/>
      <c r="J595" s="53"/>
      <c r="K595" s="53"/>
      <c r="L595" s="53"/>
    </row>
    <row r="596" spans="7:12" x14ac:dyDescent="0.2">
      <c r="G596" s="53"/>
      <c r="H596" s="53"/>
      <c r="I596" s="53"/>
      <c r="J596" s="53"/>
      <c r="K596" s="53"/>
      <c r="L596" s="53"/>
    </row>
    <row r="597" spans="7:12" x14ac:dyDescent="0.2">
      <c r="G597" s="53"/>
      <c r="H597" s="53"/>
      <c r="I597" s="53"/>
      <c r="J597" s="53"/>
      <c r="K597" s="53"/>
      <c r="L597" s="53"/>
    </row>
    <row r="598" spans="7:12" x14ac:dyDescent="0.2">
      <c r="G598" s="53"/>
      <c r="H598" s="53"/>
      <c r="I598" s="53"/>
      <c r="J598" s="53"/>
      <c r="K598" s="53"/>
      <c r="L598" s="53"/>
    </row>
    <row r="599" spans="7:12" x14ac:dyDescent="0.2">
      <c r="G599" s="53"/>
      <c r="H599" s="53"/>
      <c r="I599" s="53"/>
      <c r="J599" s="53"/>
      <c r="K599" s="53"/>
      <c r="L599" s="53"/>
    </row>
    <row r="600" spans="7:12" x14ac:dyDescent="0.2">
      <c r="G600" s="53"/>
      <c r="H600" s="53"/>
      <c r="I600" s="53"/>
      <c r="J600" s="53"/>
      <c r="K600" s="53"/>
      <c r="L600" s="53"/>
    </row>
    <row r="601" spans="7:12" x14ac:dyDescent="0.2">
      <c r="G601" s="53"/>
      <c r="H601" s="53"/>
      <c r="I601" s="53"/>
      <c r="J601" s="53"/>
      <c r="K601" s="53"/>
      <c r="L601" s="53"/>
    </row>
    <row r="602" spans="7:12" x14ac:dyDescent="0.2">
      <c r="G602" s="53"/>
      <c r="H602" s="53"/>
      <c r="I602" s="53"/>
      <c r="J602" s="53"/>
      <c r="K602" s="53"/>
      <c r="L602" s="53"/>
    </row>
    <row r="603" spans="7:12" x14ac:dyDescent="0.2">
      <c r="G603" s="53"/>
      <c r="H603" s="53"/>
      <c r="I603" s="53"/>
      <c r="J603" s="53"/>
      <c r="K603" s="53"/>
      <c r="L603" s="53"/>
    </row>
    <row r="604" spans="7:12" x14ac:dyDescent="0.2">
      <c r="G604" s="53"/>
      <c r="H604" s="53"/>
      <c r="I604" s="53"/>
      <c r="J604" s="53"/>
      <c r="K604" s="53"/>
      <c r="L604" s="53"/>
    </row>
    <row r="605" spans="7:12" x14ac:dyDescent="0.2">
      <c r="G605" s="53"/>
      <c r="H605" s="53"/>
      <c r="I605" s="53"/>
      <c r="J605" s="53"/>
      <c r="K605" s="53"/>
      <c r="L605" s="53"/>
    </row>
    <row r="606" spans="7:12" x14ac:dyDescent="0.2">
      <c r="G606" s="53"/>
      <c r="H606" s="53"/>
      <c r="I606" s="53"/>
      <c r="J606" s="53"/>
      <c r="K606" s="53"/>
      <c r="L606" s="53"/>
    </row>
    <row r="607" spans="7:12" x14ac:dyDescent="0.2">
      <c r="G607" s="53"/>
      <c r="H607" s="53"/>
      <c r="I607" s="53"/>
      <c r="J607" s="53"/>
      <c r="K607" s="53"/>
      <c r="L607" s="53"/>
    </row>
    <row r="608" spans="7:12" x14ac:dyDescent="0.2">
      <c r="G608" s="53"/>
      <c r="H608" s="53"/>
      <c r="I608" s="53"/>
      <c r="J608" s="53"/>
      <c r="K608" s="53"/>
      <c r="L608" s="53"/>
    </row>
    <row r="609" spans="7:12" x14ac:dyDescent="0.2">
      <c r="G609" s="53"/>
      <c r="H609" s="53"/>
      <c r="I609" s="53"/>
      <c r="J609" s="53"/>
      <c r="K609" s="53"/>
      <c r="L609" s="53"/>
    </row>
    <row r="610" spans="7:12" x14ac:dyDescent="0.2">
      <c r="G610" s="53"/>
      <c r="H610" s="53"/>
      <c r="I610" s="53"/>
      <c r="J610" s="53"/>
      <c r="K610" s="53"/>
      <c r="L610" s="53"/>
    </row>
    <row r="611" spans="7:12" x14ac:dyDescent="0.2">
      <c r="G611" s="53"/>
      <c r="H611" s="53"/>
      <c r="I611" s="53"/>
      <c r="J611" s="53"/>
      <c r="K611" s="53"/>
      <c r="L611" s="53"/>
    </row>
    <row r="612" spans="7:12" x14ac:dyDescent="0.2">
      <c r="G612" s="53"/>
      <c r="H612" s="53"/>
      <c r="I612" s="53"/>
      <c r="J612" s="53"/>
      <c r="K612" s="53"/>
      <c r="L612" s="53"/>
    </row>
    <row r="613" spans="7:12" x14ac:dyDescent="0.2">
      <c r="G613" s="53"/>
      <c r="H613" s="53"/>
      <c r="I613" s="53"/>
      <c r="J613" s="53"/>
      <c r="K613" s="53"/>
      <c r="L613" s="53"/>
    </row>
    <row r="614" spans="7:12" x14ac:dyDescent="0.2">
      <c r="G614" s="53"/>
      <c r="H614" s="53"/>
      <c r="I614" s="53"/>
      <c r="J614" s="53"/>
      <c r="K614" s="53"/>
      <c r="L614" s="53"/>
    </row>
    <row r="615" spans="7:12" x14ac:dyDescent="0.2">
      <c r="G615" s="53"/>
      <c r="H615" s="53"/>
      <c r="I615" s="53"/>
      <c r="J615" s="53"/>
      <c r="K615" s="53"/>
      <c r="L615" s="53"/>
    </row>
    <row r="616" spans="7:12" x14ac:dyDescent="0.2">
      <c r="G616" s="53"/>
      <c r="H616" s="53"/>
      <c r="I616" s="53"/>
      <c r="J616" s="53"/>
      <c r="K616" s="53"/>
      <c r="L616" s="53"/>
    </row>
    <row r="617" spans="7:12" x14ac:dyDescent="0.2">
      <c r="G617" s="53"/>
      <c r="H617" s="53"/>
      <c r="I617" s="53"/>
      <c r="J617" s="53"/>
      <c r="K617" s="53"/>
      <c r="L617" s="53"/>
    </row>
    <row r="618" spans="7:12" x14ac:dyDescent="0.2">
      <c r="G618" s="53"/>
      <c r="H618" s="53"/>
      <c r="I618" s="53"/>
      <c r="J618" s="53"/>
      <c r="K618" s="53"/>
      <c r="L618" s="53"/>
    </row>
    <row r="619" spans="7:12" x14ac:dyDescent="0.2">
      <c r="G619" s="53"/>
      <c r="H619" s="53"/>
      <c r="I619" s="53"/>
      <c r="J619" s="53"/>
      <c r="K619" s="53"/>
      <c r="L619" s="53"/>
    </row>
    <row r="620" spans="7:12" x14ac:dyDescent="0.2">
      <c r="G620" s="53"/>
      <c r="H620" s="53"/>
      <c r="I620" s="53"/>
      <c r="J620" s="53"/>
      <c r="K620" s="53"/>
      <c r="L620" s="53"/>
    </row>
    <row r="621" spans="7:12" x14ac:dyDescent="0.2">
      <c r="G621" s="53"/>
      <c r="H621" s="53"/>
      <c r="I621" s="53"/>
      <c r="J621" s="53"/>
      <c r="K621" s="53"/>
      <c r="L621" s="53"/>
    </row>
    <row r="622" spans="7:12" x14ac:dyDescent="0.2">
      <c r="G622" s="53"/>
      <c r="H622" s="53"/>
      <c r="I622" s="53"/>
      <c r="J622" s="53"/>
      <c r="K622" s="53"/>
      <c r="L622" s="53"/>
    </row>
    <row r="623" spans="7:12" x14ac:dyDescent="0.2">
      <c r="G623" s="53"/>
      <c r="H623" s="53"/>
      <c r="I623" s="53"/>
      <c r="J623" s="53"/>
      <c r="K623" s="53"/>
      <c r="L623" s="53"/>
    </row>
    <row r="624" spans="7:12" x14ac:dyDescent="0.2">
      <c r="G624" s="53"/>
      <c r="H624" s="53"/>
      <c r="I624" s="53"/>
      <c r="J624" s="53"/>
      <c r="K624" s="53"/>
      <c r="L624" s="53"/>
    </row>
    <row r="625" spans="7:12" x14ac:dyDescent="0.2">
      <c r="G625" s="53"/>
      <c r="H625" s="53"/>
      <c r="I625" s="53"/>
      <c r="J625" s="53"/>
      <c r="K625" s="53"/>
      <c r="L625" s="53"/>
    </row>
    <row r="626" spans="7:12" x14ac:dyDescent="0.2">
      <c r="G626" s="53"/>
      <c r="H626" s="53"/>
      <c r="I626" s="53"/>
      <c r="J626" s="53"/>
      <c r="K626" s="53"/>
      <c r="L626" s="53"/>
    </row>
    <row r="627" spans="7:12" x14ac:dyDescent="0.2">
      <c r="G627" s="53"/>
      <c r="H627" s="53"/>
      <c r="I627" s="53"/>
      <c r="J627" s="53"/>
      <c r="K627" s="53"/>
      <c r="L627" s="53"/>
    </row>
    <row r="628" spans="7:12" x14ac:dyDescent="0.2">
      <c r="G628" s="53"/>
      <c r="H628" s="53"/>
      <c r="I628" s="53"/>
      <c r="J628" s="53"/>
      <c r="K628" s="53"/>
      <c r="L628" s="53"/>
    </row>
    <row r="629" spans="7:12" x14ac:dyDescent="0.2">
      <c r="G629" s="53"/>
      <c r="H629" s="53"/>
      <c r="I629" s="53"/>
      <c r="J629" s="53"/>
      <c r="K629" s="53"/>
      <c r="L629" s="53"/>
    </row>
    <row r="630" spans="7:12" x14ac:dyDescent="0.2">
      <c r="G630" s="53"/>
      <c r="H630" s="53"/>
      <c r="I630" s="53"/>
      <c r="J630" s="53"/>
      <c r="K630" s="53"/>
      <c r="L630" s="53"/>
    </row>
    <row r="631" spans="7:12" x14ac:dyDescent="0.2">
      <c r="G631" s="53"/>
      <c r="H631" s="53"/>
      <c r="I631" s="53"/>
      <c r="J631" s="53"/>
      <c r="K631" s="53"/>
      <c r="L631" s="53"/>
    </row>
    <row r="632" spans="7:12" x14ac:dyDescent="0.2">
      <c r="G632" s="53"/>
      <c r="H632" s="53"/>
      <c r="I632" s="53"/>
      <c r="J632" s="53"/>
      <c r="K632" s="53"/>
      <c r="L632" s="53"/>
    </row>
    <row r="633" spans="7:12" x14ac:dyDescent="0.2">
      <c r="G633" s="53"/>
      <c r="H633" s="53"/>
      <c r="I633" s="53"/>
      <c r="J633" s="53"/>
      <c r="K633" s="53"/>
      <c r="L633" s="53"/>
    </row>
    <row r="634" spans="7:12" x14ac:dyDescent="0.2">
      <c r="G634" s="53"/>
      <c r="H634" s="53"/>
      <c r="I634" s="53"/>
      <c r="J634" s="53"/>
      <c r="K634" s="53"/>
      <c r="L634" s="53"/>
    </row>
    <row r="635" spans="7:12" x14ac:dyDescent="0.2">
      <c r="G635" s="53"/>
      <c r="H635" s="53"/>
      <c r="I635" s="53"/>
      <c r="J635" s="53"/>
      <c r="K635" s="53"/>
      <c r="L635" s="53"/>
    </row>
    <row r="636" spans="7:12" x14ac:dyDescent="0.2">
      <c r="G636" s="53"/>
      <c r="H636" s="53"/>
      <c r="I636" s="53"/>
      <c r="J636" s="53"/>
      <c r="K636" s="53"/>
      <c r="L636" s="53"/>
    </row>
    <row r="637" spans="7:12" x14ac:dyDescent="0.2">
      <c r="G637" s="53"/>
      <c r="H637" s="53"/>
      <c r="I637" s="53"/>
      <c r="J637" s="53"/>
      <c r="K637" s="53"/>
      <c r="L637" s="53"/>
    </row>
    <row r="638" spans="7:12" x14ac:dyDescent="0.2">
      <c r="G638" s="53"/>
      <c r="H638" s="53"/>
      <c r="I638" s="53"/>
      <c r="J638" s="53"/>
      <c r="K638" s="53"/>
      <c r="L638" s="53"/>
    </row>
    <row r="639" spans="7:12" x14ac:dyDescent="0.2">
      <c r="G639" s="53"/>
      <c r="H639" s="53"/>
      <c r="I639" s="53"/>
      <c r="J639" s="53"/>
      <c r="K639" s="53"/>
      <c r="L639" s="53"/>
    </row>
    <row r="640" spans="7:12" x14ac:dyDescent="0.2">
      <c r="G640" s="53"/>
      <c r="H640" s="53"/>
      <c r="I640" s="53"/>
      <c r="J640" s="53"/>
      <c r="K640" s="53"/>
      <c r="L640" s="53"/>
    </row>
    <row r="641" spans="7:12" x14ac:dyDescent="0.2">
      <c r="G641" s="53"/>
      <c r="H641" s="53"/>
      <c r="I641" s="53"/>
      <c r="J641" s="53"/>
      <c r="K641" s="53"/>
      <c r="L641" s="53"/>
    </row>
    <row r="642" spans="7:12" x14ac:dyDescent="0.2">
      <c r="G642" s="53"/>
      <c r="H642" s="53"/>
      <c r="I642" s="53"/>
      <c r="J642" s="53"/>
      <c r="K642" s="53"/>
      <c r="L642" s="53"/>
    </row>
    <row r="643" spans="7:12" x14ac:dyDescent="0.2">
      <c r="G643" s="53"/>
      <c r="H643" s="53"/>
      <c r="I643" s="53"/>
      <c r="J643" s="53"/>
      <c r="K643" s="53"/>
      <c r="L643" s="53"/>
    </row>
    <row r="644" spans="7:12" x14ac:dyDescent="0.2">
      <c r="G644" s="53"/>
      <c r="H644" s="53"/>
      <c r="I644" s="53"/>
      <c r="J644" s="53"/>
      <c r="K644" s="53"/>
      <c r="L644" s="53"/>
    </row>
    <row r="645" spans="7:12" x14ac:dyDescent="0.2">
      <c r="G645" s="53"/>
      <c r="H645" s="53"/>
      <c r="I645" s="53"/>
      <c r="J645" s="53"/>
      <c r="K645" s="53"/>
      <c r="L645" s="53"/>
    </row>
    <row r="646" spans="7:12" x14ac:dyDescent="0.2">
      <c r="G646" s="53"/>
      <c r="H646" s="53"/>
      <c r="I646" s="53"/>
      <c r="J646" s="53"/>
      <c r="K646" s="53"/>
      <c r="L646" s="53"/>
    </row>
    <row r="647" spans="7:12" x14ac:dyDescent="0.2">
      <c r="G647" s="53"/>
      <c r="H647" s="53"/>
      <c r="I647" s="53"/>
      <c r="J647" s="53"/>
      <c r="K647" s="53"/>
      <c r="L647" s="53"/>
    </row>
    <row r="648" spans="7:12" x14ac:dyDescent="0.2">
      <c r="G648" s="53"/>
      <c r="H648" s="53"/>
      <c r="I648" s="53"/>
      <c r="J648" s="53"/>
      <c r="K648" s="53"/>
      <c r="L648" s="53"/>
    </row>
    <row r="649" spans="7:12" x14ac:dyDescent="0.2">
      <c r="G649" s="53"/>
      <c r="H649" s="53"/>
      <c r="I649" s="53"/>
      <c r="J649" s="53"/>
      <c r="K649" s="53"/>
      <c r="L649" s="53"/>
    </row>
    <row r="650" spans="7:12" x14ac:dyDescent="0.2">
      <c r="G650" s="53"/>
      <c r="H650" s="53"/>
      <c r="I650" s="53"/>
      <c r="J650" s="53"/>
      <c r="K650" s="53"/>
      <c r="L650" s="53"/>
    </row>
    <row r="651" spans="7:12" x14ac:dyDescent="0.2">
      <c r="G651" s="53"/>
      <c r="H651" s="53"/>
      <c r="I651" s="53"/>
      <c r="J651" s="53"/>
      <c r="K651" s="53"/>
      <c r="L651" s="53"/>
    </row>
    <row r="652" spans="7:12" x14ac:dyDescent="0.2">
      <c r="G652" s="53"/>
      <c r="H652" s="53"/>
      <c r="I652" s="53"/>
      <c r="J652" s="53"/>
      <c r="K652" s="53"/>
      <c r="L652" s="53"/>
    </row>
    <row r="653" spans="7:12" x14ac:dyDescent="0.2">
      <c r="G653" s="53"/>
      <c r="H653" s="53"/>
      <c r="I653" s="53"/>
      <c r="J653" s="53"/>
      <c r="K653" s="53"/>
      <c r="L653" s="53"/>
    </row>
    <row r="654" spans="7:12" x14ac:dyDescent="0.2">
      <c r="G654" s="53"/>
      <c r="H654" s="53"/>
      <c r="I654" s="53"/>
      <c r="J654" s="53"/>
      <c r="K654" s="53"/>
      <c r="L654" s="53"/>
    </row>
    <row r="655" spans="7:12" x14ac:dyDescent="0.2">
      <c r="G655" s="53"/>
      <c r="H655" s="53"/>
      <c r="I655" s="53"/>
      <c r="J655" s="53"/>
      <c r="K655" s="53"/>
      <c r="L655" s="53"/>
    </row>
    <row r="656" spans="7:12" x14ac:dyDescent="0.2">
      <c r="G656" s="53"/>
      <c r="H656" s="53"/>
      <c r="I656" s="53"/>
      <c r="J656" s="53"/>
      <c r="K656" s="53"/>
      <c r="L656" s="53"/>
    </row>
    <row r="657" spans="7:12" x14ac:dyDescent="0.2">
      <c r="G657" s="53"/>
      <c r="H657" s="53"/>
      <c r="I657" s="53"/>
      <c r="J657" s="53"/>
      <c r="K657" s="53"/>
      <c r="L657" s="53"/>
    </row>
    <row r="658" spans="7:12" x14ac:dyDescent="0.2">
      <c r="G658" s="53"/>
      <c r="H658" s="53"/>
      <c r="I658" s="53"/>
      <c r="J658" s="53"/>
      <c r="K658" s="53"/>
      <c r="L658" s="53"/>
    </row>
    <row r="659" spans="7:12" x14ac:dyDescent="0.2">
      <c r="G659" s="53"/>
      <c r="H659" s="53"/>
      <c r="I659" s="53"/>
      <c r="J659" s="53"/>
      <c r="K659" s="53"/>
      <c r="L659" s="53"/>
    </row>
    <row r="660" spans="7:12" x14ac:dyDescent="0.2">
      <c r="G660" s="53"/>
      <c r="H660" s="53"/>
      <c r="I660" s="53"/>
      <c r="J660" s="53"/>
      <c r="K660" s="53"/>
      <c r="L660" s="53"/>
    </row>
    <row r="661" spans="7:12" x14ac:dyDescent="0.2">
      <c r="G661" s="53"/>
      <c r="H661" s="53"/>
      <c r="I661" s="53"/>
      <c r="J661" s="53"/>
      <c r="K661" s="53"/>
      <c r="L661" s="53"/>
    </row>
    <row r="662" spans="7:12" x14ac:dyDescent="0.2">
      <c r="G662" s="53"/>
      <c r="H662" s="53"/>
      <c r="I662" s="53"/>
      <c r="J662" s="53"/>
      <c r="K662" s="53"/>
      <c r="L662" s="53"/>
    </row>
    <row r="663" spans="7:12" x14ac:dyDescent="0.2">
      <c r="G663" s="53"/>
      <c r="H663" s="53"/>
      <c r="I663" s="53"/>
      <c r="J663" s="53"/>
      <c r="K663" s="53"/>
      <c r="L663" s="53"/>
    </row>
    <row r="664" spans="7:12" x14ac:dyDescent="0.2">
      <c r="G664" s="53"/>
      <c r="H664" s="53"/>
      <c r="I664" s="53"/>
      <c r="J664" s="53"/>
      <c r="K664" s="53"/>
      <c r="L664" s="53"/>
    </row>
    <row r="665" spans="7:12" x14ac:dyDescent="0.2">
      <c r="G665" s="53"/>
      <c r="H665" s="53"/>
      <c r="I665" s="53"/>
      <c r="J665" s="53"/>
      <c r="K665" s="53"/>
      <c r="L665" s="53"/>
    </row>
    <row r="666" spans="7:12" x14ac:dyDescent="0.2">
      <c r="G666" s="53"/>
      <c r="H666" s="53"/>
      <c r="I666" s="53"/>
      <c r="J666" s="53"/>
      <c r="K666" s="53"/>
      <c r="L666" s="53"/>
    </row>
    <row r="667" spans="7:12" x14ac:dyDescent="0.2">
      <c r="G667" s="53"/>
      <c r="H667" s="53"/>
      <c r="I667" s="53"/>
      <c r="J667" s="53"/>
      <c r="K667" s="53"/>
      <c r="L667" s="53"/>
    </row>
    <row r="668" spans="7:12" x14ac:dyDescent="0.2">
      <c r="G668" s="53"/>
      <c r="H668" s="53"/>
      <c r="I668" s="53"/>
      <c r="J668" s="53"/>
      <c r="K668" s="53"/>
      <c r="L668" s="53"/>
    </row>
    <row r="669" spans="7:12" x14ac:dyDescent="0.2">
      <c r="G669" s="53"/>
      <c r="H669" s="53"/>
      <c r="I669" s="53"/>
      <c r="J669" s="53"/>
      <c r="K669" s="53"/>
      <c r="L669" s="53"/>
    </row>
    <row r="670" spans="7:12" x14ac:dyDescent="0.2">
      <c r="G670" s="53"/>
      <c r="H670" s="53"/>
      <c r="I670" s="53"/>
      <c r="J670" s="53"/>
      <c r="K670" s="53"/>
      <c r="L670" s="53"/>
    </row>
    <row r="671" spans="7:12" x14ac:dyDescent="0.2">
      <c r="G671" s="53"/>
      <c r="H671" s="53"/>
      <c r="I671" s="53"/>
      <c r="J671" s="53"/>
      <c r="K671" s="53"/>
      <c r="L671" s="53"/>
    </row>
    <row r="672" spans="7:12" x14ac:dyDescent="0.2">
      <c r="G672" s="53"/>
      <c r="H672" s="53"/>
      <c r="I672" s="53"/>
      <c r="J672" s="53"/>
      <c r="K672" s="53"/>
      <c r="L672" s="53"/>
    </row>
    <row r="673" spans="7:12" x14ac:dyDescent="0.2">
      <c r="G673" s="53"/>
      <c r="H673" s="53"/>
      <c r="I673" s="53"/>
      <c r="J673" s="53"/>
      <c r="K673" s="53"/>
      <c r="L673" s="53"/>
    </row>
    <row r="674" spans="7:12" x14ac:dyDescent="0.2">
      <c r="G674" s="53"/>
      <c r="H674" s="53"/>
      <c r="I674" s="53"/>
      <c r="J674" s="53"/>
      <c r="K674" s="53"/>
      <c r="L674" s="53"/>
    </row>
    <row r="675" spans="7:12" x14ac:dyDescent="0.2">
      <c r="G675" s="53"/>
      <c r="H675" s="53"/>
      <c r="I675" s="53"/>
      <c r="J675" s="53"/>
      <c r="K675" s="53"/>
      <c r="L675" s="53"/>
    </row>
    <row r="676" spans="7:12" x14ac:dyDescent="0.2">
      <c r="G676" s="53"/>
      <c r="H676" s="53"/>
      <c r="I676" s="53"/>
      <c r="J676" s="53"/>
      <c r="K676" s="53"/>
      <c r="L676" s="53"/>
    </row>
    <row r="677" spans="7:12" x14ac:dyDescent="0.2">
      <c r="G677" s="53"/>
      <c r="H677" s="53"/>
      <c r="I677" s="53"/>
      <c r="J677" s="53"/>
      <c r="K677" s="53"/>
      <c r="L677" s="53"/>
    </row>
    <row r="678" spans="7:12" x14ac:dyDescent="0.2">
      <c r="G678" s="53"/>
      <c r="H678" s="53"/>
      <c r="I678" s="53"/>
      <c r="J678" s="53"/>
      <c r="K678" s="53"/>
      <c r="L678" s="53"/>
    </row>
    <row r="679" spans="7:12" x14ac:dyDescent="0.2">
      <c r="G679" s="53"/>
      <c r="H679" s="53"/>
      <c r="I679" s="53"/>
      <c r="J679" s="53"/>
      <c r="K679" s="53"/>
      <c r="L679" s="53"/>
    </row>
    <row r="680" spans="7:12" x14ac:dyDescent="0.2">
      <c r="G680" s="53"/>
      <c r="H680" s="53"/>
      <c r="I680" s="53"/>
      <c r="J680" s="53"/>
      <c r="K680" s="53"/>
      <c r="L680" s="53"/>
    </row>
    <row r="681" spans="7:12" x14ac:dyDescent="0.2">
      <c r="G681" s="53"/>
      <c r="H681" s="53"/>
      <c r="I681" s="53"/>
      <c r="J681" s="53"/>
      <c r="K681" s="53"/>
      <c r="L681" s="53"/>
    </row>
    <row r="682" spans="7:12" x14ac:dyDescent="0.2">
      <c r="G682" s="53"/>
      <c r="H682" s="53"/>
      <c r="I682" s="53"/>
      <c r="J682" s="53"/>
      <c r="K682" s="53"/>
      <c r="L682" s="53"/>
    </row>
    <row r="683" spans="7:12" x14ac:dyDescent="0.2">
      <c r="G683" s="53"/>
      <c r="H683" s="53"/>
      <c r="I683" s="53"/>
      <c r="J683" s="53"/>
      <c r="K683" s="53"/>
      <c r="L683" s="53"/>
    </row>
    <row r="684" spans="7:12" x14ac:dyDescent="0.2">
      <c r="G684" s="53"/>
      <c r="H684" s="53"/>
      <c r="I684" s="53"/>
      <c r="J684" s="53"/>
      <c r="K684" s="53"/>
      <c r="L684" s="53"/>
    </row>
    <row r="685" spans="7:12" x14ac:dyDescent="0.2">
      <c r="G685" s="53"/>
      <c r="H685" s="53"/>
      <c r="I685" s="53"/>
      <c r="J685" s="53"/>
      <c r="K685" s="53"/>
      <c r="L685" s="53"/>
    </row>
    <row r="686" spans="7:12" x14ac:dyDescent="0.2">
      <c r="G686" s="53"/>
      <c r="H686" s="53"/>
      <c r="I686" s="53"/>
      <c r="J686" s="53"/>
      <c r="K686" s="53"/>
      <c r="L686" s="53"/>
    </row>
    <row r="687" spans="7:12" x14ac:dyDescent="0.2">
      <c r="G687" s="53"/>
      <c r="H687" s="53"/>
      <c r="I687" s="53"/>
      <c r="J687" s="53"/>
      <c r="K687" s="53"/>
      <c r="L687" s="53"/>
    </row>
    <row r="688" spans="7:12" x14ac:dyDescent="0.2">
      <c r="G688" s="53"/>
      <c r="H688" s="53"/>
      <c r="I688" s="53"/>
      <c r="J688" s="53"/>
      <c r="K688" s="53"/>
      <c r="L688" s="53"/>
    </row>
    <row r="689" spans="7:12" x14ac:dyDescent="0.2">
      <c r="G689" s="53"/>
      <c r="H689" s="53"/>
      <c r="I689" s="53"/>
      <c r="J689" s="53"/>
      <c r="K689" s="53"/>
      <c r="L689" s="53"/>
    </row>
    <row r="690" spans="7:12" x14ac:dyDescent="0.2">
      <c r="G690" s="53"/>
      <c r="H690" s="53"/>
      <c r="I690" s="53"/>
      <c r="J690" s="53"/>
      <c r="K690" s="53"/>
      <c r="L690" s="53"/>
    </row>
    <row r="691" spans="7:12" x14ac:dyDescent="0.2">
      <c r="G691" s="53"/>
      <c r="H691" s="53"/>
      <c r="I691" s="53"/>
      <c r="J691" s="53"/>
      <c r="K691" s="53"/>
      <c r="L691" s="53"/>
    </row>
    <row r="692" spans="7:12" x14ac:dyDescent="0.2">
      <c r="G692" s="53"/>
      <c r="H692" s="53"/>
      <c r="I692" s="53"/>
      <c r="J692" s="53"/>
      <c r="K692" s="53"/>
      <c r="L692" s="53"/>
    </row>
    <row r="693" spans="7:12" x14ac:dyDescent="0.2">
      <c r="G693" s="53"/>
      <c r="H693" s="53"/>
      <c r="I693" s="53"/>
      <c r="J693" s="53"/>
      <c r="K693" s="53"/>
      <c r="L693" s="53"/>
    </row>
    <row r="694" spans="7:12" x14ac:dyDescent="0.2">
      <c r="G694" s="53"/>
      <c r="H694" s="53"/>
      <c r="I694" s="53"/>
      <c r="J694" s="53"/>
      <c r="K694" s="53"/>
      <c r="L694" s="53"/>
    </row>
    <row r="695" spans="7:12" x14ac:dyDescent="0.2">
      <c r="G695" s="53"/>
      <c r="H695" s="53"/>
      <c r="I695" s="53"/>
      <c r="J695" s="53"/>
      <c r="K695" s="53"/>
      <c r="L695" s="53"/>
    </row>
    <row r="696" spans="7:12" x14ac:dyDescent="0.2">
      <c r="G696" s="53"/>
      <c r="H696" s="53"/>
      <c r="I696" s="53"/>
      <c r="J696" s="53"/>
      <c r="K696" s="53"/>
      <c r="L696" s="53"/>
    </row>
    <row r="697" spans="7:12" x14ac:dyDescent="0.2">
      <c r="G697" s="53"/>
      <c r="H697" s="53"/>
      <c r="I697" s="53"/>
      <c r="J697" s="53"/>
      <c r="K697" s="53"/>
      <c r="L697" s="53"/>
    </row>
    <row r="698" spans="7:12" x14ac:dyDescent="0.2">
      <c r="G698" s="53"/>
      <c r="H698" s="53"/>
      <c r="I698" s="53"/>
      <c r="J698" s="53"/>
      <c r="K698" s="53"/>
      <c r="L698" s="53"/>
    </row>
    <row r="699" spans="7:12" x14ac:dyDescent="0.2">
      <c r="G699" s="53"/>
      <c r="H699" s="53"/>
      <c r="I699" s="53"/>
      <c r="J699" s="53"/>
      <c r="K699" s="53"/>
      <c r="L699" s="53"/>
    </row>
    <row r="700" spans="7:12" x14ac:dyDescent="0.2">
      <c r="G700" s="53"/>
      <c r="H700" s="53"/>
      <c r="I700" s="53"/>
      <c r="J700" s="53"/>
      <c r="K700" s="53"/>
      <c r="L700" s="53"/>
    </row>
    <row r="701" spans="7:12" x14ac:dyDescent="0.2">
      <c r="G701" s="53"/>
      <c r="H701" s="53"/>
      <c r="I701" s="53"/>
      <c r="J701" s="53"/>
      <c r="K701" s="53"/>
      <c r="L701" s="53"/>
    </row>
    <row r="702" spans="7:12" x14ac:dyDescent="0.2">
      <c r="G702" s="53"/>
      <c r="H702" s="53"/>
      <c r="I702" s="53"/>
      <c r="J702" s="53"/>
      <c r="K702" s="53"/>
      <c r="L702" s="53"/>
    </row>
    <row r="703" spans="7:12" x14ac:dyDescent="0.2">
      <c r="G703" s="53"/>
      <c r="H703" s="53"/>
      <c r="I703" s="53"/>
      <c r="J703" s="53"/>
      <c r="K703" s="53"/>
      <c r="L703" s="53"/>
    </row>
    <row r="704" spans="7:12" x14ac:dyDescent="0.2">
      <c r="G704" s="53"/>
      <c r="H704" s="53"/>
      <c r="I704" s="53"/>
      <c r="J704" s="53"/>
      <c r="K704" s="53"/>
      <c r="L704" s="53"/>
    </row>
    <row r="705" spans="7:12" x14ac:dyDescent="0.2">
      <c r="G705" s="53"/>
      <c r="H705" s="53"/>
      <c r="I705" s="53"/>
      <c r="J705" s="53"/>
      <c r="K705" s="53"/>
      <c r="L705" s="53"/>
    </row>
    <row r="706" spans="7:12" x14ac:dyDescent="0.2">
      <c r="G706" s="53"/>
      <c r="H706" s="53"/>
      <c r="I706" s="53"/>
      <c r="J706" s="53"/>
      <c r="K706" s="53"/>
      <c r="L706" s="53"/>
    </row>
    <row r="707" spans="7:12" x14ac:dyDescent="0.2">
      <c r="G707" s="53"/>
      <c r="H707" s="53"/>
      <c r="I707" s="53"/>
      <c r="J707" s="53"/>
      <c r="K707" s="53"/>
      <c r="L707" s="53"/>
    </row>
    <row r="708" spans="7:12" x14ac:dyDescent="0.2">
      <c r="G708" s="53"/>
      <c r="H708" s="53"/>
      <c r="I708" s="53"/>
      <c r="J708" s="53"/>
      <c r="K708" s="53"/>
      <c r="L708" s="53"/>
    </row>
    <row r="709" spans="7:12" x14ac:dyDescent="0.2">
      <c r="G709" s="53"/>
      <c r="H709" s="53"/>
      <c r="I709" s="53"/>
      <c r="J709" s="53"/>
      <c r="K709" s="53"/>
      <c r="L709" s="53"/>
    </row>
    <row r="710" spans="7:12" x14ac:dyDescent="0.2">
      <c r="G710" s="53"/>
      <c r="H710" s="53"/>
      <c r="I710" s="53"/>
      <c r="J710" s="53"/>
      <c r="K710" s="53"/>
      <c r="L710" s="53"/>
    </row>
    <row r="711" spans="7:12" x14ac:dyDescent="0.2">
      <c r="G711" s="53"/>
      <c r="H711" s="53"/>
      <c r="I711" s="53"/>
      <c r="J711" s="53"/>
      <c r="K711" s="53"/>
      <c r="L711" s="53"/>
    </row>
    <row r="712" spans="7:12" x14ac:dyDescent="0.2">
      <c r="G712" s="53"/>
      <c r="H712" s="53"/>
      <c r="I712" s="53"/>
      <c r="J712" s="53"/>
      <c r="K712" s="53"/>
      <c r="L712" s="53"/>
    </row>
    <row r="713" spans="7:12" x14ac:dyDescent="0.2">
      <c r="G713" s="53"/>
      <c r="H713" s="53"/>
      <c r="I713" s="53"/>
      <c r="J713" s="53"/>
      <c r="K713" s="53"/>
      <c r="L713" s="53"/>
    </row>
    <row r="714" spans="7:12" x14ac:dyDescent="0.2">
      <c r="G714" s="53"/>
      <c r="H714" s="53"/>
      <c r="I714" s="53"/>
      <c r="J714" s="53"/>
      <c r="K714" s="53"/>
      <c r="L714" s="53"/>
    </row>
    <row r="715" spans="7:12" x14ac:dyDescent="0.2">
      <c r="G715" s="53"/>
      <c r="H715" s="53"/>
      <c r="I715" s="53"/>
      <c r="J715" s="53"/>
      <c r="K715" s="53"/>
      <c r="L715" s="53"/>
    </row>
    <row r="716" spans="7:12" x14ac:dyDescent="0.2">
      <c r="G716" s="53"/>
      <c r="H716" s="53"/>
      <c r="I716" s="53"/>
      <c r="J716" s="53"/>
      <c r="K716" s="53"/>
      <c r="L716" s="53"/>
    </row>
    <row r="717" spans="7:12" x14ac:dyDescent="0.2">
      <c r="G717" s="53"/>
      <c r="H717" s="53"/>
      <c r="I717" s="53"/>
      <c r="J717" s="53"/>
      <c r="K717" s="53"/>
      <c r="L717" s="53"/>
    </row>
    <row r="718" spans="7:12" x14ac:dyDescent="0.2">
      <c r="G718" s="53"/>
      <c r="H718" s="53"/>
      <c r="I718" s="53"/>
      <c r="J718" s="53"/>
      <c r="K718" s="53"/>
      <c r="L718" s="53"/>
    </row>
    <row r="719" spans="7:12" x14ac:dyDescent="0.2">
      <c r="G719" s="53"/>
      <c r="H719" s="53"/>
      <c r="I719" s="53"/>
      <c r="J719" s="53"/>
      <c r="K719" s="53"/>
      <c r="L719" s="53"/>
    </row>
    <row r="720" spans="7:12" x14ac:dyDescent="0.2">
      <c r="G720" s="53"/>
      <c r="H720" s="53"/>
      <c r="I720" s="53"/>
      <c r="J720" s="53"/>
      <c r="K720" s="53"/>
      <c r="L720" s="53"/>
    </row>
    <row r="721" spans="7:12" x14ac:dyDescent="0.2">
      <c r="G721" s="53"/>
      <c r="H721" s="53"/>
      <c r="I721" s="53"/>
      <c r="J721" s="53"/>
      <c r="K721" s="53"/>
      <c r="L721" s="53"/>
    </row>
    <row r="722" spans="7:12" x14ac:dyDescent="0.2">
      <c r="G722" s="53"/>
      <c r="H722" s="53"/>
      <c r="I722" s="53"/>
      <c r="J722" s="53"/>
      <c r="K722" s="53"/>
      <c r="L722" s="53"/>
    </row>
    <row r="723" spans="7:12" x14ac:dyDescent="0.2">
      <c r="G723" s="53"/>
      <c r="H723" s="53"/>
      <c r="I723" s="53"/>
      <c r="J723" s="53"/>
      <c r="K723" s="53"/>
      <c r="L723" s="53"/>
    </row>
    <row r="724" spans="7:12" x14ac:dyDescent="0.2">
      <c r="G724" s="53"/>
      <c r="H724" s="53"/>
      <c r="I724" s="53"/>
      <c r="J724" s="53"/>
      <c r="K724" s="53"/>
      <c r="L724" s="53"/>
    </row>
    <row r="725" spans="7:12" x14ac:dyDescent="0.2">
      <c r="G725" s="53"/>
      <c r="H725" s="53"/>
      <c r="I725" s="53"/>
      <c r="J725" s="53"/>
      <c r="K725" s="53"/>
      <c r="L725" s="53"/>
    </row>
    <row r="726" spans="7:12" x14ac:dyDescent="0.2">
      <c r="G726" s="53"/>
      <c r="H726" s="53"/>
      <c r="I726" s="53"/>
      <c r="J726" s="53"/>
      <c r="K726" s="53"/>
      <c r="L726" s="53"/>
    </row>
    <row r="727" spans="7:12" x14ac:dyDescent="0.2">
      <c r="G727" s="53"/>
      <c r="H727" s="53"/>
      <c r="I727" s="53"/>
      <c r="J727" s="53"/>
      <c r="K727" s="53"/>
      <c r="L727" s="53"/>
    </row>
    <row r="728" spans="7:12" x14ac:dyDescent="0.2">
      <c r="G728" s="53"/>
      <c r="H728" s="53"/>
      <c r="I728" s="53"/>
      <c r="J728" s="53"/>
      <c r="K728" s="53"/>
      <c r="L728" s="53"/>
    </row>
    <row r="729" spans="7:12" x14ac:dyDescent="0.2">
      <c r="G729" s="53"/>
      <c r="H729" s="53"/>
      <c r="I729" s="53"/>
      <c r="J729" s="53"/>
      <c r="K729" s="53"/>
      <c r="L729" s="53"/>
    </row>
    <row r="730" spans="7:12" x14ac:dyDescent="0.2">
      <c r="G730" s="53"/>
      <c r="H730" s="53"/>
      <c r="I730" s="53"/>
      <c r="J730" s="53"/>
      <c r="K730" s="53"/>
      <c r="L730" s="53"/>
    </row>
    <row r="731" spans="7:12" x14ac:dyDescent="0.2">
      <c r="G731" s="53"/>
      <c r="H731" s="53"/>
      <c r="I731" s="53"/>
      <c r="J731" s="53"/>
      <c r="K731" s="53"/>
      <c r="L731" s="53"/>
    </row>
    <row r="732" spans="7:12" x14ac:dyDescent="0.2">
      <c r="G732" s="53"/>
      <c r="H732" s="53"/>
      <c r="I732" s="53"/>
      <c r="J732" s="53"/>
      <c r="K732" s="53"/>
      <c r="L732" s="53"/>
    </row>
    <row r="733" spans="7:12" x14ac:dyDescent="0.2">
      <c r="G733" s="53"/>
      <c r="H733" s="53"/>
      <c r="I733" s="53"/>
      <c r="J733" s="53"/>
      <c r="K733" s="53"/>
      <c r="L733" s="53"/>
    </row>
    <row r="734" spans="7:12" x14ac:dyDescent="0.2">
      <c r="G734" s="53"/>
      <c r="H734" s="53"/>
      <c r="I734" s="53"/>
      <c r="J734" s="53"/>
      <c r="K734" s="53"/>
      <c r="L734" s="53"/>
    </row>
    <row r="735" spans="7:12" x14ac:dyDescent="0.2">
      <c r="G735" s="53"/>
      <c r="H735" s="53"/>
      <c r="I735" s="53"/>
      <c r="J735" s="53"/>
      <c r="K735" s="53"/>
      <c r="L735" s="53"/>
    </row>
    <row r="736" spans="7:12" x14ac:dyDescent="0.2">
      <c r="G736" s="53"/>
      <c r="H736" s="53"/>
      <c r="I736" s="53"/>
      <c r="J736" s="53"/>
      <c r="K736" s="53"/>
      <c r="L736" s="53"/>
    </row>
    <row r="737" spans="7:12" x14ac:dyDescent="0.2">
      <c r="G737" s="53"/>
      <c r="H737" s="53"/>
      <c r="I737" s="53"/>
      <c r="J737" s="53"/>
      <c r="K737" s="53"/>
      <c r="L737" s="53"/>
    </row>
    <row r="738" spans="7:12" x14ac:dyDescent="0.2">
      <c r="G738" s="53"/>
      <c r="H738" s="53"/>
      <c r="I738" s="53"/>
      <c r="J738" s="53"/>
      <c r="K738" s="53"/>
      <c r="L738" s="53"/>
    </row>
    <row r="739" spans="7:12" x14ac:dyDescent="0.2">
      <c r="G739" s="53"/>
      <c r="H739" s="53"/>
      <c r="I739" s="53"/>
      <c r="J739" s="53"/>
      <c r="K739" s="53"/>
      <c r="L739" s="53"/>
    </row>
    <row r="740" spans="7:12" x14ac:dyDescent="0.2">
      <c r="G740" s="53"/>
      <c r="H740" s="53"/>
      <c r="I740" s="53"/>
      <c r="J740" s="53"/>
      <c r="K740" s="53"/>
      <c r="L740" s="53"/>
    </row>
    <row r="741" spans="7:12" x14ac:dyDescent="0.2">
      <c r="G741" s="53"/>
      <c r="H741" s="53"/>
      <c r="I741" s="53"/>
      <c r="J741" s="53"/>
      <c r="K741" s="53"/>
      <c r="L741" s="53"/>
    </row>
    <row r="742" spans="7:12" x14ac:dyDescent="0.2">
      <c r="G742" s="53"/>
      <c r="H742" s="53"/>
      <c r="I742" s="53"/>
      <c r="J742" s="53"/>
      <c r="K742" s="53"/>
      <c r="L742" s="53"/>
    </row>
    <row r="743" spans="7:12" x14ac:dyDescent="0.2">
      <c r="G743" s="53"/>
      <c r="H743" s="53"/>
      <c r="I743" s="53"/>
      <c r="J743" s="53"/>
      <c r="K743" s="53"/>
      <c r="L743" s="53"/>
    </row>
    <row r="744" spans="7:12" x14ac:dyDescent="0.2">
      <c r="G744" s="53"/>
      <c r="H744" s="53"/>
      <c r="I744" s="53"/>
      <c r="J744" s="53"/>
      <c r="K744" s="53"/>
      <c r="L744" s="53"/>
    </row>
    <row r="745" spans="7:12" x14ac:dyDescent="0.2">
      <c r="G745" s="53"/>
      <c r="H745" s="53"/>
      <c r="I745" s="53"/>
      <c r="J745" s="53"/>
      <c r="K745" s="53"/>
      <c r="L745" s="53"/>
    </row>
    <row r="746" spans="7:12" x14ac:dyDescent="0.2">
      <c r="G746" s="53"/>
      <c r="H746" s="53"/>
      <c r="I746" s="53"/>
      <c r="J746" s="53"/>
      <c r="K746" s="53"/>
      <c r="L746" s="53"/>
    </row>
    <row r="747" spans="7:12" x14ac:dyDescent="0.2">
      <c r="G747" s="53"/>
      <c r="H747" s="53"/>
      <c r="I747" s="53"/>
      <c r="J747" s="53"/>
      <c r="K747" s="53"/>
      <c r="L747" s="53"/>
    </row>
    <row r="748" spans="7:12" x14ac:dyDescent="0.2">
      <c r="G748" s="53"/>
      <c r="H748" s="53"/>
      <c r="I748" s="53"/>
      <c r="J748" s="53"/>
      <c r="K748" s="53"/>
      <c r="L748" s="53"/>
    </row>
    <row r="749" spans="7:12" x14ac:dyDescent="0.2">
      <c r="G749" s="53"/>
      <c r="H749" s="53"/>
      <c r="I749" s="53"/>
      <c r="J749" s="53"/>
      <c r="K749" s="53"/>
      <c r="L749" s="53"/>
    </row>
    <row r="750" spans="7:12" x14ac:dyDescent="0.2">
      <c r="G750" s="53"/>
      <c r="H750" s="53"/>
      <c r="I750" s="53"/>
      <c r="J750" s="53"/>
      <c r="K750" s="53"/>
      <c r="L750" s="53"/>
    </row>
    <row r="751" spans="7:12" x14ac:dyDescent="0.2">
      <c r="G751" s="53"/>
      <c r="H751" s="53"/>
      <c r="I751" s="53"/>
      <c r="J751" s="53"/>
      <c r="K751" s="53"/>
      <c r="L751" s="53"/>
    </row>
    <row r="752" spans="7:12" x14ac:dyDescent="0.2">
      <c r="G752" s="53"/>
      <c r="H752" s="53"/>
      <c r="I752" s="53"/>
      <c r="J752" s="53"/>
      <c r="K752" s="53"/>
      <c r="L752" s="53"/>
    </row>
    <row r="753" spans="7:12" x14ac:dyDescent="0.2">
      <c r="G753" s="53"/>
      <c r="H753" s="53"/>
      <c r="I753" s="53"/>
      <c r="J753" s="53"/>
      <c r="K753" s="53"/>
      <c r="L753" s="53"/>
    </row>
    <row r="754" spans="7:12" x14ac:dyDescent="0.2">
      <c r="G754" s="53"/>
      <c r="H754" s="53"/>
      <c r="I754" s="53"/>
      <c r="J754" s="53"/>
      <c r="K754" s="53"/>
      <c r="L754" s="53"/>
    </row>
    <row r="755" spans="7:12" x14ac:dyDescent="0.2">
      <c r="G755" s="53"/>
      <c r="H755" s="53"/>
      <c r="I755" s="53"/>
      <c r="J755" s="53"/>
      <c r="K755" s="53"/>
      <c r="L755" s="53"/>
    </row>
    <row r="756" spans="7:12" x14ac:dyDescent="0.2">
      <c r="G756" s="53"/>
      <c r="H756" s="53"/>
      <c r="I756" s="53"/>
      <c r="J756" s="53"/>
      <c r="K756" s="53"/>
      <c r="L756" s="53"/>
    </row>
    <row r="757" spans="7:12" x14ac:dyDescent="0.2">
      <c r="G757" s="53"/>
      <c r="H757" s="53"/>
      <c r="I757" s="53"/>
      <c r="J757" s="53"/>
      <c r="K757" s="53"/>
      <c r="L757" s="53"/>
    </row>
    <row r="758" spans="7:12" x14ac:dyDescent="0.2">
      <c r="G758" s="53"/>
      <c r="H758" s="53"/>
      <c r="I758" s="53"/>
      <c r="J758" s="53"/>
      <c r="K758" s="53"/>
      <c r="L758" s="53"/>
    </row>
    <row r="759" spans="7:12" x14ac:dyDescent="0.2">
      <c r="G759" s="53"/>
      <c r="H759" s="53"/>
      <c r="I759" s="53"/>
      <c r="J759" s="53"/>
      <c r="K759" s="53"/>
      <c r="L759" s="53"/>
    </row>
    <row r="760" spans="7:12" x14ac:dyDescent="0.2">
      <c r="G760" s="53"/>
      <c r="H760" s="53"/>
      <c r="I760" s="53"/>
      <c r="J760" s="53"/>
      <c r="K760" s="53"/>
      <c r="L760" s="53"/>
    </row>
    <row r="761" spans="7:12" x14ac:dyDescent="0.2">
      <c r="G761" s="53"/>
      <c r="H761" s="53"/>
      <c r="I761" s="53"/>
      <c r="J761" s="53"/>
      <c r="K761" s="53"/>
      <c r="L761" s="53"/>
    </row>
    <row r="762" spans="7:12" x14ac:dyDescent="0.2">
      <c r="G762" s="53"/>
      <c r="H762" s="53"/>
      <c r="I762" s="53"/>
      <c r="J762" s="53"/>
      <c r="K762" s="53"/>
      <c r="L762" s="53"/>
    </row>
    <row r="763" spans="7:12" x14ac:dyDescent="0.2">
      <c r="G763" s="53"/>
      <c r="H763" s="53"/>
      <c r="I763" s="53"/>
      <c r="J763" s="53"/>
      <c r="K763" s="53"/>
      <c r="L763" s="53"/>
    </row>
    <row r="764" spans="7:12" x14ac:dyDescent="0.2">
      <c r="G764" s="53"/>
      <c r="H764" s="53"/>
      <c r="I764" s="53"/>
      <c r="J764" s="53"/>
      <c r="K764" s="53"/>
      <c r="L764" s="53"/>
    </row>
    <row r="765" spans="7:12" x14ac:dyDescent="0.2">
      <c r="G765" s="53"/>
      <c r="H765" s="53"/>
      <c r="I765" s="53"/>
      <c r="J765" s="53"/>
      <c r="K765" s="53"/>
      <c r="L765" s="53"/>
    </row>
    <row r="766" spans="7:12" x14ac:dyDescent="0.2">
      <c r="G766" s="53"/>
      <c r="H766" s="53"/>
      <c r="I766" s="53"/>
      <c r="J766" s="53"/>
      <c r="K766" s="53"/>
      <c r="L766" s="53"/>
    </row>
    <row r="767" spans="7:12" x14ac:dyDescent="0.2">
      <c r="G767" s="53"/>
      <c r="H767" s="53"/>
      <c r="I767" s="53"/>
      <c r="J767" s="53"/>
      <c r="K767" s="53"/>
      <c r="L767" s="53"/>
    </row>
    <row r="768" spans="7:12" x14ac:dyDescent="0.2">
      <c r="G768" s="53"/>
      <c r="H768" s="53"/>
      <c r="I768" s="53"/>
      <c r="J768" s="53"/>
      <c r="K768" s="53"/>
      <c r="L768" s="53"/>
    </row>
    <row r="769" spans="7:12" x14ac:dyDescent="0.2">
      <c r="G769" s="53"/>
      <c r="H769" s="53"/>
      <c r="I769" s="53"/>
      <c r="J769" s="53"/>
      <c r="K769" s="53"/>
      <c r="L769" s="53"/>
    </row>
    <row r="770" spans="7:12" x14ac:dyDescent="0.2">
      <c r="G770" s="53"/>
      <c r="H770" s="53"/>
      <c r="I770" s="53"/>
      <c r="J770" s="53"/>
      <c r="K770" s="53"/>
      <c r="L770" s="53"/>
    </row>
    <row r="771" spans="7:12" x14ac:dyDescent="0.2">
      <c r="G771" s="53"/>
      <c r="H771" s="53"/>
      <c r="I771" s="53"/>
      <c r="J771" s="53"/>
      <c r="K771" s="53"/>
      <c r="L771" s="53"/>
    </row>
    <row r="772" spans="7:12" x14ac:dyDescent="0.2">
      <c r="G772" s="53"/>
      <c r="H772" s="53"/>
      <c r="I772" s="53"/>
      <c r="J772" s="53"/>
      <c r="K772" s="53"/>
      <c r="L772" s="53"/>
    </row>
    <row r="773" spans="7:12" x14ac:dyDescent="0.2">
      <c r="G773" s="53"/>
      <c r="H773" s="53"/>
      <c r="I773" s="53"/>
      <c r="J773" s="53"/>
      <c r="K773" s="53"/>
      <c r="L773" s="53"/>
    </row>
    <row r="774" spans="7:12" x14ac:dyDescent="0.2">
      <c r="G774" s="53"/>
      <c r="H774" s="53"/>
      <c r="I774" s="53"/>
      <c r="J774" s="53"/>
      <c r="K774" s="53"/>
      <c r="L774" s="53"/>
    </row>
    <row r="775" spans="7:12" x14ac:dyDescent="0.2">
      <c r="G775" s="53"/>
      <c r="H775" s="53"/>
      <c r="I775" s="53"/>
      <c r="J775" s="53"/>
      <c r="K775" s="53"/>
      <c r="L775" s="53"/>
    </row>
    <row r="776" spans="7:12" x14ac:dyDescent="0.2">
      <c r="G776" s="53"/>
      <c r="H776" s="53"/>
      <c r="I776" s="53"/>
      <c r="J776" s="53"/>
      <c r="K776" s="53"/>
      <c r="L776" s="53"/>
    </row>
    <row r="777" spans="7:12" x14ac:dyDescent="0.2">
      <c r="G777" s="53"/>
      <c r="H777" s="53"/>
      <c r="I777" s="53"/>
      <c r="J777" s="53"/>
      <c r="K777" s="53"/>
      <c r="L777" s="53"/>
    </row>
    <row r="778" spans="7:12" x14ac:dyDescent="0.2">
      <c r="G778" s="53"/>
      <c r="H778" s="53"/>
      <c r="I778" s="53"/>
      <c r="J778" s="53"/>
      <c r="K778" s="53"/>
      <c r="L778" s="53"/>
    </row>
    <row r="779" spans="7:12" x14ac:dyDescent="0.2">
      <c r="G779" s="53"/>
      <c r="H779" s="53"/>
      <c r="I779" s="53"/>
      <c r="J779" s="53"/>
      <c r="K779" s="53"/>
      <c r="L779" s="53"/>
    </row>
    <row r="780" spans="7:12" x14ac:dyDescent="0.2">
      <c r="G780" s="53"/>
      <c r="H780" s="53"/>
      <c r="I780" s="53"/>
      <c r="J780" s="53"/>
      <c r="K780" s="53"/>
      <c r="L780" s="53"/>
    </row>
    <row r="781" spans="7:12" x14ac:dyDescent="0.2">
      <c r="G781" s="53"/>
      <c r="H781" s="53"/>
      <c r="I781" s="53"/>
      <c r="J781" s="53"/>
      <c r="K781" s="53"/>
      <c r="L781" s="53"/>
    </row>
    <row r="782" spans="7:12" x14ac:dyDescent="0.2">
      <c r="G782" s="53"/>
      <c r="H782" s="53"/>
      <c r="I782" s="53"/>
      <c r="J782" s="53"/>
      <c r="K782" s="53"/>
      <c r="L782" s="53"/>
    </row>
    <row r="783" spans="7:12" x14ac:dyDescent="0.2">
      <c r="G783" s="53"/>
      <c r="H783" s="53"/>
      <c r="I783" s="53"/>
      <c r="J783" s="53"/>
      <c r="K783" s="53"/>
      <c r="L783" s="53"/>
    </row>
    <row r="784" spans="7:12" x14ac:dyDescent="0.2">
      <c r="G784" s="53"/>
      <c r="H784" s="53"/>
      <c r="I784" s="53"/>
      <c r="J784" s="53"/>
      <c r="K784" s="53"/>
      <c r="L784" s="53"/>
    </row>
    <row r="785" spans="7:12" x14ac:dyDescent="0.2">
      <c r="G785" s="53"/>
      <c r="H785" s="53"/>
      <c r="I785" s="53"/>
      <c r="J785" s="53"/>
      <c r="K785" s="53"/>
      <c r="L785" s="53"/>
    </row>
    <row r="786" spans="7:12" x14ac:dyDescent="0.2">
      <c r="G786" s="53"/>
      <c r="H786" s="53"/>
      <c r="I786" s="53"/>
      <c r="J786" s="53"/>
      <c r="K786" s="53"/>
      <c r="L786" s="53"/>
    </row>
    <row r="787" spans="7:12" x14ac:dyDescent="0.2">
      <c r="G787" s="53"/>
      <c r="H787" s="53"/>
      <c r="I787" s="53"/>
      <c r="J787" s="53"/>
      <c r="K787" s="53"/>
      <c r="L787" s="53"/>
    </row>
    <row r="788" spans="7:12" x14ac:dyDescent="0.2">
      <c r="G788" s="53"/>
      <c r="H788" s="53"/>
      <c r="I788" s="53"/>
      <c r="J788" s="53"/>
      <c r="K788" s="53"/>
      <c r="L788" s="53"/>
    </row>
    <row r="789" spans="7:12" x14ac:dyDescent="0.2">
      <c r="G789" s="53"/>
      <c r="H789" s="53"/>
      <c r="I789" s="53"/>
      <c r="J789" s="53"/>
      <c r="K789" s="53"/>
      <c r="L789" s="53"/>
    </row>
    <row r="790" spans="7:12" x14ac:dyDescent="0.2">
      <c r="G790" s="53"/>
      <c r="H790" s="53"/>
      <c r="I790" s="53"/>
      <c r="J790" s="53"/>
      <c r="K790" s="53"/>
      <c r="L790" s="53"/>
    </row>
    <row r="791" spans="7:12" x14ac:dyDescent="0.2">
      <c r="G791" s="53"/>
      <c r="H791" s="53"/>
      <c r="I791" s="53"/>
      <c r="J791" s="53"/>
      <c r="K791" s="53"/>
      <c r="L791" s="53"/>
    </row>
    <row r="792" spans="7:12" x14ac:dyDescent="0.2">
      <c r="G792" s="53"/>
      <c r="H792" s="53"/>
      <c r="I792" s="53"/>
      <c r="J792" s="53"/>
      <c r="K792" s="53"/>
      <c r="L792" s="53"/>
    </row>
    <row r="793" spans="7:12" x14ac:dyDescent="0.2">
      <c r="G793" s="53"/>
      <c r="H793" s="53"/>
      <c r="I793" s="53"/>
      <c r="J793" s="53"/>
      <c r="K793" s="53"/>
      <c r="L793" s="53"/>
    </row>
    <row r="794" spans="7:12" x14ac:dyDescent="0.2">
      <c r="G794" s="53"/>
      <c r="H794" s="53"/>
      <c r="I794" s="53"/>
      <c r="J794" s="53"/>
      <c r="K794" s="53"/>
      <c r="L794" s="53"/>
    </row>
    <row r="795" spans="7:12" x14ac:dyDescent="0.2">
      <c r="G795" s="53"/>
      <c r="H795" s="53"/>
      <c r="I795" s="53"/>
      <c r="J795" s="53"/>
      <c r="K795" s="53"/>
      <c r="L795" s="53"/>
    </row>
    <row r="796" spans="7:12" x14ac:dyDescent="0.2">
      <c r="G796" s="53"/>
      <c r="H796" s="53"/>
      <c r="I796" s="53"/>
      <c r="J796" s="53"/>
      <c r="K796" s="53"/>
      <c r="L796" s="53"/>
    </row>
    <row r="797" spans="7:12" x14ac:dyDescent="0.2">
      <c r="G797" s="53"/>
      <c r="H797" s="53"/>
      <c r="I797" s="53"/>
      <c r="J797" s="53"/>
      <c r="K797" s="53"/>
      <c r="L797" s="53"/>
    </row>
    <row r="798" spans="7:12" x14ac:dyDescent="0.2">
      <c r="G798" s="53"/>
      <c r="H798" s="53"/>
      <c r="I798" s="53"/>
      <c r="J798" s="53"/>
      <c r="K798" s="53"/>
      <c r="L798" s="53"/>
    </row>
    <row r="799" spans="7:12" x14ac:dyDescent="0.2">
      <c r="G799" s="53"/>
      <c r="H799" s="53"/>
      <c r="I799" s="53"/>
      <c r="J799" s="53"/>
      <c r="K799" s="53"/>
      <c r="L799" s="53"/>
    </row>
    <row r="800" spans="7:12" x14ac:dyDescent="0.2">
      <c r="G800" s="53"/>
      <c r="H800" s="53"/>
      <c r="I800" s="53"/>
      <c r="J800" s="53"/>
      <c r="K800" s="53"/>
      <c r="L800" s="53"/>
    </row>
    <row r="801" spans="7:12" x14ac:dyDescent="0.2">
      <c r="G801" s="53"/>
      <c r="H801" s="53"/>
      <c r="I801" s="53"/>
      <c r="J801" s="53"/>
      <c r="K801" s="53"/>
      <c r="L801" s="53"/>
    </row>
    <row r="802" spans="7:12" x14ac:dyDescent="0.2">
      <c r="G802" s="53"/>
      <c r="H802" s="53"/>
      <c r="I802" s="53"/>
      <c r="J802" s="53"/>
      <c r="K802" s="53"/>
      <c r="L802" s="53"/>
    </row>
    <row r="803" spans="7:12" x14ac:dyDescent="0.2">
      <c r="G803" s="53"/>
      <c r="H803" s="53"/>
      <c r="I803" s="53"/>
      <c r="J803" s="53"/>
      <c r="K803" s="53"/>
      <c r="L803" s="53"/>
    </row>
    <row r="804" spans="7:12" x14ac:dyDescent="0.2">
      <c r="G804" s="53"/>
      <c r="H804" s="53"/>
      <c r="I804" s="53"/>
      <c r="J804" s="53"/>
      <c r="K804" s="53"/>
      <c r="L804" s="53"/>
    </row>
    <row r="805" spans="7:12" x14ac:dyDescent="0.2">
      <c r="G805" s="53"/>
      <c r="H805" s="53"/>
      <c r="I805" s="53"/>
      <c r="J805" s="53"/>
      <c r="K805" s="53"/>
      <c r="L805" s="53"/>
    </row>
    <row r="806" spans="7:12" x14ac:dyDescent="0.2">
      <c r="G806" s="53"/>
      <c r="H806" s="53"/>
      <c r="I806" s="53"/>
      <c r="J806" s="53"/>
      <c r="K806" s="53"/>
      <c r="L806" s="53"/>
    </row>
    <row r="807" spans="7:12" x14ac:dyDescent="0.2">
      <c r="G807" s="53"/>
      <c r="H807" s="53"/>
      <c r="I807" s="53"/>
      <c r="J807" s="53"/>
      <c r="K807" s="53"/>
      <c r="L807" s="53"/>
    </row>
    <row r="808" spans="7:12" x14ac:dyDescent="0.2">
      <c r="G808" s="53"/>
      <c r="H808" s="53"/>
      <c r="I808" s="53"/>
      <c r="J808" s="53"/>
      <c r="K808" s="53"/>
      <c r="L808" s="53"/>
    </row>
    <row r="809" spans="7:12" x14ac:dyDescent="0.2">
      <c r="G809" s="53"/>
      <c r="H809" s="53"/>
      <c r="I809" s="53"/>
      <c r="J809" s="53"/>
      <c r="K809" s="53"/>
      <c r="L809" s="53"/>
    </row>
    <row r="810" spans="7:12" x14ac:dyDescent="0.2">
      <c r="G810" s="53"/>
      <c r="H810" s="53"/>
      <c r="I810" s="53"/>
      <c r="J810" s="53"/>
      <c r="K810" s="53"/>
      <c r="L810" s="53"/>
    </row>
    <row r="811" spans="7:12" x14ac:dyDescent="0.2">
      <c r="G811" s="53"/>
      <c r="H811" s="53"/>
      <c r="I811" s="53"/>
      <c r="J811" s="53"/>
      <c r="K811" s="53"/>
      <c r="L811" s="53"/>
    </row>
    <row r="812" spans="7:12" x14ac:dyDescent="0.2">
      <c r="G812" s="53"/>
      <c r="H812" s="53"/>
      <c r="I812" s="53"/>
      <c r="J812" s="53"/>
      <c r="K812" s="53"/>
      <c r="L812" s="53"/>
    </row>
    <row r="813" spans="7:12" x14ac:dyDescent="0.2">
      <c r="G813" s="53"/>
      <c r="H813" s="53"/>
      <c r="I813" s="53"/>
      <c r="J813" s="53"/>
      <c r="K813" s="53"/>
      <c r="L813" s="53"/>
    </row>
    <row r="814" spans="7:12" x14ac:dyDescent="0.2">
      <c r="G814" s="53"/>
      <c r="H814" s="53"/>
      <c r="I814" s="53"/>
      <c r="J814" s="53"/>
      <c r="K814" s="53"/>
      <c r="L814" s="53"/>
    </row>
    <row r="815" spans="7:12" x14ac:dyDescent="0.2">
      <c r="G815" s="53"/>
      <c r="H815" s="53"/>
      <c r="I815" s="53"/>
      <c r="J815" s="53"/>
      <c r="K815" s="53"/>
      <c r="L815" s="53"/>
    </row>
    <row r="816" spans="7:12" x14ac:dyDescent="0.2">
      <c r="G816" s="53"/>
      <c r="H816" s="53"/>
      <c r="I816" s="53"/>
      <c r="J816" s="53"/>
      <c r="K816" s="53"/>
      <c r="L816" s="53"/>
    </row>
    <row r="817" spans="7:12" x14ac:dyDescent="0.2">
      <c r="G817" s="53"/>
      <c r="H817" s="53"/>
      <c r="I817" s="53"/>
      <c r="J817" s="53"/>
      <c r="K817" s="53"/>
      <c r="L817" s="53"/>
    </row>
    <row r="818" spans="7:12" x14ac:dyDescent="0.2">
      <c r="G818" s="53"/>
      <c r="H818" s="53"/>
      <c r="I818" s="53"/>
      <c r="J818" s="53"/>
      <c r="K818" s="53"/>
      <c r="L818" s="53"/>
    </row>
    <row r="819" spans="7:12" x14ac:dyDescent="0.2">
      <c r="G819" s="53"/>
      <c r="H819" s="53"/>
      <c r="I819" s="53"/>
      <c r="J819" s="53"/>
      <c r="K819" s="53"/>
      <c r="L819" s="53"/>
    </row>
    <row r="820" spans="7:12" x14ac:dyDescent="0.2">
      <c r="G820" s="53"/>
      <c r="H820" s="53"/>
      <c r="I820" s="53"/>
      <c r="J820" s="53"/>
      <c r="K820" s="53"/>
      <c r="L820" s="53"/>
    </row>
    <row r="821" spans="7:12" x14ac:dyDescent="0.2">
      <c r="G821" s="53"/>
      <c r="H821" s="53"/>
      <c r="I821" s="53"/>
      <c r="J821" s="53"/>
      <c r="K821" s="53"/>
      <c r="L821" s="53"/>
    </row>
    <row r="822" spans="7:12" x14ac:dyDescent="0.2">
      <c r="G822" s="53"/>
      <c r="H822" s="53"/>
      <c r="I822" s="53"/>
      <c r="J822" s="53"/>
      <c r="K822" s="53"/>
      <c r="L822" s="53"/>
    </row>
    <row r="823" spans="7:12" x14ac:dyDescent="0.2">
      <c r="G823" s="53"/>
      <c r="H823" s="53"/>
      <c r="I823" s="53"/>
      <c r="J823" s="53"/>
      <c r="K823" s="53"/>
      <c r="L823" s="53"/>
    </row>
    <row r="824" spans="7:12" x14ac:dyDescent="0.2">
      <c r="G824" s="53"/>
      <c r="H824" s="53"/>
      <c r="I824" s="53"/>
      <c r="J824" s="53"/>
      <c r="K824" s="53"/>
      <c r="L824" s="53"/>
    </row>
    <row r="825" spans="7:12" x14ac:dyDescent="0.2">
      <c r="G825" s="53"/>
      <c r="H825" s="53"/>
      <c r="I825" s="53"/>
      <c r="J825" s="53"/>
      <c r="K825" s="53"/>
      <c r="L825" s="53"/>
    </row>
    <row r="826" spans="7:12" x14ac:dyDescent="0.2">
      <c r="G826" s="53"/>
      <c r="H826" s="53"/>
      <c r="I826" s="53"/>
      <c r="J826" s="53"/>
      <c r="K826" s="53"/>
      <c r="L826" s="53"/>
    </row>
    <row r="827" spans="7:12" x14ac:dyDescent="0.2">
      <c r="G827" s="53"/>
      <c r="H827" s="53"/>
      <c r="I827" s="53"/>
      <c r="J827" s="53"/>
      <c r="K827" s="53"/>
      <c r="L827" s="53"/>
    </row>
    <row r="828" spans="7:12" x14ac:dyDescent="0.2">
      <c r="G828" s="53"/>
      <c r="H828" s="53"/>
      <c r="I828" s="53"/>
      <c r="J828" s="53"/>
      <c r="K828" s="53"/>
      <c r="L828" s="53"/>
    </row>
    <row r="829" spans="7:12" x14ac:dyDescent="0.2">
      <c r="G829" s="53"/>
      <c r="H829" s="53"/>
      <c r="I829" s="53"/>
      <c r="J829" s="53"/>
      <c r="K829" s="53"/>
      <c r="L829" s="53"/>
    </row>
    <row r="830" spans="7:12" x14ac:dyDescent="0.2">
      <c r="G830" s="53"/>
      <c r="H830" s="53"/>
      <c r="I830" s="53"/>
      <c r="J830" s="53"/>
      <c r="K830" s="53"/>
      <c r="L830" s="53"/>
    </row>
    <row r="831" spans="7:12" x14ac:dyDescent="0.2">
      <c r="G831" s="53"/>
      <c r="H831" s="53"/>
      <c r="I831" s="53"/>
      <c r="J831" s="53"/>
      <c r="K831" s="53"/>
      <c r="L831" s="53"/>
    </row>
    <row r="832" spans="7:12" x14ac:dyDescent="0.2">
      <c r="G832" s="53"/>
      <c r="H832" s="53"/>
      <c r="I832" s="53"/>
      <c r="J832" s="53"/>
      <c r="K832" s="53"/>
      <c r="L832" s="53"/>
    </row>
    <row r="833" spans="7:12" x14ac:dyDescent="0.2">
      <c r="G833" s="53"/>
      <c r="H833" s="53"/>
      <c r="I833" s="53"/>
      <c r="J833" s="53"/>
      <c r="K833" s="53"/>
      <c r="L833" s="53"/>
    </row>
    <row r="834" spans="7:12" x14ac:dyDescent="0.2">
      <c r="G834" s="53"/>
      <c r="H834" s="53"/>
      <c r="I834" s="53"/>
      <c r="J834" s="53"/>
      <c r="K834" s="53"/>
      <c r="L834" s="53"/>
    </row>
    <row r="835" spans="7:12" x14ac:dyDescent="0.2">
      <c r="G835" s="53"/>
      <c r="H835" s="53"/>
      <c r="I835" s="53"/>
      <c r="J835" s="53"/>
      <c r="K835" s="53"/>
      <c r="L835" s="53"/>
    </row>
    <row r="836" spans="7:12" x14ac:dyDescent="0.2">
      <c r="G836" s="53"/>
      <c r="H836" s="53"/>
      <c r="I836" s="53"/>
      <c r="J836" s="53"/>
      <c r="K836" s="53"/>
      <c r="L836" s="53"/>
    </row>
    <row r="837" spans="7:12" x14ac:dyDescent="0.2">
      <c r="G837" s="53"/>
      <c r="H837" s="53"/>
      <c r="I837" s="53"/>
      <c r="J837" s="53"/>
      <c r="K837" s="53"/>
      <c r="L837" s="53"/>
    </row>
    <row r="838" spans="7:12" x14ac:dyDescent="0.2">
      <c r="G838" s="53"/>
      <c r="H838" s="53"/>
      <c r="I838" s="53"/>
      <c r="J838" s="53"/>
      <c r="K838" s="53"/>
      <c r="L838" s="53"/>
    </row>
    <row r="839" spans="7:12" x14ac:dyDescent="0.2">
      <c r="G839" s="53"/>
      <c r="H839" s="53"/>
      <c r="I839" s="53"/>
      <c r="J839" s="53"/>
      <c r="K839" s="53"/>
      <c r="L839" s="53"/>
    </row>
    <row r="840" spans="7:12" x14ac:dyDescent="0.2">
      <c r="G840" s="53"/>
      <c r="H840" s="53"/>
      <c r="I840" s="53"/>
      <c r="J840" s="53"/>
      <c r="K840" s="53"/>
      <c r="L840" s="53"/>
    </row>
    <row r="841" spans="7:12" x14ac:dyDescent="0.2">
      <c r="G841" s="53"/>
      <c r="H841" s="53"/>
      <c r="I841" s="53"/>
      <c r="J841" s="53"/>
      <c r="K841" s="53"/>
      <c r="L841" s="53"/>
    </row>
    <row r="842" spans="7:12" x14ac:dyDescent="0.2">
      <c r="G842" s="53"/>
      <c r="H842" s="53"/>
      <c r="I842" s="53"/>
      <c r="J842" s="53"/>
      <c r="K842" s="53"/>
      <c r="L842" s="53"/>
    </row>
    <row r="843" spans="7:12" x14ac:dyDescent="0.2">
      <c r="G843" s="53"/>
      <c r="H843" s="53"/>
      <c r="I843" s="53"/>
      <c r="J843" s="53"/>
      <c r="K843" s="53"/>
      <c r="L843" s="53"/>
    </row>
    <row r="844" spans="7:12" x14ac:dyDescent="0.2">
      <c r="G844" s="53"/>
      <c r="H844" s="53"/>
      <c r="I844" s="53"/>
      <c r="J844" s="53"/>
      <c r="K844" s="53"/>
      <c r="L844" s="53"/>
    </row>
    <row r="845" spans="7:12" x14ac:dyDescent="0.2">
      <c r="G845" s="53"/>
      <c r="H845" s="53"/>
      <c r="I845" s="53"/>
      <c r="J845" s="53"/>
      <c r="K845" s="53"/>
      <c r="L845" s="53"/>
    </row>
    <row r="846" spans="7:12" x14ac:dyDescent="0.2">
      <c r="G846" s="53"/>
      <c r="H846" s="53"/>
      <c r="I846" s="53"/>
      <c r="J846" s="53"/>
      <c r="K846" s="53"/>
      <c r="L846" s="53"/>
    </row>
    <row r="847" spans="7:12" x14ac:dyDescent="0.2">
      <c r="G847" s="53"/>
      <c r="H847" s="53"/>
      <c r="I847" s="53"/>
      <c r="J847" s="53"/>
      <c r="K847" s="53"/>
      <c r="L847" s="53"/>
    </row>
    <row r="848" spans="7:12" x14ac:dyDescent="0.2">
      <c r="G848" s="53"/>
      <c r="H848" s="53"/>
      <c r="I848" s="53"/>
      <c r="J848" s="53"/>
      <c r="K848" s="53"/>
      <c r="L848" s="53"/>
    </row>
    <row r="849" spans="7:12" x14ac:dyDescent="0.2">
      <c r="G849" s="53"/>
      <c r="H849" s="53"/>
      <c r="I849" s="53"/>
      <c r="J849" s="53"/>
      <c r="K849" s="53"/>
      <c r="L849" s="53"/>
    </row>
    <row r="850" spans="7:12" x14ac:dyDescent="0.2">
      <c r="G850" s="53"/>
      <c r="H850" s="53"/>
      <c r="I850" s="53"/>
      <c r="J850" s="53"/>
      <c r="K850" s="53"/>
      <c r="L850" s="53"/>
    </row>
    <row r="851" spans="7:12" x14ac:dyDescent="0.2">
      <c r="G851" s="53"/>
      <c r="H851" s="53"/>
      <c r="I851" s="53"/>
      <c r="J851" s="53"/>
      <c r="K851" s="53"/>
      <c r="L851" s="53"/>
    </row>
    <row r="852" spans="7:12" x14ac:dyDescent="0.2">
      <c r="G852" s="53"/>
      <c r="H852" s="53"/>
      <c r="I852" s="53"/>
      <c r="J852" s="53"/>
      <c r="K852" s="53"/>
      <c r="L852" s="53"/>
    </row>
    <row r="853" spans="7:12" x14ac:dyDescent="0.2">
      <c r="G853" s="53"/>
      <c r="H853" s="53"/>
      <c r="I853" s="53"/>
      <c r="J853" s="53"/>
      <c r="K853" s="53"/>
      <c r="L853" s="53"/>
    </row>
    <row r="854" spans="7:12" x14ac:dyDescent="0.2">
      <c r="G854" s="53"/>
      <c r="H854" s="53"/>
      <c r="I854" s="53"/>
      <c r="J854" s="53"/>
      <c r="K854" s="53"/>
      <c r="L854" s="53"/>
    </row>
    <row r="855" spans="7:12" x14ac:dyDescent="0.2">
      <c r="G855" s="53"/>
      <c r="H855" s="53"/>
      <c r="I855" s="53"/>
      <c r="J855" s="53"/>
      <c r="K855" s="53"/>
      <c r="L855" s="53"/>
    </row>
    <row r="856" spans="7:12" x14ac:dyDescent="0.2">
      <c r="G856" s="53"/>
      <c r="H856" s="53"/>
      <c r="I856" s="53"/>
      <c r="J856" s="53"/>
      <c r="K856" s="53"/>
      <c r="L856" s="53"/>
    </row>
    <row r="857" spans="7:12" x14ac:dyDescent="0.2">
      <c r="G857" s="53"/>
      <c r="H857" s="53"/>
      <c r="I857" s="53"/>
      <c r="J857" s="53"/>
      <c r="K857" s="53"/>
      <c r="L857" s="53"/>
    </row>
    <row r="858" spans="7:12" x14ac:dyDescent="0.2">
      <c r="G858" s="53"/>
      <c r="H858" s="53"/>
      <c r="I858" s="53"/>
      <c r="J858" s="53"/>
      <c r="K858" s="53"/>
      <c r="L858" s="53"/>
    </row>
    <row r="859" spans="7:12" x14ac:dyDescent="0.2">
      <c r="G859" s="53"/>
      <c r="H859" s="53"/>
      <c r="I859" s="53"/>
      <c r="J859" s="53"/>
      <c r="K859" s="53"/>
      <c r="L859" s="53"/>
    </row>
    <row r="860" spans="7:12" x14ac:dyDescent="0.2">
      <c r="G860" s="53"/>
      <c r="H860" s="53"/>
      <c r="I860" s="53"/>
      <c r="J860" s="53"/>
      <c r="K860" s="53"/>
      <c r="L860" s="53"/>
    </row>
    <row r="861" spans="7:12" x14ac:dyDescent="0.2">
      <c r="G861" s="53"/>
      <c r="H861" s="53"/>
      <c r="I861" s="53"/>
      <c r="J861" s="53"/>
      <c r="K861" s="53"/>
      <c r="L861" s="53"/>
    </row>
    <row r="862" spans="7:12" x14ac:dyDescent="0.2">
      <c r="G862" s="53"/>
      <c r="H862" s="53"/>
      <c r="I862" s="53"/>
      <c r="J862" s="53"/>
      <c r="K862" s="53"/>
      <c r="L862" s="53"/>
    </row>
    <row r="863" spans="7:12" x14ac:dyDescent="0.2">
      <c r="G863" s="53"/>
      <c r="H863" s="53"/>
      <c r="I863" s="53"/>
      <c r="J863" s="53"/>
      <c r="K863" s="53"/>
      <c r="L863" s="53"/>
    </row>
    <row r="864" spans="7:12" x14ac:dyDescent="0.2">
      <c r="G864" s="53"/>
      <c r="H864" s="53"/>
      <c r="I864" s="53"/>
      <c r="J864" s="53"/>
      <c r="K864" s="53"/>
      <c r="L864" s="53"/>
    </row>
    <row r="865" spans="7:12" x14ac:dyDescent="0.2">
      <c r="G865" s="53"/>
      <c r="H865" s="53"/>
      <c r="I865" s="53"/>
      <c r="J865" s="53"/>
      <c r="K865" s="53"/>
      <c r="L865" s="53"/>
    </row>
    <row r="866" spans="7:12" x14ac:dyDescent="0.2">
      <c r="G866" s="53"/>
      <c r="H866" s="53"/>
      <c r="I866" s="53"/>
      <c r="J866" s="53"/>
      <c r="K866" s="53"/>
      <c r="L866" s="53"/>
    </row>
    <row r="867" spans="7:12" x14ac:dyDescent="0.2">
      <c r="G867" s="53"/>
      <c r="H867" s="53"/>
      <c r="I867" s="53"/>
      <c r="J867" s="53"/>
      <c r="K867" s="53"/>
      <c r="L867" s="53"/>
    </row>
    <row r="868" spans="7:12" x14ac:dyDescent="0.2">
      <c r="G868" s="53"/>
      <c r="H868" s="53"/>
      <c r="I868" s="53"/>
      <c r="J868" s="53"/>
      <c r="K868" s="53"/>
      <c r="L868" s="53"/>
    </row>
    <row r="869" spans="7:12" x14ac:dyDescent="0.2">
      <c r="G869" s="53"/>
      <c r="H869" s="53"/>
      <c r="I869" s="53"/>
      <c r="J869" s="53"/>
      <c r="K869" s="53"/>
      <c r="L869" s="53"/>
    </row>
    <row r="870" spans="7:12" x14ac:dyDescent="0.2">
      <c r="G870" s="53"/>
      <c r="H870" s="53"/>
      <c r="I870" s="53"/>
      <c r="J870" s="53"/>
      <c r="K870" s="53"/>
      <c r="L870" s="53"/>
    </row>
    <row r="871" spans="7:12" x14ac:dyDescent="0.2">
      <c r="G871" s="53"/>
      <c r="H871" s="53"/>
      <c r="I871" s="53"/>
      <c r="J871" s="53"/>
      <c r="K871" s="53"/>
      <c r="L871" s="53"/>
    </row>
    <row r="872" spans="7:12" x14ac:dyDescent="0.2">
      <c r="G872" s="53"/>
      <c r="H872" s="53"/>
      <c r="I872" s="53"/>
      <c r="J872" s="53"/>
      <c r="K872" s="53"/>
      <c r="L872" s="53"/>
    </row>
    <row r="873" spans="7:12" x14ac:dyDescent="0.2">
      <c r="G873" s="53"/>
      <c r="H873" s="53"/>
      <c r="I873" s="53"/>
      <c r="J873" s="53"/>
      <c r="K873" s="53"/>
      <c r="L873" s="53"/>
    </row>
    <row r="874" spans="7:12" x14ac:dyDescent="0.2">
      <c r="G874" s="53"/>
      <c r="H874" s="53"/>
      <c r="I874" s="53"/>
      <c r="J874" s="53"/>
      <c r="K874" s="53"/>
      <c r="L874" s="53"/>
    </row>
    <row r="875" spans="7:12" x14ac:dyDescent="0.2">
      <c r="G875" s="53"/>
      <c r="H875" s="53"/>
      <c r="I875" s="53"/>
      <c r="J875" s="53"/>
      <c r="K875" s="53"/>
      <c r="L875" s="53"/>
    </row>
    <row r="876" spans="7:12" x14ac:dyDescent="0.2">
      <c r="G876" s="53"/>
      <c r="H876" s="53"/>
      <c r="I876" s="53"/>
      <c r="J876" s="53"/>
      <c r="K876" s="53"/>
      <c r="L876" s="53"/>
    </row>
    <row r="877" spans="7:12" x14ac:dyDescent="0.2">
      <c r="G877" s="53"/>
      <c r="H877" s="53"/>
      <c r="I877" s="53"/>
      <c r="J877" s="53"/>
      <c r="K877" s="53"/>
      <c r="L877" s="53"/>
    </row>
    <row r="878" spans="7:12" x14ac:dyDescent="0.2">
      <c r="G878" s="53"/>
      <c r="H878" s="53"/>
      <c r="I878" s="53"/>
      <c r="J878" s="53"/>
      <c r="K878" s="53"/>
      <c r="L878" s="53"/>
    </row>
    <row r="879" spans="7:12" x14ac:dyDescent="0.2">
      <c r="G879" s="53"/>
      <c r="H879" s="53"/>
      <c r="I879" s="53"/>
      <c r="J879" s="53"/>
      <c r="K879" s="53"/>
      <c r="L879" s="53"/>
    </row>
    <row r="880" spans="7:12" x14ac:dyDescent="0.2">
      <c r="G880" s="53"/>
      <c r="H880" s="53"/>
      <c r="I880" s="53"/>
      <c r="J880" s="53"/>
      <c r="K880" s="53"/>
      <c r="L880" s="53"/>
    </row>
    <row r="881" spans="7:12" x14ac:dyDescent="0.2">
      <c r="G881" s="53"/>
      <c r="H881" s="53"/>
      <c r="I881" s="53"/>
      <c r="J881" s="53"/>
      <c r="K881" s="53"/>
      <c r="L881" s="53"/>
    </row>
    <row r="882" spans="7:12" x14ac:dyDescent="0.2">
      <c r="G882" s="53"/>
      <c r="H882" s="53"/>
      <c r="I882" s="53"/>
      <c r="J882" s="53"/>
      <c r="K882" s="53"/>
      <c r="L882" s="53"/>
    </row>
    <row r="883" spans="7:12" x14ac:dyDescent="0.2">
      <c r="G883" s="53"/>
      <c r="H883" s="53"/>
      <c r="I883" s="53"/>
      <c r="J883" s="53"/>
      <c r="K883" s="53"/>
      <c r="L883" s="53"/>
    </row>
    <row r="884" spans="7:12" x14ac:dyDescent="0.2">
      <c r="G884" s="53"/>
      <c r="H884" s="53"/>
      <c r="I884" s="53"/>
      <c r="J884" s="53"/>
      <c r="K884" s="53"/>
      <c r="L884" s="53"/>
    </row>
    <row r="885" spans="7:12" x14ac:dyDescent="0.2">
      <c r="G885" s="53"/>
      <c r="H885" s="53"/>
      <c r="I885" s="53"/>
      <c r="J885" s="53"/>
      <c r="K885" s="53"/>
      <c r="L885" s="53"/>
    </row>
    <row r="886" spans="7:12" x14ac:dyDescent="0.2">
      <c r="G886" s="53"/>
      <c r="H886" s="53"/>
      <c r="I886" s="53"/>
      <c r="J886" s="53"/>
      <c r="K886" s="53"/>
      <c r="L886" s="53"/>
    </row>
    <row r="887" spans="7:12" x14ac:dyDescent="0.2">
      <c r="G887" s="53"/>
      <c r="H887" s="53"/>
      <c r="I887" s="53"/>
      <c r="J887" s="53"/>
      <c r="K887" s="53"/>
      <c r="L887" s="53"/>
    </row>
    <row r="888" spans="7:12" x14ac:dyDescent="0.2">
      <c r="G888" s="53"/>
      <c r="H888" s="53"/>
      <c r="I888" s="53"/>
      <c r="J888" s="53"/>
      <c r="K888" s="53"/>
      <c r="L888" s="53"/>
    </row>
    <row r="889" spans="7:12" x14ac:dyDescent="0.2">
      <c r="G889" s="53"/>
      <c r="H889" s="53"/>
      <c r="I889" s="53"/>
      <c r="J889" s="53"/>
      <c r="K889" s="53"/>
      <c r="L889" s="53"/>
    </row>
    <row r="890" spans="7:12" x14ac:dyDescent="0.2">
      <c r="G890" s="53"/>
      <c r="H890" s="53"/>
      <c r="I890" s="53"/>
      <c r="J890" s="53"/>
      <c r="K890" s="53"/>
      <c r="L890" s="53"/>
    </row>
    <row r="891" spans="7:12" x14ac:dyDescent="0.2">
      <c r="G891" s="53"/>
      <c r="H891" s="53"/>
      <c r="I891" s="53"/>
      <c r="J891" s="53"/>
      <c r="K891" s="53"/>
      <c r="L891" s="53"/>
    </row>
    <row r="892" spans="7:12" x14ac:dyDescent="0.2">
      <c r="G892" s="53"/>
      <c r="H892" s="53"/>
      <c r="I892" s="53"/>
      <c r="J892" s="53"/>
      <c r="K892" s="53"/>
      <c r="L892" s="53"/>
    </row>
    <row r="893" spans="7:12" x14ac:dyDescent="0.2">
      <c r="G893" s="53"/>
      <c r="H893" s="53"/>
      <c r="I893" s="53"/>
      <c r="J893" s="53"/>
      <c r="K893" s="53"/>
      <c r="L893" s="53"/>
    </row>
    <row r="894" spans="7:12" x14ac:dyDescent="0.2">
      <c r="G894" s="53"/>
      <c r="H894" s="53"/>
      <c r="I894" s="53"/>
      <c r="J894" s="53"/>
      <c r="K894" s="53"/>
      <c r="L894" s="53"/>
    </row>
    <row r="895" spans="7:12" x14ac:dyDescent="0.2">
      <c r="G895" s="53"/>
      <c r="H895" s="53"/>
      <c r="I895" s="53"/>
      <c r="J895" s="53"/>
      <c r="K895" s="53"/>
      <c r="L895" s="53"/>
    </row>
    <row r="896" spans="7:12" x14ac:dyDescent="0.2">
      <c r="G896" s="53"/>
      <c r="H896" s="53"/>
      <c r="I896" s="53"/>
      <c r="J896" s="53"/>
      <c r="K896" s="53"/>
      <c r="L896" s="53"/>
    </row>
    <row r="897" spans="7:12" x14ac:dyDescent="0.2">
      <c r="G897" s="53"/>
      <c r="H897" s="53"/>
      <c r="I897" s="53"/>
      <c r="J897" s="53"/>
      <c r="K897" s="53"/>
      <c r="L897" s="53"/>
    </row>
    <row r="898" spans="7:12" x14ac:dyDescent="0.2">
      <c r="G898" s="53"/>
      <c r="H898" s="53"/>
      <c r="I898" s="53"/>
      <c r="J898" s="53"/>
      <c r="K898" s="53"/>
      <c r="L898" s="53"/>
    </row>
    <row r="899" spans="7:12" x14ac:dyDescent="0.2">
      <c r="G899" s="53"/>
      <c r="H899" s="53"/>
      <c r="I899" s="53"/>
      <c r="J899" s="53"/>
      <c r="K899" s="53"/>
      <c r="L899" s="53"/>
    </row>
    <row r="900" spans="7:12" x14ac:dyDescent="0.2">
      <c r="G900" s="53"/>
      <c r="H900" s="53"/>
      <c r="I900" s="53"/>
      <c r="J900" s="53"/>
      <c r="K900" s="53"/>
      <c r="L900" s="53"/>
    </row>
    <row r="901" spans="7:12" x14ac:dyDescent="0.2">
      <c r="G901" s="53"/>
      <c r="H901" s="53"/>
      <c r="I901" s="53"/>
      <c r="J901" s="53"/>
      <c r="K901" s="53"/>
      <c r="L901" s="53"/>
    </row>
    <row r="902" spans="7:12" x14ac:dyDescent="0.2">
      <c r="G902" s="53"/>
      <c r="H902" s="53"/>
      <c r="I902" s="53"/>
      <c r="J902" s="53"/>
      <c r="K902" s="53"/>
      <c r="L902" s="53"/>
    </row>
    <row r="903" spans="7:12" x14ac:dyDescent="0.2">
      <c r="G903" s="53"/>
      <c r="H903" s="53"/>
      <c r="I903" s="53"/>
      <c r="J903" s="53"/>
      <c r="K903" s="53"/>
      <c r="L903" s="53"/>
    </row>
    <row r="904" spans="7:12" x14ac:dyDescent="0.2">
      <c r="G904" s="53"/>
      <c r="H904" s="53"/>
      <c r="I904" s="53"/>
      <c r="J904" s="53"/>
      <c r="K904" s="53"/>
      <c r="L904" s="53"/>
    </row>
    <row r="905" spans="7:12" x14ac:dyDescent="0.2">
      <c r="G905" s="53"/>
      <c r="H905" s="53"/>
      <c r="I905" s="53"/>
      <c r="J905" s="53"/>
      <c r="K905" s="53"/>
      <c r="L905" s="53"/>
    </row>
    <row r="906" spans="7:12" x14ac:dyDescent="0.2">
      <c r="G906" s="53"/>
      <c r="H906" s="53"/>
      <c r="I906" s="53"/>
      <c r="J906" s="53"/>
      <c r="K906" s="53"/>
      <c r="L906" s="53"/>
    </row>
    <row r="907" spans="7:12" x14ac:dyDescent="0.2">
      <c r="G907" s="53"/>
      <c r="H907" s="53"/>
      <c r="I907" s="53"/>
      <c r="J907" s="53"/>
      <c r="K907" s="53"/>
      <c r="L907" s="53"/>
    </row>
    <row r="908" spans="7:12" x14ac:dyDescent="0.2">
      <c r="G908" s="53"/>
      <c r="H908" s="53"/>
      <c r="I908" s="53"/>
      <c r="J908" s="53"/>
      <c r="K908" s="53"/>
      <c r="L908" s="53"/>
    </row>
    <row r="909" spans="7:12" x14ac:dyDescent="0.2">
      <c r="G909" s="53"/>
      <c r="H909" s="53"/>
      <c r="I909" s="53"/>
      <c r="J909" s="53"/>
      <c r="K909" s="53"/>
      <c r="L909" s="53"/>
    </row>
    <row r="910" spans="7:12" x14ac:dyDescent="0.2">
      <c r="G910" s="53"/>
      <c r="H910" s="53"/>
      <c r="I910" s="53"/>
      <c r="J910" s="53"/>
      <c r="K910" s="53"/>
      <c r="L910" s="53"/>
    </row>
    <row r="911" spans="7:12" x14ac:dyDescent="0.2">
      <c r="G911" s="53"/>
      <c r="H911" s="53"/>
      <c r="I911" s="53"/>
      <c r="J911" s="53"/>
      <c r="K911" s="53"/>
      <c r="L911" s="53"/>
    </row>
    <row r="912" spans="7:12" x14ac:dyDescent="0.2">
      <c r="G912" s="53"/>
      <c r="H912" s="53"/>
      <c r="I912" s="53"/>
      <c r="J912" s="53"/>
      <c r="K912" s="53"/>
      <c r="L912" s="53"/>
    </row>
    <row r="913" spans="7:12" x14ac:dyDescent="0.2">
      <c r="G913" s="53"/>
      <c r="H913" s="53"/>
      <c r="I913" s="53"/>
      <c r="J913" s="53"/>
      <c r="K913" s="53"/>
      <c r="L913" s="53"/>
    </row>
    <row r="914" spans="7:12" x14ac:dyDescent="0.2">
      <c r="G914" s="53"/>
      <c r="H914" s="53"/>
      <c r="I914" s="53"/>
      <c r="J914" s="53"/>
      <c r="K914" s="53"/>
      <c r="L914" s="53"/>
    </row>
    <row r="915" spans="7:12" x14ac:dyDescent="0.2">
      <c r="G915" s="53"/>
      <c r="H915" s="53"/>
      <c r="I915" s="53"/>
      <c r="J915" s="53"/>
      <c r="K915" s="53"/>
      <c r="L915" s="53"/>
    </row>
    <row r="916" spans="7:12" x14ac:dyDescent="0.2">
      <c r="G916" s="53"/>
      <c r="H916" s="53"/>
      <c r="I916" s="53"/>
      <c r="J916" s="53"/>
      <c r="K916" s="53"/>
      <c r="L916" s="53"/>
    </row>
    <row r="917" spans="7:12" x14ac:dyDescent="0.2">
      <c r="G917" s="53"/>
      <c r="H917" s="53"/>
      <c r="I917" s="53"/>
      <c r="J917" s="53"/>
      <c r="K917" s="53"/>
      <c r="L917" s="53"/>
    </row>
    <row r="918" spans="7:12" x14ac:dyDescent="0.2">
      <c r="G918" s="53"/>
      <c r="H918" s="53"/>
      <c r="I918" s="53"/>
      <c r="J918" s="53"/>
      <c r="K918" s="53"/>
      <c r="L918" s="53"/>
    </row>
    <row r="919" spans="7:12" x14ac:dyDescent="0.2">
      <c r="G919" s="53"/>
      <c r="H919" s="53"/>
      <c r="I919" s="53"/>
      <c r="J919" s="53"/>
      <c r="K919" s="53"/>
      <c r="L919" s="53"/>
    </row>
    <row r="920" spans="7:12" x14ac:dyDescent="0.2">
      <c r="G920" s="53"/>
      <c r="H920" s="53"/>
      <c r="I920" s="53"/>
      <c r="J920" s="53"/>
      <c r="K920" s="53"/>
      <c r="L920" s="53"/>
    </row>
    <row r="921" spans="7:12" x14ac:dyDescent="0.2">
      <c r="G921" s="53"/>
      <c r="H921" s="53"/>
      <c r="I921" s="53"/>
      <c r="J921" s="53"/>
      <c r="K921" s="53"/>
      <c r="L921" s="53"/>
    </row>
    <row r="922" spans="7:12" x14ac:dyDescent="0.2">
      <c r="G922" s="53"/>
      <c r="H922" s="53"/>
      <c r="I922" s="53"/>
      <c r="J922" s="53"/>
      <c r="K922" s="53"/>
      <c r="L922" s="53"/>
    </row>
    <row r="923" spans="7:12" x14ac:dyDescent="0.2">
      <c r="G923" s="53"/>
      <c r="H923" s="53"/>
      <c r="I923" s="53"/>
      <c r="J923" s="53"/>
      <c r="K923" s="53"/>
      <c r="L923" s="53"/>
    </row>
    <row r="924" spans="7:12" x14ac:dyDescent="0.2">
      <c r="G924" s="53"/>
      <c r="H924" s="53"/>
      <c r="I924" s="53"/>
      <c r="J924" s="53"/>
      <c r="K924" s="53"/>
      <c r="L924" s="53"/>
    </row>
    <row r="925" spans="7:12" x14ac:dyDescent="0.2">
      <c r="G925" s="53"/>
      <c r="H925" s="53"/>
      <c r="I925" s="53"/>
      <c r="J925" s="53"/>
      <c r="K925" s="53"/>
      <c r="L925" s="53"/>
    </row>
    <row r="926" spans="7:12" x14ac:dyDescent="0.2">
      <c r="G926" s="53"/>
      <c r="H926" s="53"/>
      <c r="I926" s="53"/>
      <c r="J926" s="53"/>
      <c r="K926" s="53"/>
      <c r="L926" s="53"/>
    </row>
    <row r="927" spans="7:12" x14ac:dyDescent="0.2">
      <c r="G927" s="53"/>
      <c r="H927" s="53"/>
      <c r="I927" s="53"/>
      <c r="J927" s="53"/>
      <c r="K927" s="53"/>
      <c r="L927" s="53"/>
    </row>
    <row r="928" spans="7:12" x14ac:dyDescent="0.2">
      <c r="G928" s="53"/>
      <c r="H928" s="53"/>
      <c r="I928" s="53"/>
      <c r="J928" s="53"/>
      <c r="K928" s="53"/>
      <c r="L928" s="53"/>
    </row>
    <row r="929" spans="7:12" x14ac:dyDescent="0.2">
      <c r="G929" s="53"/>
      <c r="H929" s="53"/>
      <c r="I929" s="53"/>
      <c r="J929" s="53"/>
      <c r="K929" s="53"/>
      <c r="L929" s="53"/>
    </row>
    <row r="930" spans="7:12" x14ac:dyDescent="0.2">
      <c r="G930" s="53"/>
      <c r="H930" s="53"/>
      <c r="I930" s="53"/>
      <c r="J930" s="53"/>
      <c r="K930" s="53"/>
      <c r="L930" s="53"/>
    </row>
    <row r="931" spans="7:12" x14ac:dyDescent="0.2">
      <c r="G931" s="53"/>
      <c r="H931" s="53"/>
      <c r="I931" s="53"/>
      <c r="J931" s="53"/>
      <c r="K931" s="53"/>
      <c r="L931" s="53"/>
    </row>
    <row r="932" spans="7:12" x14ac:dyDescent="0.2">
      <c r="G932" s="53"/>
      <c r="H932" s="53"/>
      <c r="I932" s="53"/>
      <c r="J932" s="53"/>
      <c r="K932" s="53"/>
      <c r="L932" s="53"/>
    </row>
    <row r="933" spans="7:12" x14ac:dyDescent="0.2">
      <c r="G933" s="53"/>
      <c r="H933" s="53"/>
      <c r="I933" s="53"/>
      <c r="J933" s="53"/>
      <c r="K933" s="53"/>
      <c r="L933" s="53"/>
    </row>
    <row r="934" spans="7:12" x14ac:dyDescent="0.2">
      <c r="G934" s="53"/>
      <c r="H934" s="53"/>
      <c r="I934" s="53"/>
      <c r="J934" s="53"/>
      <c r="K934" s="53"/>
      <c r="L934" s="53"/>
    </row>
    <row r="935" spans="7:12" x14ac:dyDescent="0.2">
      <c r="G935" s="53"/>
      <c r="H935" s="53"/>
      <c r="I935" s="53"/>
      <c r="J935" s="53"/>
      <c r="K935" s="53"/>
      <c r="L935" s="53"/>
    </row>
    <row r="936" spans="7:12" x14ac:dyDescent="0.2">
      <c r="G936" s="53"/>
      <c r="H936" s="53"/>
      <c r="I936" s="53"/>
      <c r="J936" s="53"/>
      <c r="K936" s="53"/>
      <c r="L936" s="53"/>
    </row>
    <row r="937" spans="7:12" x14ac:dyDescent="0.2">
      <c r="G937" s="53"/>
      <c r="H937" s="53"/>
      <c r="I937" s="53"/>
      <c r="J937" s="53"/>
      <c r="K937" s="53"/>
      <c r="L937" s="53"/>
    </row>
    <row r="938" spans="7:12" x14ac:dyDescent="0.2">
      <c r="G938" s="53"/>
      <c r="H938" s="53"/>
      <c r="I938" s="53"/>
      <c r="J938" s="53"/>
      <c r="K938" s="53"/>
      <c r="L938" s="53"/>
    </row>
    <row r="939" spans="7:12" x14ac:dyDescent="0.2">
      <c r="G939" s="53"/>
      <c r="H939" s="53"/>
      <c r="I939" s="53"/>
      <c r="J939" s="53"/>
      <c r="K939" s="53"/>
      <c r="L939" s="53"/>
    </row>
    <row r="940" spans="7:12" x14ac:dyDescent="0.2">
      <c r="G940" s="53"/>
      <c r="H940" s="53"/>
      <c r="I940" s="53"/>
      <c r="J940" s="53"/>
      <c r="K940" s="53"/>
      <c r="L940" s="53"/>
    </row>
    <row r="941" spans="7:12" x14ac:dyDescent="0.2">
      <c r="G941" s="53"/>
      <c r="H941" s="53"/>
      <c r="I941" s="53"/>
      <c r="J941" s="53"/>
      <c r="K941" s="53"/>
      <c r="L941" s="53"/>
    </row>
    <row r="942" spans="7:12" x14ac:dyDescent="0.2">
      <c r="G942" s="53"/>
      <c r="H942" s="53"/>
      <c r="I942" s="53"/>
      <c r="J942" s="53"/>
      <c r="K942" s="53"/>
      <c r="L942" s="53"/>
    </row>
    <row r="943" spans="7:12" x14ac:dyDescent="0.2">
      <c r="G943" s="53"/>
      <c r="H943" s="53"/>
      <c r="I943" s="53"/>
      <c r="J943" s="53"/>
      <c r="K943" s="53"/>
      <c r="L943" s="53"/>
    </row>
    <row r="944" spans="7:12" x14ac:dyDescent="0.2">
      <c r="G944" s="53"/>
      <c r="H944" s="53"/>
      <c r="I944" s="53"/>
      <c r="J944" s="53"/>
      <c r="K944" s="53"/>
      <c r="L944" s="53"/>
    </row>
    <row r="945" spans="7:12" x14ac:dyDescent="0.2">
      <c r="G945" s="53"/>
      <c r="H945" s="53"/>
      <c r="I945" s="53"/>
      <c r="J945" s="53"/>
      <c r="K945" s="53"/>
      <c r="L945" s="53"/>
    </row>
    <row r="946" spans="7:12" x14ac:dyDescent="0.2">
      <c r="G946" s="53"/>
      <c r="H946" s="53"/>
      <c r="I946" s="53"/>
      <c r="J946" s="53"/>
      <c r="K946" s="53"/>
      <c r="L946" s="53"/>
    </row>
    <row r="947" spans="7:12" x14ac:dyDescent="0.2">
      <c r="G947" s="53"/>
      <c r="H947" s="53"/>
      <c r="I947" s="53"/>
      <c r="J947" s="53"/>
      <c r="K947" s="53"/>
      <c r="L947" s="53"/>
    </row>
    <row r="948" spans="7:12" x14ac:dyDescent="0.2">
      <c r="G948" s="53"/>
      <c r="H948" s="53"/>
      <c r="I948" s="53"/>
      <c r="J948" s="53"/>
      <c r="K948" s="53"/>
      <c r="L948" s="53"/>
    </row>
    <row r="949" spans="7:12" x14ac:dyDescent="0.2">
      <c r="G949" s="53"/>
      <c r="H949" s="53"/>
      <c r="I949" s="53"/>
      <c r="J949" s="53"/>
      <c r="K949" s="53"/>
      <c r="L949" s="53"/>
    </row>
    <row r="950" spans="7:12" x14ac:dyDescent="0.2">
      <c r="G950" s="53"/>
      <c r="H950" s="53"/>
      <c r="I950" s="53"/>
      <c r="J950" s="53"/>
      <c r="K950" s="53"/>
      <c r="L950" s="53"/>
    </row>
    <row r="951" spans="7:12" x14ac:dyDescent="0.2">
      <c r="G951" s="53"/>
      <c r="H951" s="53"/>
      <c r="I951" s="53"/>
      <c r="J951" s="53"/>
      <c r="K951" s="53"/>
      <c r="L951" s="53"/>
    </row>
    <row r="952" spans="7:12" x14ac:dyDescent="0.2">
      <c r="G952" s="53"/>
      <c r="H952" s="53"/>
      <c r="I952" s="53"/>
      <c r="J952" s="53"/>
      <c r="K952" s="53"/>
      <c r="L952" s="53"/>
    </row>
    <row r="953" spans="7:12" x14ac:dyDescent="0.2">
      <c r="G953" s="53"/>
      <c r="H953" s="53"/>
      <c r="I953" s="53"/>
      <c r="J953" s="53"/>
      <c r="K953" s="53"/>
      <c r="L953" s="53"/>
    </row>
    <row r="954" spans="7:12" x14ac:dyDescent="0.2">
      <c r="G954" s="53"/>
      <c r="H954" s="53"/>
      <c r="I954" s="53"/>
      <c r="J954" s="53"/>
      <c r="K954" s="53"/>
      <c r="L954" s="53"/>
    </row>
    <row r="955" spans="7:12" x14ac:dyDescent="0.2">
      <c r="G955" s="53"/>
      <c r="H955" s="53"/>
      <c r="I955" s="53"/>
      <c r="J955" s="53"/>
      <c r="K955" s="53"/>
      <c r="L955" s="53"/>
    </row>
    <row r="956" spans="7:12" x14ac:dyDescent="0.2">
      <c r="G956" s="53"/>
      <c r="H956" s="53"/>
      <c r="I956" s="53"/>
      <c r="J956" s="53"/>
      <c r="K956" s="53"/>
      <c r="L956" s="53"/>
    </row>
    <row r="957" spans="7:12" x14ac:dyDescent="0.2">
      <c r="G957" s="53"/>
      <c r="H957" s="53"/>
      <c r="I957" s="53"/>
      <c r="J957" s="53"/>
      <c r="K957" s="53"/>
      <c r="L957" s="53"/>
    </row>
    <row r="958" spans="7:12" x14ac:dyDescent="0.2">
      <c r="G958" s="53"/>
      <c r="H958" s="53"/>
      <c r="I958" s="53"/>
      <c r="J958" s="53"/>
      <c r="K958" s="53"/>
      <c r="L958" s="53"/>
    </row>
    <row r="959" spans="7:12" x14ac:dyDescent="0.2">
      <c r="G959" s="53"/>
      <c r="H959" s="53"/>
      <c r="I959" s="53"/>
      <c r="J959" s="53"/>
      <c r="K959" s="53"/>
      <c r="L959" s="53"/>
    </row>
    <row r="960" spans="7:12" x14ac:dyDescent="0.2">
      <c r="G960" s="53"/>
      <c r="H960" s="53"/>
      <c r="I960" s="53"/>
      <c r="J960" s="53"/>
      <c r="K960" s="53"/>
      <c r="L960" s="53"/>
    </row>
    <row r="961" spans="7:12" x14ac:dyDescent="0.2">
      <c r="G961" s="53"/>
      <c r="H961" s="53"/>
      <c r="I961" s="53"/>
      <c r="J961" s="53"/>
      <c r="K961" s="53"/>
      <c r="L961" s="53"/>
    </row>
    <row r="962" spans="7:12" x14ac:dyDescent="0.2">
      <c r="G962" s="53"/>
      <c r="H962" s="53"/>
      <c r="I962" s="53"/>
      <c r="J962" s="53"/>
      <c r="K962" s="53"/>
      <c r="L962" s="53"/>
    </row>
    <row r="963" spans="7:12" x14ac:dyDescent="0.2">
      <c r="G963" s="53"/>
      <c r="H963" s="53"/>
      <c r="I963" s="53"/>
      <c r="J963" s="53"/>
      <c r="K963" s="53"/>
      <c r="L963" s="53"/>
    </row>
    <row r="964" spans="7:12" x14ac:dyDescent="0.2">
      <c r="G964" s="53"/>
      <c r="H964" s="53"/>
      <c r="I964" s="53"/>
      <c r="J964" s="53"/>
      <c r="K964" s="53"/>
      <c r="L964" s="53"/>
    </row>
    <row r="965" spans="7:12" x14ac:dyDescent="0.2">
      <c r="G965" s="53"/>
      <c r="H965" s="53"/>
      <c r="I965" s="53"/>
      <c r="J965" s="53"/>
      <c r="K965" s="53"/>
      <c r="L965" s="53"/>
    </row>
    <row r="966" spans="7:12" x14ac:dyDescent="0.2">
      <c r="G966" s="53"/>
      <c r="H966" s="53"/>
      <c r="I966" s="53"/>
      <c r="J966" s="53"/>
      <c r="K966" s="53"/>
      <c r="L966" s="53"/>
    </row>
    <row r="967" spans="7:12" x14ac:dyDescent="0.2">
      <c r="G967" s="53"/>
      <c r="H967" s="53"/>
      <c r="I967" s="53"/>
      <c r="J967" s="53"/>
      <c r="K967" s="53"/>
      <c r="L967" s="53"/>
    </row>
    <row r="968" spans="7:12" x14ac:dyDescent="0.2">
      <c r="G968" s="53"/>
      <c r="H968" s="53"/>
      <c r="I968" s="53"/>
      <c r="J968" s="53"/>
      <c r="K968" s="53"/>
      <c r="L968" s="53"/>
    </row>
    <row r="969" spans="7:12" x14ac:dyDescent="0.2">
      <c r="G969" s="53"/>
      <c r="H969" s="53"/>
      <c r="I969" s="53"/>
      <c r="J969" s="53"/>
      <c r="K969" s="53"/>
      <c r="L969" s="53"/>
    </row>
    <row r="970" spans="7:12" x14ac:dyDescent="0.2">
      <c r="G970" s="53"/>
      <c r="H970" s="53"/>
      <c r="I970" s="53"/>
      <c r="J970" s="53"/>
      <c r="K970" s="53"/>
      <c r="L970" s="53"/>
    </row>
    <row r="971" spans="7:12" x14ac:dyDescent="0.2">
      <c r="G971" s="53"/>
      <c r="H971" s="53"/>
      <c r="I971" s="53"/>
      <c r="J971" s="53"/>
      <c r="K971" s="53"/>
      <c r="L971" s="53"/>
    </row>
    <row r="972" spans="7:12" x14ac:dyDescent="0.2">
      <c r="G972" s="53"/>
      <c r="H972" s="53"/>
      <c r="I972" s="53"/>
      <c r="J972" s="53"/>
      <c r="K972" s="53"/>
      <c r="L972" s="53"/>
    </row>
    <row r="973" spans="7:12" x14ac:dyDescent="0.2">
      <c r="G973" s="53"/>
      <c r="H973" s="53"/>
      <c r="I973" s="53"/>
      <c r="J973" s="53"/>
      <c r="K973" s="53"/>
      <c r="L973" s="53"/>
    </row>
    <row r="974" spans="7:12" x14ac:dyDescent="0.2">
      <c r="G974" s="53"/>
      <c r="H974" s="53"/>
      <c r="I974" s="53"/>
      <c r="J974" s="53"/>
      <c r="K974" s="53"/>
      <c r="L974" s="53"/>
    </row>
    <row r="975" spans="7:12" x14ac:dyDescent="0.2">
      <c r="G975" s="53"/>
      <c r="H975" s="53"/>
      <c r="I975" s="53"/>
      <c r="J975" s="53"/>
      <c r="K975" s="53"/>
      <c r="L975" s="53"/>
    </row>
    <row r="976" spans="7:12" x14ac:dyDescent="0.2">
      <c r="G976" s="53"/>
      <c r="H976" s="53"/>
      <c r="I976" s="53"/>
      <c r="J976" s="53"/>
      <c r="K976" s="53"/>
      <c r="L976" s="53"/>
    </row>
    <row r="977" spans="7:12" x14ac:dyDescent="0.2">
      <c r="G977" s="53"/>
      <c r="H977" s="53"/>
      <c r="I977" s="53"/>
      <c r="J977" s="53"/>
      <c r="K977" s="53"/>
      <c r="L977" s="53"/>
    </row>
    <row r="978" spans="7:12" x14ac:dyDescent="0.2">
      <c r="G978" s="53"/>
      <c r="H978" s="53"/>
      <c r="I978" s="53"/>
      <c r="J978" s="53"/>
      <c r="K978" s="53"/>
      <c r="L978" s="53"/>
    </row>
    <row r="979" spans="7:12" x14ac:dyDescent="0.2">
      <c r="G979" s="53"/>
      <c r="H979" s="53"/>
      <c r="I979" s="53"/>
      <c r="J979" s="53"/>
      <c r="K979" s="53"/>
      <c r="L979" s="53"/>
    </row>
    <row r="980" spans="7:12" x14ac:dyDescent="0.2">
      <c r="G980" s="53"/>
      <c r="H980" s="53"/>
      <c r="I980" s="53"/>
      <c r="J980" s="53"/>
      <c r="K980" s="53"/>
      <c r="L980" s="53"/>
    </row>
    <row r="981" spans="7:12" x14ac:dyDescent="0.2">
      <c r="G981" s="53"/>
      <c r="H981" s="53"/>
      <c r="I981" s="53"/>
      <c r="J981" s="53"/>
      <c r="K981" s="53"/>
      <c r="L981" s="53"/>
    </row>
    <row r="982" spans="7:12" x14ac:dyDescent="0.2">
      <c r="G982" s="53"/>
      <c r="H982" s="53"/>
      <c r="I982" s="53"/>
      <c r="J982" s="53"/>
      <c r="K982" s="53"/>
      <c r="L982" s="53"/>
    </row>
    <row r="983" spans="7:12" x14ac:dyDescent="0.2">
      <c r="G983" s="53"/>
      <c r="H983" s="53"/>
      <c r="I983" s="53"/>
      <c r="J983" s="53"/>
      <c r="K983" s="53"/>
      <c r="L983" s="53"/>
    </row>
    <row r="984" spans="7:12" x14ac:dyDescent="0.2">
      <c r="G984" s="53"/>
      <c r="H984" s="53"/>
      <c r="I984" s="53"/>
      <c r="J984" s="53"/>
      <c r="K984" s="53"/>
      <c r="L984" s="53"/>
    </row>
    <row r="985" spans="7:12" x14ac:dyDescent="0.2">
      <c r="G985" s="53"/>
      <c r="H985" s="53"/>
      <c r="I985" s="53"/>
      <c r="J985" s="53"/>
      <c r="K985" s="53"/>
      <c r="L985" s="53"/>
    </row>
    <row r="986" spans="7:12" x14ac:dyDescent="0.2">
      <c r="G986" s="53"/>
      <c r="H986" s="53"/>
      <c r="I986" s="53"/>
      <c r="J986" s="53"/>
      <c r="K986" s="53"/>
      <c r="L986" s="53"/>
    </row>
    <row r="987" spans="7:12" x14ac:dyDescent="0.2">
      <c r="G987" s="53"/>
      <c r="H987" s="53"/>
      <c r="I987" s="53"/>
      <c r="J987" s="53"/>
      <c r="K987" s="53"/>
      <c r="L987" s="53"/>
    </row>
    <row r="988" spans="7:12" x14ac:dyDescent="0.2">
      <c r="G988" s="53"/>
      <c r="H988" s="53"/>
      <c r="I988" s="53"/>
      <c r="J988" s="53"/>
      <c r="K988" s="53"/>
      <c r="L988" s="53"/>
    </row>
    <row r="989" spans="7:12" x14ac:dyDescent="0.2">
      <c r="G989" s="53"/>
      <c r="H989" s="53"/>
      <c r="I989" s="53"/>
      <c r="J989" s="53"/>
      <c r="K989" s="53"/>
      <c r="L989" s="53"/>
    </row>
    <row r="990" spans="7:12" x14ac:dyDescent="0.2">
      <c r="G990" s="53"/>
      <c r="H990" s="53"/>
      <c r="I990" s="53"/>
      <c r="J990" s="53"/>
      <c r="K990" s="53"/>
      <c r="L990" s="53"/>
    </row>
    <row r="991" spans="7:12" x14ac:dyDescent="0.2">
      <c r="G991" s="53"/>
      <c r="H991" s="53"/>
      <c r="I991" s="53"/>
      <c r="J991" s="53"/>
      <c r="K991" s="53"/>
      <c r="L991" s="53"/>
    </row>
    <row r="992" spans="7:12" x14ac:dyDescent="0.2">
      <c r="G992" s="53"/>
      <c r="H992" s="53"/>
      <c r="I992" s="53"/>
      <c r="J992" s="53"/>
      <c r="K992" s="53"/>
      <c r="L992" s="53"/>
    </row>
    <row r="993" spans="7:12" x14ac:dyDescent="0.2">
      <c r="G993" s="53"/>
      <c r="H993" s="53"/>
      <c r="I993" s="53"/>
      <c r="J993" s="53"/>
      <c r="K993" s="53"/>
      <c r="L993" s="53"/>
    </row>
    <row r="994" spans="7:12" x14ac:dyDescent="0.2">
      <c r="G994" s="53"/>
      <c r="H994" s="53"/>
      <c r="I994" s="53"/>
      <c r="J994" s="53"/>
      <c r="K994" s="53"/>
      <c r="L994" s="53"/>
    </row>
    <row r="995" spans="7:12" x14ac:dyDescent="0.2">
      <c r="G995" s="53"/>
      <c r="H995" s="53"/>
      <c r="I995" s="53"/>
      <c r="J995" s="53"/>
      <c r="K995" s="53"/>
      <c r="L995" s="53"/>
    </row>
    <row r="996" spans="7:12" x14ac:dyDescent="0.2">
      <c r="G996" s="53"/>
      <c r="H996" s="53"/>
      <c r="I996" s="53"/>
      <c r="J996" s="53"/>
      <c r="K996" s="53"/>
      <c r="L996" s="53"/>
    </row>
    <row r="997" spans="7:12" x14ac:dyDescent="0.2">
      <c r="G997" s="53"/>
      <c r="H997" s="53"/>
      <c r="I997" s="53"/>
      <c r="J997" s="53"/>
      <c r="K997" s="53"/>
      <c r="L997" s="53"/>
    </row>
    <row r="998" spans="7:12" x14ac:dyDescent="0.2">
      <c r="G998" s="53"/>
      <c r="H998" s="53"/>
      <c r="I998" s="53"/>
      <c r="J998" s="53"/>
      <c r="K998" s="53"/>
      <c r="L998" s="53"/>
    </row>
    <row r="999" spans="7:12" x14ac:dyDescent="0.2">
      <c r="G999" s="53"/>
      <c r="H999" s="53"/>
      <c r="I999" s="53"/>
      <c r="J999" s="53"/>
      <c r="K999" s="53"/>
      <c r="L999" s="53"/>
    </row>
    <row r="1000" spans="7:12" x14ac:dyDescent="0.2">
      <c r="G1000" s="53"/>
      <c r="H1000" s="53"/>
      <c r="I1000" s="53"/>
      <c r="J1000" s="53"/>
      <c r="K1000" s="53"/>
      <c r="L1000" s="53"/>
    </row>
    <row r="1001" spans="7:12" x14ac:dyDescent="0.2">
      <c r="G1001" s="53"/>
      <c r="H1001" s="53"/>
      <c r="I1001" s="53"/>
      <c r="J1001" s="53"/>
      <c r="K1001" s="53"/>
      <c r="L1001" s="53"/>
    </row>
    <row r="1002" spans="7:12" x14ac:dyDescent="0.2">
      <c r="G1002" s="53"/>
      <c r="H1002" s="53"/>
      <c r="I1002" s="53"/>
      <c r="J1002" s="53"/>
      <c r="K1002" s="53"/>
      <c r="L1002" s="53"/>
    </row>
    <row r="1003" spans="7:12" x14ac:dyDescent="0.2">
      <c r="G1003" s="53"/>
      <c r="H1003" s="53"/>
      <c r="I1003" s="53"/>
      <c r="J1003" s="53"/>
      <c r="K1003" s="53"/>
      <c r="L1003" s="53"/>
    </row>
    <row r="1004" spans="7:12" x14ac:dyDescent="0.2">
      <c r="G1004" s="53"/>
      <c r="H1004" s="53"/>
      <c r="I1004" s="53"/>
      <c r="J1004" s="53"/>
      <c r="K1004" s="53"/>
      <c r="L1004" s="53"/>
    </row>
    <row r="1005" spans="7:12" x14ac:dyDescent="0.2">
      <c r="G1005" s="53"/>
      <c r="H1005" s="53"/>
      <c r="I1005" s="53"/>
      <c r="J1005" s="53"/>
      <c r="K1005" s="53"/>
      <c r="L1005" s="53"/>
    </row>
    <row r="1006" spans="7:12" x14ac:dyDescent="0.2">
      <c r="G1006" s="53"/>
      <c r="H1006" s="53"/>
      <c r="I1006" s="53"/>
      <c r="J1006" s="53"/>
      <c r="K1006" s="53"/>
      <c r="L1006" s="53"/>
    </row>
    <row r="1007" spans="7:12" x14ac:dyDescent="0.2">
      <c r="G1007" s="53"/>
      <c r="H1007" s="53"/>
      <c r="I1007" s="53"/>
      <c r="J1007" s="53"/>
      <c r="K1007" s="53"/>
      <c r="L1007" s="53"/>
    </row>
    <row r="1008" spans="7:12" x14ac:dyDescent="0.2">
      <c r="G1008" s="53"/>
      <c r="H1008" s="53"/>
      <c r="I1008" s="53"/>
      <c r="J1008" s="53"/>
      <c r="K1008" s="53"/>
      <c r="L1008" s="53"/>
    </row>
    <row r="1009" spans="7:12" x14ac:dyDescent="0.2">
      <c r="G1009" s="53"/>
      <c r="H1009" s="53"/>
      <c r="I1009" s="53"/>
      <c r="J1009" s="53"/>
      <c r="K1009" s="53"/>
      <c r="L1009" s="53"/>
    </row>
    <row r="1010" spans="7:12" x14ac:dyDescent="0.2">
      <c r="G1010" s="53"/>
      <c r="H1010" s="53"/>
      <c r="I1010" s="53"/>
      <c r="J1010" s="53"/>
      <c r="K1010" s="53"/>
      <c r="L1010" s="53"/>
    </row>
    <row r="1011" spans="7:12" x14ac:dyDescent="0.2">
      <c r="G1011" s="53"/>
      <c r="H1011" s="53"/>
      <c r="I1011" s="53"/>
      <c r="J1011" s="53"/>
      <c r="K1011" s="53"/>
      <c r="L1011" s="53"/>
    </row>
    <row r="1012" spans="7:12" x14ac:dyDescent="0.2">
      <c r="G1012" s="53"/>
      <c r="H1012" s="53"/>
      <c r="I1012" s="53"/>
      <c r="J1012" s="53"/>
      <c r="K1012" s="53"/>
      <c r="L1012" s="53"/>
    </row>
    <row r="1013" spans="7:12" x14ac:dyDescent="0.2">
      <c r="G1013" s="53"/>
      <c r="H1013" s="53"/>
      <c r="I1013" s="53"/>
      <c r="J1013" s="53"/>
      <c r="K1013" s="53"/>
      <c r="L1013" s="53"/>
    </row>
    <row r="1014" spans="7:12" x14ac:dyDescent="0.2">
      <c r="G1014" s="53"/>
      <c r="H1014" s="53"/>
      <c r="I1014" s="53"/>
      <c r="J1014" s="53"/>
      <c r="K1014" s="53"/>
      <c r="L1014" s="53"/>
    </row>
    <row r="1015" spans="7:12" x14ac:dyDescent="0.2">
      <c r="G1015" s="53"/>
      <c r="H1015" s="53"/>
      <c r="I1015" s="53"/>
      <c r="J1015" s="53"/>
      <c r="K1015" s="53"/>
      <c r="L1015" s="53"/>
    </row>
    <row r="1016" spans="7:12" x14ac:dyDescent="0.2">
      <c r="G1016" s="53"/>
      <c r="H1016" s="53"/>
      <c r="I1016" s="53"/>
      <c r="J1016" s="53"/>
      <c r="K1016" s="53"/>
      <c r="L1016" s="53"/>
    </row>
    <row r="1017" spans="7:12" x14ac:dyDescent="0.2">
      <c r="G1017" s="53"/>
      <c r="H1017" s="53"/>
      <c r="I1017" s="53"/>
      <c r="J1017" s="53"/>
      <c r="K1017" s="53"/>
      <c r="L1017" s="53"/>
    </row>
    <row r="1018" spans="7:12" x14ac:dyDescent="0.2">
      <c r="G1018" s="53"/>
      <c r="H1018" s="53"/>
      <c r="I1018" s="53"/>
      <c r="J1018" s="53"/>
      <c r="K1018" s="53"/>
      <c r="L1018" s="53"/>
    </row>
    <row r="1019" spans="7:12" x14ac:dyDescent="0.2">
      <c r="G1019" s="53"/>
      <c r="H1019" s="53"/>
      <c r="I1019" s="53"/>
      <c r="J1019" s="53"/>
      <c r="K1019" s="53"/>
      <c r="L1019" s="53"/>
    </row>
    <row r="1020" spans="7:12" x14ac:dyDescent="0.2">
      <c r="G1020" s="53"/>
      <c r="H1020" s="53"/>
      <c r="I1020" s="53"/>
      <c r="J1020" s="53"/>
      <c r="K1020" s="53"/>
      <c r="L1020" s="53"/>
    </row>
    <row r="1021" spans="7:12" x14ac:dyDescent="0.2">
      <c r="G1021" s="53"/>
      <c r="H1021" s="53"/>
      <c r="I1021" s="53"/>
      <c r="J1021" s="53"/>
      <c r="K1021" s="53"/>
      <c r="L1021" s="53"/>
    </row>
    <row r="1022" spans="7:12" x14ac:dyDescent="0.2">
      <c r="G1022" s="53"/>
      <c r="H1022" s="53"/>
      <c r="I1022" s="53"/>
      <c r="J1022" s="53"/>
      <c r="K1022" s="53"/>
      <c r="L1022" s="53"/>
    </row>
    <row r="1023" spans="7:12" x14ac:dyDescent="0.2">
      <c r="G1023" s="53"/>
      <c r="H1023" s="53"/>
      <c r="I1023" s="53"/>
      <c r="J1023" s="53"/>
      <c r="K1023" s="53"/>
      <c r="L1023" s="53"/>
    </row>
    <row r="1024" spans="7:12" x14ac:dyDescent="0.2">
      <c r="G1024" s="53"/>
      <c r="H1024" s="53"/>
      <c r="I1024" s="53"/>
      <c r="J1024" s="53"/>
      <c r="K1024" s="53"/>
      <c r="L1024" s="53"/>
    </row>
    <row r="1025" spans="7:12" x14ac:dyDescent="0.2">
      <c r="G1025" s="53"/>
      <c r="H1025" s="53"/>
      <c r="I1025" s="53"/>
      <c r="J1025" s="53"/>
      <c r="K1025" s="53"/>
      <c r="L1025" s="53"/>
    </row>
    <row r="1026" spans="7:12" x14ac:dyDescent="0.2">
      <c r="G1026" s="53"/>
      <c r="H1026" s="53"/>
      <c r="I1026" s="53"/>
      <c r="J1026" s="53"/>
      <c r="K1026" s="53"/>
      <c r="L1026" s="53"/>
    </row>
    <row r="1027" spans="7:12" x14ac:dyDescent="0.2">
      <c r="G1027" s="53"/>
      <c r="H1027" s="53"/>
      <c r="I1027" s="53"/>
      <c r="J1027" s="53"/>
      <c r="K1027" s="53"/>
      <c r="L1027" s="53"/>
    </row>
    <row r="1028" spans="7:12" x14ac:dyDescent="0.2">
      <c r="G1028" s="53"/>
      <c r="H1028" s="53"/>
      <c r="I1028" s="53"/>
      <c r="J1028" s="53"/>
      <c r="K1028" s="53"/>
      <c r="L1028" s="53"/>
    </row>
    <row r="1029" spans="7:12" x14ac:dyDescent="0.2">
      <c r="G1029" s="53"/>
      <c r="H1029" s="53"/>
      <c r="I1029" s="53"/>
      <c r="J1029" s="53"/>
      <c r="K1029" s="53"/>
      <c r="L1029" s="53"/>
    </row>
    <row r="1030" spans="7:12" x14ac:dyDescent="0.2">
      <c r="G1030" s="53"/>
      <c r="H1030" s="53"/>
      <c r="I1030" s="53"/>
      <c r="J1030" s="53"/>
      <c r="K1030" s="53"/>
      <c r="L1030" s="53"/>
    </row>
    <row r="1031" spans="7:12" x14ac:dyDescent="0.2">
      <c r="G1031" s="53"/>
      <c r="H1031" s="53"/>
      <c r="I1031" s="53"/>
      <c r="J1031" s="53"/>
      <c r="K1031" s="53"/>
      <c r="L1031" s="53"/>
    </row>
    <row r="1032" spans="7:12" x14ac:dyDescent="0.2">
      <c r="G1032" s="53"/>
      <c r="H1032" s="53"/>
      <c r="I1032" s="53"/>
      <c r="J1032" s="53"/>
      <c r="K1032" s="53"/>
      <c r="L1032" s="53"/>
    </row>
    <row r="1033" spans="7:12" x14ac:dyDescent="0.2">
      <c r="G1033" s="53"/>
      <c r="H1033" s="53"/>
      <c r="I1033" s="53"/>
      <c r="J1033" s="53"/>
      <c r="K1033" s="53"/>
      <c r="L1033" s="53"/>
    </row>
    <row r="1034" spans="7:12" x14ac:dyDescent="0.2">
      <c r="G1034" s="53"/>
      <c r="H1034" s="53"/>
      <c r="I1034" s="53"/>
      <c r="J1034" s="53"/>
      <c r="K1034" s="53"/>
      <c r="L1034" s="53"/>
    </row>
    <row r="1035" spans="7:12" x14ac:dyDescent="0.2">
      <c r="G1035" s="53"/>
      <c r="H1035" s="53"/>
      <c r="I1035" s="53"/>
      <c r="J1035" s="53"/>
      <c r="K1035" s="53"/>
      <c r="L1035" s="53"/>
    </row>
    <row r="1036" spans="7:12" x14ac:dyDescent="0.2">
      <c r="G1036" s="53"/>
      <c r="H1036" s="53"/>
      <c r="I1036" s="53"/>
      <c r="J1036" s="53"/>
      <c r="K1036" s="53"/>
      <c r="L1036" s="53"/>
    </row>
    <row r="1037" spans="7:12" x14ac:dyDescent="0.2">
      <c r="G1037" s="53"/>
      <c r="H1037" s="53"/>
      <c r="I1037" s="53"/>
      <c r="J1037" s="53"/>
      <c r="K1037" s="53"/>
      <c r="L1037" s="53"/>
    </row>
    <row r="1038" spans="7:12" x14ac:dyDescent="0.2">
      <c r="G1038" s="53"/>
      <c r="H1038" s="53"/>
      <c r="I1038" s="53"/>
      <c r="J1038" s="53"/>
      <c r="K1038" s="53"/>
      <c r="L1038" s="53"/>
    </row>
    <row r="1039" spans="7:12" x14ac:dyDescent="0.2">
      <c r="G1039" s="53"/>
      <c r="H1039" s="53"/>
      <c r="I1039" s="53"/>
      <c r="J1039" s="53"/>
      <c r="K1039" s="53"/>
      <c r="L1039" s="53"/>
    </row>
    <row r="1040" spans="7:12" x14ac:dyDescent="0.2">
      <c r="G1040" s="53"/>
      <c r="H1040" s="53"/>
      <c r="I1040" s="53"/>
      <c r="J1040" s="53"/>
      <c r="K1040" s="53"/>
      <c r="L1040" s="53"/>
    </row>
    <row r="1041" spans="7:12" x14ac:dyDescent="0.2">
      <c r="G1041" s="53"/>
      <c r="H1041" s="53"/>
      <c r="I1041" s="53"/>
      <c r="J1041" s="53"/>
      <c r="K1041" s="53"/>
      <c r="L1041" s="53"/>
    </row>
    <row r="1042" spans="7:12" x14ac:dyDescent="0.2">
      <c r="G1042" s="53"/>
      <c r="H1042" s="53"/>
      <c r="I1042" s="53"/>
      <c r="J1042" s="53"/>
      <c r="K1042" s="53"/>
      <c r="L1042" s="53"/>
    </row>
    <row r="1043" spans="7:12" x14ac:dyDescent="0.2">
      <c r="G1043" s="53"/>
      <c r="H1043" s="53"/>
      <c r="I1043" s="53"/>
      <c r="J1043" s="53"/>
      <c r="K1043" s="53"/>
      <c r="L1043" s="53"/>
    </row>
    <row r="1044" spans="7:12" x14ac:dyDescent="0.2">
      <c r="G1044" s="53"/>
      <c r="H1044" s="53"/>
      <c r="I1044" s="53"/>
      <c r="J1044" s="53"/>
      <c r="K1044" s="53"/>
      <c r="L1044" s="53"/>
    </row>
    <row r="1045" spans="7:12" x14ac:dyDescent="0.2">
      <c r="G1045" s="53"/>
      <c r="H1045" s="53"/>
      <c r="I1045" s="53"/>
      <c r="J1045" s="53"/>
      <c r="K1045" s="53"/>
      <c r="L1045" s="53"/>
    </row>
    <row r="1046" spans="7:12" x14ac:dyDescent="0.2">
      <c r="G1046" s="53"/>
      <c r="H1046" s="53"/>
      <c r="I1046" s="53"/>
      <c r="J1046" s="53"/>
      <c r="K1046" s="53"/>
      <c r="L1046" s="53"/>
    </row>
    <row r="1047" spans="7:12" x14ac:dyDescent="0.2">
      <c r="G1047" s="53"/>
      <c r="H1047" s="53"/>
      <c r="I1047" s="53"/>
      <c r="J1047" s="53"/>
      <c r="K1047" s="53"/>
      <c r="L1047" s="53"/>
    </row>
    <row r="1048" spans="7:12" x14ac:dyDescent="0.2">
      <c r="G1048" s="53"/>
      <c r="H1048" s="53"/>
      <c r="I1048" s="53"/>
      <c r="J1048" s="53"/>
      <c r="K1048" s="53"/>
      <c r="L1048" s="53"/>
    </row>
    <row r="1049" spans="7:12" x14ac:dyDescent="0.2">
      <c r="G1049" s="53"/>
      <c r="H1049" s="53"/>
      <c r="I1049" s="53"/>
      <c r="J1049" s="53"/>
      <c r="K1049" s="53"/>
      <c r="L1049" s="53"/>
    </row>
    <row r="1050" spans="7:12" x14ac:dyDescent="0.2">
      <c r="G1050" s="53"/>
      <c r="H1050" s="53"/>
      <c r="I1050" s="53"/>
      <c r="J1050" s="53"/>
      <c r="K1050" s="53"/>
      <c r="L1050" s="53"/>
    </row>
    <row r="1051" spans="7:12" x14ac:dyDescent="0.2">
      <c r="G1051" s="53"/>
      <c r="H1051" s="53"/>
      <c r="I1051" s="53"/>
      <c r="J1051" s="53"/>
      <c r="K1051" s="53"/>
      <c r="L1051" s="53"/>
    </row>
    <row r="1052" spans="7:12" x14ac:dyDescent="0.2">
      <c r="G1052" s="53"/>
      <c r="H1052" s="53"/>
      <c r="I1052" s="53"/>
      <c r="J1052" s="53"/>
      <c r="K1052" s="53"/>
      <c r="L1052" s="53"/>
    </row>
    <row r="1053" spans="7:12" x14ac:dyDescent="0.2">
      <c r="G1053" s="53"/>
      <c r="H1053" s="53"/>
      <c r="I1053" s="53"/>
      <c r="J1053" s="53"/>
      <c r="K1053" s="53"/>
      <c r="L1053" s="53"/>
    </row>
    <row r="1054" spans="7:12" x14ac:dyDescent="0.2">
      <c r="G1054" s="53"/>
      <c r="H1054" s="53"/>
      <c r="I1054" s="53"/>
      <c r="J1054" s="53"/>
      <c r="K1054" s="53"/>
      <c r="L1054" s="53"/>
    </row>
    <row r="1055" spans="7:12" x14ac:dyDescent="0.2">
      <c r="G1055" s="53"/>
      <c r="H1055" s="53"/>
      <c r="I1055" s="53"/>
      <c r="J1055" s="53"/>
      <c r="K1055" s="53"/>
      <c r="L1055" s="53"/>
    </row>
    <row r="1056" spans="7:12" x14ac:dyDescent="0.2">
      <c r="G1056" s="53"/>
      <c r="H1056" s="53"/>
      <c r="I1056" s="53"/>
      <c r="J1056" s="53"/>
      <c r="K1056" s="53"/>
      <c r="L1056" s="53"/>
    </row>
    <row r="1057" spans="7:12" x14ac:dyDescent="0.2">
      <c r="G1057" s="53"/>
      <c r="H1057" s="53"/>
      <c r="I1057" s="53"/>
      <c r="J1057" s="53"/>
      <c r="K1057" s="53"/>
      <c r="L1057" s="53"/>
    </row>
    <row r="1058" spans="7:12" x14ac:dyDescent="0.2">
      <c r="G1058" s="53"/>
      <c r="H1058" s="53"/>
      <c r="I1058" s="53"/>
      <c r="J1058" s="53"/>
      <c r="K1058" s="53"/>
      <c r="L1058" s="53"/>
    </row>
    <row r="1059" spans="7:12" x14ac:dyDescent="0.2">
      <c r="G1059" s="53"/>
      <c r="H1059" s="53"/>
      <c r="I1059" s="53"/>
      <c r="J1059" s="53"/>
      <c r="K1059" s="53"/>
      <c r="L1059" s="53"/>
    </row>
    <row r="1060" spans="7:12" x14ac:dyDescent="0.2">
      <c r="G1060" s="53"/>
      <c r="H1060" s="53"/>
      <c r="I1060" s="53"/>
      <c r="J1060" s="53"/>
      <c r="K1060" s="53"/>
      <c r="L1060" s="53"/>
    </row>
    <row r="1061" spans="7:12" x14ac:dyDescent="0.2">
      <c r="G1061" s="53"/>
      <c r="H1061" s="53"/>
      <c r="I1061" s="53"/>
      <c r="J1061" s="53"/>
      <c r="K1061" s="53"/>
      <c r="L1061" s="53"/>
    </row>
    <row r="1062" spans="7:12" x14ac:dyDescent="0.2">
      <c r="G1062" s="53"/>
      <c r="H1062" s="53"/>
      <c r="I1062" s="53"/>
      <c r="J1062" s="53"/>
      <c r="K1062" s="53"/>
      <c r="L1062" s="53"/>
    </row>
    <row r="1063" spans="7:12" x14ac:dyDescent="0.2">
      <c r="G1063" s="53"/>
      <c r="H1063" s="53"/>
      <c r="I1063" s="53"/>
      <c r="J1063" s="53"/>
      <c r="K1063" s="53"/>
      <c r="L1063" s="53"/>
    </row>
    <row r="1064" spans="7:12" x14ac:dyDescent="0.2">
      <c r="G1064" s="53"/>
      <c r="H1064" s="53"/>
      <c r="I1064" s="53"/>
      <c r="J1064" s="53"/>
      <c r="K1064" s="53"/>
      <c r="L1064" s="53"/>
    </row>
    <row r="1065" spans="7:12" x14ac:dyDescent="0.2">
      <c r="G1065" s="53"/>
      <c r="H1065" s="53"/>
      <c r="I1065" s="53"/>
      <c r="J1065" s="53"/>
      <c r="K1065" s="53"/>
      <c r="L1065" s="53"/>
    </row>
    <row r="1066" spans="7:12" x14ac:dyDescent="0.2">
      <c r="G1066" s="53"/>
      <c r="H1066" s="53"/>
      <c r="I1066" s="53"/>
      <c r="J1066" s="53"/>
      <c r="K1066" s="53"/>
      <c r="L1066" s="53"/>
    </row>
    <row r="1067" spans="7:12" x14ac:dyDescent="0.2">
      <c r="G1067" s="53"/>
      <c r="H1067" s="53"/>
      <c r="I1067" s="53"/>
      <c r="J1067" s="53"/>
      <c r="K1067" s="53"/>
      <c r="L1067" s="53"/>
    </row>
    <row r="1068" spans="7:12" x14ac:dyDescent="0.2">
      <c r="G1068" s="53"/>
      <c r="H1068" s="53"/>
      <c r="I1068" s="53"/>
      <c r="J1068" s="53"/>
      <c r="K1068" s="53"/>
      <c r="L1068" s="53"/>
    </row>
    <row r="1069" spans="7:12" x14ac:dyDescent="0.2">
      <c r="G1069" s="53"/>
      <c r="H1069" s="53"/>
      <c r="I1069" s="53"/>
      <c r="J1069" s="53"/>
      <c r="K1069" s="53"/>
      <c r="L1069" s="53"/>
    </row>
    <row r="1070" spans="7:12" x14ac:dyDescent="0.2">
      <c r="G1070" s="53"/>
      <c r="H1070" s="53"/>
      <c r="I1070" s="53"/>
      <c r="J1070" s="53"/>
      <c r="K1070" s="53"/>
      <c r="L1070" s="53"/>
    </row>
    <row r="1071" spans="7:12" x14ac:dyDescent="0.2">
      <c r="G1071" s="53"/>
      <c r="H1071" s="53"/>
      <c r="I1071" s="53"/>
      <c r="J1071" s="53"/>
      <c r="K1071" s="53"/>
      <c r="L1071" s="53"/>
    </row>
    <row r="1072" spans="7:12" x14ac:dyDescent="0.2">
      <c r="G1072" s="53"/>
      <c r="H1072" s="53"/>
      <c r="I1072" s="53"/>
      <c r="J1072" s="53"/>
      <c r="K1072" s="53"/>
      <c r="L1072" s="53"/>
    </row>
    <row r="1073" spans="7:12" x14ac:dyDescent="0.2">
      <c r="G1073" s="53"/>
      <c r="H1073" s="53"/>
      <c r="I1073" s="53"/>
      <c r="J1073" s="53"/>
      <c r="K1073" s="53"/>
      <c r="L1073" s="53"/>
    </row>
    <row r="1074" spans="7:12" x14ac:dyDescent="0.2">
      <c r="G1074" s="53"/>
      <c r="H1074" s="53"/>
      <c r="I1074" s="53"/>
      <c r="J1074" s="53"/>
      <c r="K1074" s="53"/>
      <c r="L1074" s="53"/>
    </row>
    <row r="1075" spans="7:12" x14ac:dyDescent="0.2">
      <c r="G1075" s="53"/>
      <c r="H1075" s="53"/>
      <c r="I1075" s="53"/>
      <c r="J1075" s="53"/>
      <c r="K1075" s="53"/>
      <c r="L1075" s="53"/>
    </row>
    <row r="1076" spans="7:12" x14ac:dyDescent="0.2">
      <c r="G1076" s="53"/>
      <c r="H1076" s="53"/>
      <c r="I1076" s="53"/>
      <c r="J1076" s="53"/>
      <c r="K1076" s="53"/>
      <c r="L1076" s="53"/>
    </row>
    <row r="1077" spans="7:12" x14ac:dyDescent="0.2">
      <c r="G1077" s="53"/>
      <c r="H1077" s="53"/>
      <c r="I1077" s="53"/>
      <c r="J1077" s="53"/>
      <c r="K1077" s="53"/>
      <c r="L1077" s="53"/>
    </row>
    <row r="1078" spans="7:12" x14ac:dyDescent="0.2">
      <c r="G1078" s="53"/>
      <c r="H1078" s="53"/>
      <c r="I1078" s="53"/>
      <c r="J1078" s="53"/>
      <c r="K1078" s="53"/>
      <c r="L1078" s="53"/>
    </row>
    <row r="1079" spans="7:12" x14ac:dyDescent="0.2">
      <c r="G1079" s="53"/>
      <c r="H1079" s="53"/>
      <c r="I1079" s="53"/>
      <c r="J1079" s="53"/>
      <c r="K1079" s="53"/>
      <c r="L1079" s="53"/>
    </row>
    <row r="1080" spans="7:12" x14ac:dyDescent="0.2">
      <c r="G1080" s="53"/>
      <c r="H1080" s="53"/>
      <c r="I1080" s="53"/>
      <c r="J1080" s="53"/>
      <c r="K1080" s="53"/>
      <c r="L1080" s="53"/>
    </row>
    <row r="1081" spans="7:12" x14ac:dyDescent="0.2">
      <c r="G1081" s="53"/>
      <c r="H1081" s="53"/>
      <c r="I1081" s="53"/>
      <c r="J1081" s="53"/>
      <c r="K1081" s="53"/>
      <c r="L1081" s="53"/>
    </row>
    <row r="1082" spans="7:12" x14ac:dyDescent="0.2">
      <c r="G1082" s="53"/>
      <c r="H1082" s="53"/>
      <c r="I1082" s="53"/>
      <c r="J1082" s="53"/>
      <c r="K1082" s="53"/>
      <c r="L1082" s="53"/>
    </row>
    <row r="1083" spans="7:12" x14ac:dyDescent="0.2">
      <c r="G1083" s="53"/>
      <c r="H1083" s="53"/>
      <c r="I1083" s="53"/>
      <c r="J1083" s="53"/>
      <c r="K1083" s="53"/>
      <c r="L1083" s="53"/>
    </row>
    <row r="1084" spans="7:12" x14ac:dyDescent="0.2">
      <c r="G1084" s="53"/>
      <c r="H1084" s="53"/>
      <c r="I1084" s="53"/>
      <c r="J1084" s="53"/>
      <c r="K1084" s="53"/>
      <c r="L1084" s="53"/>
    </row>
    <row r="1085" spans="7:12" x14ac:dyDescent="0.2">
      <c r="G1085" s="53"/>
      <c r="H1085" s="53"/>
      <c r="I1085" s="53"/>
      <c r="J1085" s="53"/>
      <c r="K1085" s="53"/>
      <c r="L1085" s="53"/>
    </row>
    <row r="1086" spans="7:12" x14ac:dyDescent="0.2">
      <c r="G1086" s="53"/>
      <c r="H1086" s="53"/>
      <c r="I1086" s="53"/>
      <c r="J1086" s="53"/>
      <c r="K1086" s="53"/>
      <c r="L1086" s="53"/>
    </row>
    <row r="1087" spans="7:12" x14ac:dyDescent="0.2">
      <c r="G1087" s="53"/>
      <c r="H1087" s="53"/>
      <c r="I1087" s="53"/>
      <c r="J1087" s="53"/>
      <c r="K1087" s="53"/>
      <c r="L1087" s="53"/>
    </row>
    <row r="1088" spans="7:12" x14ac:dyDescent="0.2">
      <c r="G1088" s="53"/>
      <c r="H1088" s="53"/>
      <c r="I1088" s="53"/>
      <c r="J1088" s="53"/>
      <c r="K1088" s="53"/>
      <c r="L1088" s="53"/>
    </row>
    <row r="1089" spans="7:12" x14ac:dyDescent="0.2">
      <c r="G1089" s="53"/>
      <c r="H1089" s="53"/>
      <c r="I1089" s="53"/>
      <c r="J1089" s="53"/>
      <c r="K1089" s="53"/>
      <c r="L1089" s="53"/>
    </row>
    <row r="1090" spans="7:12" x14ac:dyDescent="0.2">
      <c r="G1090" s="53"/>
      <c r="H1090" s="53"/>
      <c r="I1090" s="53"/>
      <c r="J1090" s="53"/>
      <c r="K1090" s="53"/>
      <c r="L1090" s="53"/>
    </row>
    <row r="1091" spans="7:12" x14ac:dyDescent="0.2">
      <c r="G1091" s="53"/>
      <c r="H1091" s="53"/>
      <c r="I1091" s="53"/>
      <c r="J1091" s="53"/>
      <c r="K1091" s="53"/>
      <c r="L1091" s="53"/>
    </row>
    <row r="1092" spans="7:12" x14ac:dyDescent="0.2">
      <c r="G1092" s="53"/>
      <c r="H1092" s="53"/>
      <c r="I1092" s="53"/>
      <c r="J1092" s="53"/>
      <c r="K1092" s="53"/>
      <c r="L1092" s="53"/>
    </row>
    <row r="1093" spans="7:12" x14ac:dyDescent="0.2">
      <c r="G1093" s="53"/>
      <c r="H1093" s="53"/>
      <c r="I1093" s="53"/>
      <c r="J1093" s="53"/>
      <c r="K1093" s="53"/>
      <c r="L1093" s="53"/>
    </row>
    <row r="1094" spans="7:12" x14ac:dyDescent="0.2">
      <c r="G1094" s="53"/>
      <c r="H1094" s="53"/>
      <c r="I1094" s="53"/>
      <c r="J1094" s="53"/>
      <c r="K1094" s="53"/>
      <c r="L1094" s="53"/>
    </row>
    <row r="1095" spans="7:12" x14ac:dyDescent="0.2">
      <c r="G1095" s="53"/>
      <c r="H1095" s="53"/>
      <c r="I1095" s="53"/>
      <c r="J1095" s="53"/>
      <c r="K1095" s="53"/>
      <c r="L1095" s="53"/>
    </row>
    <row r="1096" spans="7:12" x14ac:dyDescent="0.2">
      <c r="G1096" s="53"/>
      <c r="H1096" s="53"/>
      <c r="I1096" s="53"/>
      <c r="J1096" s="53"/>
      <c r="K1096" s="53"/>
      <c r="L1096" s="53"/>
    </row>
    <row r="1097" spans="7:12" x14ac:dyDescent="0.2">
      <c r="G1097" s="53"/>
      <c r="H1097" s="53"/>
      <c r="I1097" s="53"/>
      <c r="J1097" s="53"/>
      <c r="K1097" s="53"/>
      <c r="L1097" s="53"/>
    </row>
    <row r="1098" spans="7:12" x14ac:dyDescent="0.2">
      <c r="G1098" s="53"/>
      <c r="H1098" s="53"/>
      <c r="I1098" s="53"/>
      <c r="J1098" s="53"/>
      <c r="K1098" s="53"/>
      <c r="L1098" s="53"/>
    </row>
    <row r="1099" spans="7:12" x14ac:dyDescent="0.2">
      <c r="G1099" s="53"/>
      <c r="H1099" s="53"/>
      <c r="I1099" s="53"/>
      <c r="J1099" s="53"/>
      <c r="K1099" s="53"/>
      <c r="L1099" s="53"/>
    </row>
    <row r="1100" spans="7:12" x14ac:dyDescent="0.2">
      <c r="G1100" s="53"/>
      <c r="H1100" s="53"/>
      <c r="I1100" s="53"/>
      <c r="J1100" s="53"/>
      <c r="K1100" s="53"/>
      <c r="L1100" s="53"/>
    </row>
    <row r="1101" spans="7:12" x14ac:dyDescent="0.2">
      <c r="G1101" s="53"/>
      <c r="H1101" s="53"/>
      <c r="I1101" s="53"/>
      <c r="J1101" s="53"/>
      <c r="K1101" s="53"/>
      <c r="L1101" s="53"/>
    </row>
    <row r="1102" spans="7:12" x14ac:dyDescent="0.2">
      <c r="G1102" s="53"/>
      <c r="H1102" s="53"/>
      <c r="I1102" s="53"/>
      <c r="J1102" s="53"/>
      <c r="K1102" s="53"/>
      <c r="L1102" s="53"/>
    </row>
    <row r="1103" spans="7:12" x14ac:dyDescent="0.2">
      <c r="G1103" s="53"/>
      <c r="H1103" s="53"/>
      <c r="I1103" s="53"/>
      <c r="J1103" s="53"/>
      <c r="K1103" s="53"/>
      <c r="L1103" s="53"/>
    </row>
    <row r="1104" spans="7:12" x14ac:dyDescent="0.2">
      <c r="G1104" s="53"/>
      <c r="H1104" s="53"/>
      <c r="I1104" s="53"/>
      <c r="J1104" s="53"/>
      <c r="K1104" s="53"/>
      <c r="L1104" s="53"/>
    </row>
    <row r="1105" spans="7:12" x14ac:dyDescent="0.2">
      <c r="G1105" s="53"/>
      <c r="H1105" s="53"/>
      <c r="I1105" s="53"/>
      <c r="J1105" s="53"/>
      <c r="K1105" s="53"/>
      <c r="L1105" s="53"/>
    </row>
    <row r="1106" spans="7:12" x14ac:dyDescent="0.2">
      <c r="G1106" s="53"/>
      <c r="H1106" s="53"/>
      <c r="I1106" s="53"/>
      <c r="J1106" s="53"/>
      <c r="K1106" s="53"/>
      <c r="L1106" s="53"/>
    </row>
    <row r="1107" spans="7:12" x14ac:dyDescent="0.2">
      <c r="G1107" s="53"/>
      <c r="H1107" s="53"/>
      <c r="I1107" s="53"/>
      <c r="J1107" s="53"/>
      <c r="K1107" s="53"/>
      <c r="L1107" s="53"/>
    </row>
    <row r="1108" spans="7:12" x14ac:dyDescent="0.2">
      <c r="G1108" s="53"/>
      <c r="H1108" s="53"/>
      <c r="I1108" s="53"/>
      <c r="J1108" s="53"/>
      <c r="K1108" s="53"/>
      <c r="L1108" s="53"/>
    </row>
    <row r="1109" spans="7:12" x14ac:dyDescent="0.2">
      <c r="G1109" s="53"/>
      <c r="H1109" s="53"/>
      <c r="I1109" s="53"/>
      <c r="J1109" s="53"/>
      <c r="K1109" s="53"/>
      <c r="L1109" s="53"/>
    </row>
    <row r="1110" spans="7:12" x14ac:dyDescent="0.2">
      <c r="G1110" s="53"/>
      <c r="H1110" s="53"/>
      <c r="I1110" s="53"/>
      <c r="J1110" s="53"/>
      <c r="K1110" s="53"/>
      <c r="L1110" s="53"/>
    </row>
    <row r="1111" spans="7:12" x14ac:dyDescent="0.2">
      <c r="G1111" s="53"/>
      <c r="H1111" s="53"/>
      <c r="I1111" s="53"/>
      <c r="J1111" s="53"/>
      <c r="K1111" s="53"/>
      <c r="L1111" s="53"/>
    </row>
    <row r="1112" spans="7:12" x14ac:dyDescent="0.2">
      <c r="G1112" s="53"/>
      <c r="H1112" s="53"/>
      <c r="I1112" s="53"/>
      <c r="J1112" s="53"/>
      <c r="K1112" s="53"/>
      <c r="L1112" s="53"/>
    </row>
    <row r="1113" spans="7:12" x14ac:dyDescent="0.2">
      <c r="G1113" s="53"/>
      <c r="H1113" s="53"/>
      <c r="I1113" s="53"/>
      <c r="J1113" s="53"/>
      <c r="K1113" s="53"/>
      <c r="L1113" s="53"/>
    </row>
    <row r="1114" spans="7:12" x14ac:dyDescent="0.2">
      <c r="G1114" s="53"/>
      <c r="H1114" s="53"/>
      <c r="I1114" s="53"/>
      <c r="J1114" s="53"/>
      <c r="K1114" s="53"/>
      <c r="L1114" s="53"/>
    </row>
    <row r="1115" spans="7:12" x14ac:dyDescent="0.2">
      <c r="G1115" s="53"/>
      <c r="H1115" s="53"/>
      <c r="I1115" s="53"/>
      <c r="J1115" s="53"/>
      <c r="K1115" s="53"/>
      <c r="L1115" s="53"/>
    </row>
    <row r="1116" spans="7:12" x14ac:dyDescent="0.2">
      <c r="G1116" s="53"/>
      <c r="H1116" s="53"/>
      <c r="I1116" s="53"/>
      <c r="J1116" s="53"/>
      <c r="K1116" s="53"/>
      <c r="L1116" s="53"/>
    </row>
    <row r="1117" spans="7:12" x14ac:dyDescent="0.2">
      <c r="G1117" s="53"/>
      <c r="H1117" s="53"/>
      <c r="I1117" s="53"/>
      <c r="J1117" s="53"/>
      <c r="K1117" s="53"/>
      <c r="L1117" s="53"/>
    </row>
    <row r="1118" spans="7:12" x14ac:dyDescent="0.2">
      <c r="G1118" s="53"/>
      <c r="H1118" s="53"/>
      <c r="I1118" s="53"/>
      <c r="J1118" s="53"/>
      <c r="K1118" s="53"/>
      <c r="L1118" s="53"/>
    </row>
    <row r="1119" spans="7:12" x14ac:dyDescent="0.2">
      <c r="G1119" s="53"/>
      <c r="H1119" s="53"/>
      <c r="I1119" s="53"/>
      <c r="J1119" s="53"/>
      <c r="K1119" s="53"/>
      <c r="L1119" s="53"/>
    </row>
    <row r="1120" spans="7:12" x14ac:dyDescent="0.2">
      <c r="G1120" s="53"/>
      <c r="H1120" s="53"/>
      <c r="I1120" s="53"/>
      <c r="J1120" s="53"/>
      <c r="K1120" s="53"/>
      <c r="L1120" s="53"/>
    </row>
    <row r="1121" spans="7:12" x14ac:dyDescent="0.2">
      <c r="G1121" s="53"/>
      <c r="H1121" s="53"/>
      <c r="I1121" s="53"/>
      <c r="J1121" s="53"/>
      <c r="K1121" s="53"/>
      <c r="L1121" s="53"/>
    </row>
    <row r="1122" spans="7:12" x14ac:dyDescent="0.2">
      <c r="G1122" s="53"/>
      <c r="H1122" s="53"/>
      <c r="I1122" s="53"/>
      <c r="J1122" s="53"/>
      <c r="K1122" s="53"/>
      <c r="L1122" s="53"/>
    </row>
    <row r="1123" spans="7:12" x14ac:dyDescent="0.2">
      <c r="G1123" s="53"/>
      <c r="H1123" s="53"/>
      <c r="I1123" s="53"/>
      <c r="J1123" s="53"/>
      <c r="K1123" s="53"/>
      <c r="L1123" s="53"/>
    </row>
    <row r="1124" spans="7:12" x14ac:dyDescent="0.2">
      <c r="G1124" s="53"/>
      <c r="H1124" s="53"/>
      <c r="I1124" s="53"/>
      <c r="J1124" s="53"/>
      <c r="K1124" s="53"/>
      <c r="L1124" s="53"/>
    </row>
    <row r="1125" spans="7:12" x14ac:dyDescent="0.2">
      <c r="G1125" s="53"/>
      <c r="H1125" s="53"/>
      <c r="I1125" s="53"/>
      <c r="J1125" s="53"/>
      <c r="K1125" s="53"/>
      <c r="L1125" s="53"/>
    </row>
    <row r="1126" spans="7:12" x14ac:dyDescent="0.2">
      <c r="G1126" s="53"/>
      <c r="H1126" s="53"/>
      <c r="I1126" s="53"/>
      <c r="J1126" s="53"/>
      <c r="K1126" s="53"/>
      <c r="L1126" s="53"/>
    </row>
    <row r="1127" spans="7:12" x14ac:dyDescent="0.2">
      <c r="G1127" s="53"/>
      <c r="H1127" s="53"/>
      <c r="I1127" s="53"/>
      <c r="J1127" s="53"/>
      <c r="K1127" s="53"/>
      <c r="L1127" s="53"/>
    </row>
    <row r="1128" spans="7:12" x14ac:dyDescent="0.2">
      <c r="G1128" s="53"/>
      <c r="H1128" s="53"/>
      <c r="I1128" s="53"/>
      <c r="J1128" s="53"/>
      <c r="K1128" s="53"/>
      <c r="L1128" s="53"/>
    </row>
    <row r="1129" spans="7:12" x14ac:dyDescent="0.2">
      <c r="G1129" s="53"/>
      <c r="H1129" s="53"/>
      <c r="I1129" s="53"/>
      <c r="J1129" s="53"/>
      <c r="K1129" s="53"/>
      <c r="L1129" s="53"/>
    </row>
    <row r="1130" spans="7:12" x14ac:dyDescent="0.2">
      <c r="G1130" s="53"/>
      <c r="H1130" s="53"/>
      <c r="I1130" s="53"/>
      <c r="J1130" s="53"/>
      <c r="K1130" s="53"/>
      <c r="L1130" s="53"/>
    </row>
    <row r="1131" spans="7:12" x14ac:dyDescent="0.2">
      <c r="G1131" s="53"/>
      <c r="H1131" s="53"/>
      <c r="I1131" s="53"/>
      <c r="J1131" s="53"/>
      <c r="K1131" s="53"/>
      <c r="L1131" s="53"/>
    </row>
    <row r="1132" spans="7:12" x14ac:dyDescent="0.2">
      <c r="G1132" s="53"/>
      <c r="H1132" s="53"/>
      <c r="I1132" s="53"/>
      <c r="J1132" s="53"/>
      <c r="K1132" s="53"/>
      <c r="L1132" s="53"/>
    </row>
    <row r="1133" spans="7:12" x14ac:dyDescent="0.2">
      <c r="G1133" s="53"/>
      <c r="H1133" s="53"/>
      <c r="I1133" s="53"/>
      <c r="J1133" s="53"/>
      <c r="K1133" s="53"/>
      <c r="L1133" s="53"/>
    </row>
    <row r="1134" spans="7:12" x14ac:dyDescent="0.2">
      <c r="G1134" s="53"/>
      <c r="H1134" s="53"/>
      <c r="I1134" s="53"/>
      <c r="J1134" s="53"/>
      <c r="K1134" s="53"/>
      <c r="L1134" s="53"/>
    </row>
    <row r="1135" spans="7:12" x14ac:dyDescent="0.2">
      <c r="G1135" s="53"/>
      <c r="H1135" s="53"/>
      <c r="I1135" s="53"/>
      <c r="J1135" s="53"/>
      <c r="K1135" s="53"/>
      <c r="L1135" s="53"/>
    </row>
    <row r="1136" spans="7:12" x14ac:dyDescent="0.2">
      <c r="G1136" s="53"/>
      <c r="H1136" s="53"/>
      <c r="I1136" s="53"/>
      <c r="J1136" s="53"/>
      <c r="K1136" s="53"/>
      <c r="L1136" s="53"/>
    </row>
    <row r="1137" spans="7:12" x14ac:dyDescent="0.2">
      <c r="G1137" s="53"/>
      <c r="H1137" s="53"/>
      <c r="I1137" s="53"/>
      <c r="J1137" s="53"/>
      <c r="K1137" s="53"/>
      <c r="L1137" s="53"/>
    </row>
    <row r="1138" spans="7:12" x14ac:dyDescent="0.2">
      <c r="G1138" s="53"/>
      <c r="H1138" s="53"/>
      <c r="I1138" s="53"/>
      <c r="J1138" s="53"/>
      <c r="K1138" s="53"/>
      <c r="L1138" s="53"/>
    </row>
    <row r="1139" spans="7:12" x14ac:dyDescent="0.2">
      <c r="G1139" s="53"/>
      <c r="H1139" s="53"/>
      <c r="I1139" s="53"/>
      <c r="J1139" s="53"/>
      <c r="K1139" s="53"/>
      <c r="L1139" s="53"/>
    </row>
    <row r="1140" spans="7:12" x14ac:dyDescent="0.2">
      <c r="G1140" s="53"/>
      <c r="H1140" s="53"/>
      <c r="I1140" s="53"/>
      <c r="J1140" s="53"/>
      <c r="K1140" s="53"/>
      <c r="L1140" s="53"/>
    </row>
    <row r="1141" spans="7:12" x14ac:dyDescent="0.2">
      <c r="G1141" s="53"/>
      <c r="H1141" s="53"/>
      <c r="I1141" s="53"/>
      <c r="J1141" s="53"/>
      <c r="K1141" s="53"/>
      <c r="L1141" s="53"/>
    </row>
    <row r="1142" spans="7:12" x14ac:dyDescent="0.2">
      <c r="G1142" s="53"/>
      <c r="H1142" s="53"/>
      <c r="I1142" s="53"/>
      <c r="J1142" s="53"/>
      <c r="K1142" s="53"/>
      <c r="L1142" s="53"/>
    </row>
    <row r="1143" spans="7:12" x14ac:dyDescent="0.2">
      <c r="G1143" s="53"/>
      <c r="H1143" s="53"/>
      <c r="I1143" s="53"/>
      <c r="J1143" s="53"/>
      <c r="K1143" s="53"/>
      <c r="L1143" s="53"/>
    </row>
    <row r="1144" spans="7:12" x14ac:dyDescent="0.2">
      <c r="G1144" s="53"/>
      <c r="H1144" s="53"/>
      <c r="I1144" s="53"/>
      <c r="J1144" s="53"/>
      <c r="K1144" s="53"/>
      <c r="L1144" s="53"/>
    </row>
    <row r="1145" spans="7:12" x14ac:dyDescent="0.2">
      <c r="G1145" s="53"/>
      <c r="H1145" s="53"/>
      <c r="I1145" s="53"/>
      <c r="J1145" s="53"/>
      <c r="K1145" s="53"/>
      <c r="L1145" s="53"/>
    </row>
    <row r="1146" spans="7:12" x14ac:dyDescent="0.2">
      <c r="G1146" s="53"/>
      <c r="H1146" s="53"/>
      <c r="I1146" s="53"/>
      <c r="J1146" s="53"/>
      <c r="K1146" s="53"/>
      <c r="L1146" s="53"/>
    </row>
    <row r="1147" spans="7:12" x14ac:dyDescent="0.2">
      <c r="G1147" s="53"/>
      <c r="H1147" s="53"/>
      <c r="I1147" s="53"/>
      <c r="J1147" s="53"/>
      <c r="K1147" s="53"/>
      <c r="L1147" s="53"/>
    </row>
    <row r="1148" spans="7:12" x14ac:dyDescent="0.2">
      <c r="G1148" s="53"/>
      <c r="H1148" s="53"/>
      <c r="I1148" s="53"/>
      <c r="J1148" s="53"/>
      <c r="K1148" s="53"/>
      <c r="L1148" s="53"/>
    </row>
    <row r="1149" spans="7:12" x14ac:dyDescent="0.2">
      <c r="G1149" s="53"/>
      <c r="H1149" s="53"/>
      <c r="I1149" s="53"/>
      <c r="J1149" s="53"/>
      <c r="K1149" s="53"/>
      <c r="L1149" s="53"/>
    </row>
    <row r="1150" spans="7:12" x14ac:dyDescent="0.2">
      <c r="G1150" s="53"/>
      <c r="H1150" s="53"/>
      <c r="I1150" s="53"/>
      <c r="J1150" s="53"/>
      <c r="K1150" s="53"/>
      <c r="L1150" s="53"/>
    </row>
    <row r="1151" spans="7:12" x14ac:dyDescent="0.2">
      <c r="G1151" s="53"/>
      <c r="H1151" s="53"/>
      <c r="I1151" s="53"/>
      <c r="J1151" s="53"/>
      <c r="K1151" s="53"/>
      <c r="L1151" s="53"/>
    </row>
    <row r="1152" spans="7:12" x14ac:dyDescent="0.2">
      <c r="G1152" s="53"/>
      <c r="H1152" s="53"/>
      <c r="I1152" s="53"/>
      <c r="J1152" s="53"/>
      <c r="K1152" s="53"/>
      <c r="L1152" s="53"/>
    </row>
    <row r="1153" spans="7:12" x14ac:dyDescent="0.2">
      <c r="G1153" s="53"/>
      <c r="H1153" s="53"/>
      <c r="I1153" s="53"/>
      <c r="J1153" s="53"/>
      <c r="K1153" s="53"/>
      <c r="L1153" s="53"/>
    </row>
    <row r="1154" spans="7:12" x14ac:dyDescent="0.2">
      <c r="G1154" s="53"/>
      <c r="H1154" s="53"/>
      <c r="I1154" s="53"/>
      <c r="J1154" s="53"/>
      <c r="K1154" s="53"/>
      <c r="L1154" s="53"/>
    </row>
    <row r="1155" spans="7:12" x14ac:dyDescent="0.2">
      <c r="G1155" s="53"/>
      <c r="H1155" s="53"/>
      <c r="I1155" s="53"/>
      <c r="J1155" s="53"/>
      <c r="K1155" s="53"/>
      <c r="L1155" s="53"/>
    </row>
    <row r="1156" spans="7:12" x14ac:dyDescent="0.2">
      <c r="G1156" s="53"/>
      <c r="H1156" s="53"/>
      <c r="I1156" s="53"/>
      <c r="J1156" s="53"/>
      <c r="K1156" s="53"/>
      <c r="L1156" s="53"/>
    </row>
    <row r="1157" spans="7:12" x14ac:dyDescent="0.2">
      <c r="G1157" s="53"/>
      <c r="H1157" s="53"/>
      <c r="I1157" s="53"/>
      <c r="J1157" s="53"/>
      <c r="K1157" s="53"/>
      <c r="L1157" s="53"/>
    </row>
    <row r="1158" spans="7:12" x14ac:dyDescent="0.2">
      <c r="G1158" s="53"/>
      <c r="H1158" s="53"/>
      <c r="I1158" s="53"/>
      <c r="J1158" s="53"/>
      <c r="K1158" s="53"/>
      <c r="L1158" s="53"/>
    </row>
    <row r="1159" spans="7:12" x14ac:dyDescent="0.2">
      <c r="G1159" s="53"/>
      <c r="H1159" s="53"/>
      <c r="I1159" s="53"/>
      <c r="J1159" s="53"/>
      <c r="K1159" s="53"/>
      <c r="L1159" s="53"/>
    </row>
    <row r="1160" spans="7:12" x14ac:dyDescent="0.2">
      <c r="G1160" s="53"/>
      <c r="H1160" s="53"/>
      <c r="I1160" s="53"/>
      <c r="J1160" s="53"/>
      <c r="K1160" s="53"/>
      <c r="L1160" s="53"/>
    </row>
    <row r="1161" spans="7:12" x14ac:dyDescent="0.2">
      <c r="G1161" s="53"/>
      <c r="H1161" s="53"/>
      <c r="I1161" s="53"/>
      <c r="J1161" s="53"/>
      <c r="K1161" s="53"/>
      <c r="L1161" s="53"/>
    </row>
    <row r="1162" spans="7:12" x14ac:dyDescent="0.2">
      <c r="G1162" s="53"/>
      <c r="H1162" s="53"/>
      <c r="I1162" s="53"/>
      <c r="J1162" s="53"/>
      <c r="K1162" s="53"/>
      <c r="L1162" s="53"/>
    </row>
    <row r="1163" spans="7:12" x14ac:dyDescent="0.2">
      <c r="G1163" s="53"/>
      <c r="H1163" s="53"/>
      <c r="I1163" s="53"/>
      <c r="J1163" s="53"/>
      <c r="K1163" s="53"/>
      <c r="L1163" s="53"/>
    </row>
    <row r="1164" spans="7:12" x14ac:dyDescent="0.2">
      <c r="G1164" s="53"/>
      <c r="H1164" s="53"/>
      <c r="I1164" s="53"/>
      <c r="J1164" s="53"/>
      <c r="K1164" s="53"/>
      <c r="L1164" s="53"/>
    </row>
    <row r="1165" spans="7:12" x14ac:dyDescent="0.2">
      <c r="G1165" s="53"/>
      <c r="H1165" s="53"/>
      <c r="I1165" s="53"/>
      <c r="J1165" s="53"/>
      <c r="K1165" s="53"/>
      <c r="L1165" s="53"/>
    </row>
    <row r="1166" spans="7:12" x14ac:dyDescent="0.2">
      <c r="G1166" s="53"/>
      <c r="H1166" s="53"/>
      <c r="I1166" s="53"/>
      <c r="J1166" s="53"/>
      <c r="K1166" s="53"/>
      <c r="L1166" s="53"/>
    </row>
    <row r="1167" spans="7:12" x14ac:dyDescent="0.2">
      <c r="G1167" s="53"/>
      <c r="H1167" s="53"/>
      <c r="I1167" s="53"/>
      <c r="J1167" s="53"/>
      <c r="K1167" s="53"/>
      <c r="L1167" s="53"/>
    </row>
    <row r="1168" spans="7:12" x14ac:dyDescent="0.2">
      <c r="G1168" s="53"/>
      <c r="H1168" s="53"/>
      <c r="I1168" s="53"/>
      <c r="J1168" s="53"/>
      <c r="K1168" s="53"/>
      <c r="L1168" s="53"/>
    </row>
    <row r="1169" spans="7:12" x14ac:dyDescent="0.2">
      <c r="G1169" s="53"/>
      <c r="H1169" s="53"/>
      <c r="I1169" s="53"/>
      <c r="J1169" s="53"/>
      <c r="K1169" s="53"/>
      <c r="L1169" s="53"/>
    </row>
    <row r="1170" spans="7:12" x14ac:dyDescent="0.2">
      <c r="G1170" s="53"/>
      <c r="H1170" s="53"/>
      <c r="I1170" s="53"/>
      <c r="J1170" s="53"/>
      <c r="K1170" s="53"/>
      <c r="L1170" s="53"/>
    </row>
    <row r="1171" spans="7:12" x14ac:dyDescent="0.2">
      <c r="G1171" s="53"/>
      <c r="H1171" s="53"/>
      <c r="I1171" s="53"/>
      <c r="J1171" s="53"/>
      <c r="K1171" s="53"/>
      <c r="L1171" s="53"/>
    </row>
    <row r="1172" spans="7:12" x14ac:dyDescent="0.2">
      <c r="G1172" s="53"/>
      <c r="H1172" s="53"/>
      <c r="I1172" s="53"/>
      <c r="J1172" s="53"/>
      <c r="K1172" s="53"/>
      <c r="L1172" s="53"/>
    </row>
    <row r="1173" spans="7:12" x14ac:dyDescent="0.2">
      <c r="G1173" s="53"/>
      <c r="H1173" s="53"/>
      <c r="I1173" s="53"/>
      <c r="J1173" s="53"/>
      <c r="K1173" s="53"/>
      <c r="L1173" s="53"/>
    </row>
    <row r="1174" spans="7:12" x14ac:dyDescent="0.2">
      <c r="G1174" s="53"/>
      <c r="H1174" s="53"/>
      <c r="I1174" s="53"/>
      <c r="J1174" s="53"/>
      <c r="K1174" s="53"/>
      <c r="L1174" s="53"/>
    </row>
    <row r="1175" spans="7:12" x14ac:dyDescent="0.2">
      <c r="G1175" s="53"/>
      <c r="H1175" s="53"/>
      <c r="I1175" s="53"/>
      <c r="J1175" s="53"/>
      <c r="K1175" s="53"/>
      <c r="L1175" s="53"/>
    </row>
    <row r="1176" spans="7:12" x14ac:dyDescent="0.2">
      <c r="G1176" s="53"/>
      <c r="H1176" s="53"/>
      <c r="I1176" s="53"/>
      <c r="J1176" s="53"/>
      <c r="K1176" s="53"/>
      <c r="L1176" s="53"/>
    </row>
    <row r="1177" spans="7:12" x14ac:dyDescent="0.2">
      <c r="G1177" s="53"/>
      <c r="H1177" s="53"/>
      <c r="I1177" s="53"/>
      <c r="J1177" s="53"/>
      <c r="K1177" s="53"/>
      <c r="L1177" s="53"/>
    </row>
    <row r="1178" spans="7:12" x14ac:dyDescent="0.2">
      <c r="G1178" s="53"/>
      <c r="H1178" s="53"/>
      <c r="I1178" s="53"/>
      <c r="J1178" s="53"/>
      <c r="K1178" s="53"/>
      <c r="L1178" s="53"/>
    </row>
    <row r="1179" spans="7:12" x14ac:dyDescent="0.2">
      <c r="G1179" s="53"/>
      <c r="H1179" s="53"/>
      <c r="I1179" s="53"/>
      <c r="J1179" s="53"/>
      <c r="K1179" s="53"/>
      <c r="L1179" s="53"/>
    </row>
    <row r="1180" spans="7:12" x14ac:dyDescent="0.2">
      <c r="G1180" s="53"/>
      <c r="H1180" s="53"/>
      <c r="I1180" s="53"/>
      <c r="J1180" s="53"/>
      <c r="K1180" s="53"/>
      <c r="L1180" s="53"/>
    </row>
    <row r="1181" spans="7:12" x14ac:dyDescent="0.2">
      <c r="G1181" s="53"/>
      <c r="H1181" s="53"/>
      <c r="I1181" s="53"/>
      <c r="J1181" s="53"/>
      <c r="K1181" s="53"/>
      <c r="L1181" s="53"/>
    </row>
    <row r="1182" spans="7:12" x14ac:dyDescent="0.2">
      <c r="G1182" s="53"/>
      <c r="H1182" s="53"/>
      <c r="I1182" s="53"/>
      <c r="J1182" s="53"/>
      <c r="K1182" s="53"/>
      <c r="L1182" s="53"/>
    </row>
    <row r="1183" spans="7:12" x14ac:dyDescent="0.2">
      <c r="G1183" s="53"/>
      <c r="H1183" s="53"/>
      <c r="I1183" s="53"/>
      <c r="J1183" s="53"/>
      <c r="K1183" s="53"/>
      <c r="L1183" s="53"/>
    </row>
    <row r="1184" spans="7:12" x14ac:dyDescent="0.2">
      <c r="G1184" s="53"/>
      <c r="H1184" s="53"/>
      <c r="I1184" s="53"/>
      <c r="J1184" s="53"/>
      <c r="K1184" s="53"/>
      <c r="L1184" s="53"/>
    </row>
    <row r="1185" spans="7:12" x14ac:dyDescent="0.2">
      <c r="G1185" s="53"/>
      <c r="H1185" s="53"/>
      <c r="I1185" s="53"/>
      <c r="J1185" s="53"/>
      <c r="K1185" s="53"/>
      <c r="L1185" s="53"/>
    </row>
    <row r="1186" spans="7:12" x14ac:dyDescent="0.2">
      <c r="G1186" s="53"/>
      <c r="H1186" s="53"/>
      <c r="I1186" s="53"/>
      <c r="J1186" s="53"/>
      <c r="K1186" s="53"/>
      <c r="L1186" s="53"/>
    </row>
    <row r="1187" spans="7:12" x14ac:dyDescent="0.2">
      <c r="G1187" s="53"/>
      <c r="H1187" s="53"/>
      <c r="I1187" s="53"/>
      <c r="J1187" s="53"/>
      <c r="K1187" s="53"/>
      <c r="L1187" s="53"/>
    </row>
    <row r="1188" spans="7:12" x14ac:dyDescent="0.2">
      <c r="G1188" s="53"/>
      <c r="H1188" s="53"/>
      <c r="I1188" s="53"/>
      <c r="J1188" s="53"/>
      <c r="K1188" s="53"/>
      <c r="L1188" s="53"/>
    </row>
    <row r="1189" spans="7:12" x14ac:dyDescent="0.2">
      <c r="G1189" s="53"/>
      <c r="H1189" s="53"/>
      <c r="I1189" s="53"/>
      <c r="J1189" s="53"/>
      <c r="K1189" s="53"/>
      <c r="L1189" s="53"/>
    </row>
    <row r="1190" spans="7:12" x14ac:dyDescent="0.2">
      <c r="G1190" s="53"/>
      <c r="H1190" s="53"/>
      <c r="I1190" s="53"/>
      <c r="J1190" s="53"/>
      <c r="K1190" s="53"/>
      <c r="L1190" s="53"/>
    </row>
    <row r="1191" spans="7:12" x14ac:dyDescent="0.2">
      <c r="G1191" s="53"/>
      <c r="H1191" s="53"/>
      <c r="I1191" s="53"/>
      <c r="J1191" s="53"/>
      <c r="K1191" s="53"/>
      <c r="L1191" s="53"/>
    </row>
    <row r="1192" spans="7:12" x14ac:dyDescent="0.2">
      <c r="G1192" s="53"/>
      <c r="H1192" s="53"/>
      <c r="I1192" s="53"/>
      <c r="J1192" s="53"/>
      <c r="K1192" s="53"/>
      <c r="L1192" s="53"/>
    </row>
    <row r="1193" spans="7:12" x14ac:dyDescent="0.2">
      <c r="G1193" s="53"/>
      <c r="H1193" s="53"/>
      <c r="I1193" s="53"/>
      <c r="J1193" s="53"/>
      <c r="K1193" s="53"/>
      <c r="L1193" s="53"/>
    </row>
    <row r="1194" spans="7:12" x14ac:dyDescent="0.2">
      <c r="G1194" s="53"/>
      <c r="H1194" s="53"/>
      <c r="I1194" s="53"/>
      <c r="J1194" s="53"/>
      <c r="K1194" s="53"/>
      <c r="L1194" s="53"/>
    </row>
    <row r="1195" spans="7:12" x14ac:dyDescent="0.2">
      <c r="G1195" s="53"/>
      <c r="H1195" s="53"/>
      <c r="I1195" s="53"/>
      <c r="J1195" s="53"/>
      <c r="K1195" s="53"/>
      <c r="L1195" s="53"/>
    </row>
    <row r="1196" spans="7:12" x14ac:dyDescent="0.2">
      <c r="G1196" s="53"/>
      <c r="H1196" s="53"/>
      <c r="I1196" s="53"/>
      <c r="J1196" s="53"/>
      <c r="K1196" s="53"/>
      <c r="L1196" s="53"/>
    </row>
    <row r="1197" spans="7:12" x14ac:dyDescent="0.2">
      <c r="G1197" s="53"/>
      <c r="H1197" s="53"/>
      <c r="I1197" s="53"/>
      <c r="J1197" s="53"/>
      <c r="K1197" s="53"/>
      <c r="L1197" s="53"/>
    </row>
    <row r="1198" spans="7:12" x14ac:dyDescent="0.2">
      <c r="G1198" s="53"/>
      <c r="H1198" s="53"/>
      <c r="I1198" s="53"/>
      <c r="J1198" s="53"/>
      <c r="K1198" s="53"/>
      <c r="L1198" s="53"/>
    </row>
    <row r="1199" spans="7:12" x14ac:dyDescent="0.2">
      <c r="G1199" s="53"/>
      <c r="H1199" s="53"/>
      <c r="I1199" s="53"/>
      <c r="J1199" s="53"/>
      <c r="K1199" s="53"/>
      <c r="L1199" s="53"/>
    </row>
    <row r="1200" spans="7:12" x14ac:dyDescent="0.2">
      <c r="G1200" s="53"/>
      <c r="H1200" s="53"/>
      <c r="I1200" s="53"/>
      <c r="J1200" s="53"/>
      <c r="K1200" s="53"/>
      <c r="L1200" s="53"/>
    </row>
    <row r="1201" spans="7:12" x14ac:dyDescent="0.2">
      <c r="G1201" s="53"/>
      <c r="H1201" s="53"/>
      <c r="I1201" s="53"/>
      <c r="J1201" s="53"/>
      <c r="K1201" s="53"/>
      <c r="L1201" s="53"/>
    </row>
    <row r="1202" spans="7:12" x14ac:dyDescent="0.2">
      <c r="G1202" s="53"/>
      <c r="H1202" s="53"/>
      <c r="I1202" s="53"/>
      <c r="J1202" s="53"/>
      <c r="K1202" s="53"/>
      <c r="L1202" s="53"/>
    </row>
    <row r="1203" spans="7:12" x14ac:dyDescent="0.2">
      <c r="G1203" s="53"/>
      <c r="H1203" s="53"/>
      <c r="I1203" s="53"/>
      <c r="J1203" s="53"/>
      <c r="K1203" s="53"/>
      <c r="L1203" s="53"/>
    </row>
    <row r="1204" spans="7:12" x14ac:dyDescent="0.2">
      <c r="G1204" s="53"/>
      <c r="H1204" s="53"/>
      <c r="I1204" s="53"/>
      <c r="J1204" s="53"/>
      <c r="K1204" s="53"/>
      <c r="L1204" s="53"/>
    </row>
    <row r="1205" spans="7:12" x14ac:dyDescent="0.2">
      <c r="G1205" s="53"/>
      <c r="H1205" s="53"/>
      <c r="I1205" s="53"/>
      <c r="J1205" s="53"/>
      <c r="K1205" s="53"/>
      <c r="L1205" s="53"/>
    </row>
    <row r="1206" spans="7:12" x14ac:dyDescent="0.2">
      <c r="G1206" s="53"/>
      <c r="H1206" s="53"/>
      <c r="I1206" s="53"/>
      <c r="J1206" s="53"/>
      <c r="K1206" s="53"/>
      <c r="L1206" s="53"/>
    </row>
    <row r="1207" spans="7:12" x14ac:dyDescent="0.2">
      <c r="G1207" s="53"/>
      <c r="H1207" s="53"/>
      <c r="I1207" s="53"/>
      <c r="J1207" s="53"/>
      <c r="K1207" s="53"/>
      <c r="L1207" s="53"/>
    </row>
    <row r="1208" spans="7:12" x14ac:dyDescent="0.2">
      <c r="G1208" s="53"/>
      <c r="H1208" s="53"/>
      <c r="I1208" s="53"/>
      <c r="J1208" s="53"/>
      <c r="K1208" s="53"/>
      <c r="L1208" s="53"/>
    </row>
    <row r="1209" spans="7:12" x14ac:dyDescent="0.2">
      <c r="G1209" s="53"/>
      <c r="H1209" s="53"/>
      <c r="I1209" s="53"/>
      <c r="J1209" s="53"/>
      <c r="K1209" s="53"/>
      <c r="L1209" s="53"/>
    </row>
    <row r="1210" spans="7:12" x14ac:dyDescent="0.2">
      <c r="G1210" s="53"/>
      <c r="H1210" s="53"/>
      <c r="I1210" s="53"/>
      <c r="J1210" s="53"/>
      <c r="K1210" s="53"/>
      <c r="L1210" s="53"/>
    </row>
    <row r="1211" spans="7:12" x14ac:dyDescent="0.2">
      <c r="G1211" s="53"/>
      <c r="H1211" s="53"/>
      <c r="I1211" s="53"/>
      <c r="J1211" s="53"/>
      <c r="K1211" s="53"/>
      <c r="L1211" s="53"/>
    </row>
    <row r="1212" spans="7:12" x14ac:dyDescent="0.2">
      <c r="G1212" s="53"/>
      <c r="H1212" s="53"/>
      <c r="I1212" s="53"/>
      <c r="J1212" s="53"/>
      <c r="K1212" s="53"/>
      <c r="L1212" s="53"/>
    </row>
    <row r="1213" spans="7:12" x14ac:dyDescent="0.2">
      <c r="G1213" s="53"/>
      <c r="H1213" s="53"/>
      <c r="I1213" s="53"/>
      <c r="J1213" s="53"/>
      <c r="K1213" s="53"/>
      <c r="L1213" s="53"/>
    </row>
    <row r="1214" spans="7:12" x14ac:dyDescent="0.2">
      <c r="G1214" s="53"/>
      <c r="H1214" s="53"/>
      <c r="I1214" s="53"/>
      <c r="J1214" s="53"/>
      <c r="K1214" s="53"/>
      <c r="L1214" s="53"/>
    </row>
    <row r="1215" spans="7:12" x14ac:dyDescent="0.2">
      <c r="G1215" s="53"/>
      <c r="H1215" s="53"/>
      <c r="I1215" s="53"/>
      <c r="J1215" s="53"/>
      <c r="K1215" s="53"/>
      <c r="L1215" s="53"/>
    </row>
    <row r="1216" spans="7:12" x14ac:dyDescent="0.2">
      <c r="G1216" s="53"/>
      <c r="H1216" s="53"/>
      <c r="I1216" s="53"/>
      <c r="J1216" s="53"/>
      <c r="K1216" s="53"/>
      <c r="L1216" s="53"/>
    </row>
    <row r="1217" spans="7:12" x14ac:dyDescent="0.2">
      <c r="G1217" s="53"/>
      <c r="H1217" s="53"/>
      <c r="I1217" s="53"/>
      <c r="J1217" s="53"/>
      <c r="K1217" s="53"/>
      <c r="L1217" s="53"/>
    </row>
    <row r="1218" spans="7:12" x14ac:dyDescent="0.2">
      <c r="G1218" s="53"/>
      <c r="H1218" s="53"/>
      <c r="I1218" s="53"/>
      <c r="J1218" s="53"/>
      <c r="K1218" s="53"/>
      <c r="L1218" s="53"/>
    </row>
    <row r="1219" spans="7:12" x14ac:dyDescent="0.2">
      <c r="G1219" s="53"/>
      <c r="H1219" s="53"/>
      <c r="I1219" s="53"/>
      <c r="J1219" s="53"/>
      <c r="K1219" s="53"/>
      <c r="L1219" s="53"/>
    </row>
    <row r="1220" spans="7:12" x14ac:dyDescent="0.2">
      <c r="G1220" s="53"/>
      <c r="H1220" s="53"/>
      <c r="I1220" s="53"/>
      <c r="J1220" s="53"/>
      <c r="K1220" s="53"/>
      <c r="L1220" s="53"/>
    </row>
    <row r="1221" spans="7:12" x14ac:dyDescent="0.2">
      <c r="G1221" s="53"/>
      <c r="H1221" s="53"/>
      <c r="I1221" s="53"/>
      <c r="J1221" s="53"/>
      <c r="K1221" s="53"/>
      <c r="L1221" s="53"/>
    </row>
    <row r="1222" spans="7:12" x14ac:dyDescent="0.2">
      <c r="G1222" s="53"/>
      <c r="H1222" s="53"/>
      <c r="I1222" s="53"/>
      <c r="J1222" s="53"/>
      <c r="K1222" s="53"/>
      <c r="L1222" s="53"/>
    </row>
    <row r="1223" spans="7:12" x14ac:dyDescent="0.2">
      <c r="G1223" s="53"/>
      <c r="H1223" s="53"/>
      <c r="I1223" s="53"/>
      <c r="J1223" s="53"/>
      <c r="K1223" s="53"/>
      <c r="L1223" s="53"/>
    </row>
    <row r="1224" spans="7:12" x14ac:dyDescent="0.2">
      <c r="G1224" s="53"/>
      <c r="H1224" s="53"/>
      <c r="I1224" s="53"/>
      <c r="J1224" s="53"/>
      <c r="K1224" s="53"/>
      <c r="L1224" s="53"/>
    </row>
    <row r="1225" spans="7:12" x14ac:dyDescent="0.2">
      <c r="G1225" s="53"/>
      <c r="H1225" s="53"/>
      <c r="I1225" s="53"/>
      <c r="J1225" s="53"/>
      <c r="K1225" s="53"/>
      <c r="L1225" s="53"/>
    </row>
    <row r="1226" spans="7:12" x14ac:dyDescent="0.2">
      <c r="G1226" s="53"/>
      <c r="H1226" s="53"/>
      <c r="I1226" s="53"/>
      <c r="J1226" s="53"/>
      <c r="K1226" s="53"/>
      <c r="L1226" s="53"/>
    </row>
    <row r="1227" spans="7:12" x14ac:dyDescent="0.2">
      <c r="G1227" s="53"/>
      <c r="H1227" s="53"/>
      <c r="I1227" s="53"/>
      <c r="J1227" s="53"/>
      <c r="K1227" s="53"/>
      <c r="L1227" s="53"/>
    </row>
    <row r="1228" spans="7:12" x14ac:dyDescent="0.2">
      <c r="G1228" s="53"/>
      <c r="H1228" s="53"/>
      <c r="I1228" s="53"/>
      <c r="J1228" s="53"/>
      <c r="K1228" s="53"/>
      <c r="L1228" s="53"/>
    </row>
    <row r="1229" spans="7:12" x14ac:dyDescent="0.2">
      <c r="G1229" s="53"/>
      <c r="H1229" s="53"/>
      <c r="I1229" s="53"/>
      <c r="J1229" s="53"/>
      <c r="K1229" s="53"/>
      <c r="L1229" s="53"/>
    </row>
    <row r="1230" spans="7:12" x14ac:dyDescent="0.2">
      <c r="G1230" s="53"/>
      <c r="H1230" s="53"/>
      <c r="I1230" s="53"/>
      <c r="J1230" s="53"/>
      <c r="K1230" s="53"/>
      <c r="L1230" s="53"/>
    </row>
    <row r="1231" spans="7:12" x14ac:dyDescent="0.2">
      <c r="G1231" s="53"/>
      <c r="H1231" s="53"/>
      <c r="I1231" s="53"/>
      <c r="J1231" s="53"/>
      <c r="K1231" s="53"/>
      <c r="L1231" s="53"/>
    </row>
    <row r="1232" spans="7:12" x14ac:dyDescent="0.2">
      <c r="G1232" s="53"/>
      <c r="H1232" s="53"/>
      <c r="I1232" s="53"/>
      <c r="J1232" s="53"/>
      <c r="K1232" s="53"/>
      <c r="L1232" s="53"/>
    </row>
    <row r="1233" spans="7:12" x14ac:dyDescent="0.2">
      <c r="G1233" s="53"/>
      <c r="H1233" s="53"/>
      <c r="I1233" s="53"/>
      <c r="J1233" s="53"/>
      <c r="K1233" s="53"/>
      <c r="L1233" s="53"/>
    </row>
    <row r="1234" spans="7:12" x14ac:dyDescent="0.2">
      <c r="G1234" s="53"/>
      <c r="H1234" s="53"/>
      <c r="I1234" s="53"/>
      <c r="J1234" s="53"/>
      <c r="K1234" s="53"/>
      <c r="L1234" s="53"/>
    </row>
    <row r="1235" spans="7:12" x14ac:dyDescent="0.2">
      <c r="G1235" s="53"/>
      <c r="H1235" s="53"/>
      <c r="I1235" s="53"/>
      <c r="J1235" s="53"/>
      <c r="K1235" s="53"/>
      <c r="L1235" s="53"/>
    </row>
    <row r="1236" spans="7:12" x14ac:dyDescent="0.2">
      <c r="G1236" s="53"/>
      <c r="H1236" s="53"/>
      <c r="I1236" s="53"/>
      <c r="J1236" s="53"/>
      <c r="K1236" s="53"/>
      <c r="L1236" s="53"/>
    </row>
    <row r="1237" spans="7:12" x14ac:dyDescent="0.2">
      <c r="G1237" s="53"/>
      <c r="H1237" s="53"/>
      <c r="I1237" s="53"/>
      <c r="J1237" s="53"/>
      <c r="K1237" s="53"/>
      <c r="L1237" s="53"/>
    </row>
    <row r="1238" spans="7:12" x14ac:dyDescent="0.2">
      <c r="G1238" s="53"/>
      <c r="H1238" s="53"/>
      <c r="I1238" s="53"/>
      <c r="J1238" s="53"/>
      <c r="K1238" s="53"/>
      <c r="L1238" s="53"/>
    </row>
    <row r="1239" spans="7:12" x14ac:dyDescent="0.2">
      <c r="G1239" s="53"/>
      <c r="H1239" s="53"/>
      <c r="I1239" s="53"/>
      <c r="J1239" s="53"/>
      <c r="K1239" s="53"/>
      <c r="L1239" s="53"/>
    </row>
    <row r="1240" spans="7:12" x14ac:dyDescent="0.2">
      <c r="G1240" s="53"/>
      <c r="H1240" s="53"/>
      <c r="I1240" s="53"/>
      <c r="J1240" s="53"/>
      <c r="K1240" s="53"/>
      <c r="L1240" s="53"/>
    </row>
    <row r="1241" spans="7:12" x14ac:dyDescent="0.2">
      <c r="G1241" s="53"/>
      <c r="H1241" s="53"/>
      <c r="I1241" s="53"/>
      <c r="J1241" s="53"/>
      <c r="K1241" s="53"/>
      <c r="L1241" s="53"/>
    </row>
    <row r="1242" spans="7:12" x14ac:dyDescent="0.2">
      <c r="G1242" s="53"/>
      <c r="H1242" s="53"/>
      <c r="I1242" s="53"/>
      <c r="J1242" s="53"/>
      <c r="K1242" s="53"/>
      <c r="L1242" s="53"/>
    </row>
    <row r="1243" spans="7:12" x14ac:dyDescent="0.2">
      <c r="G1243" s="53"/>
      <c r="H1243" s="53"/>
      <c r="I1243" s="53"/>
      <c r="J1243" s="53"/>
      <c r="K1243" s="53"/>
      <c r="L1243" s="53"/>
    </row>
    <row r="1244" spans="7:12" x14ac:dyDescent="0.2">
      <c r="G1244" s="53"/>
      <c r="H1244" s="53"/>
      <c r="I1244" s="53"/>
      <c r="J1244" s="53"/>
      <c r="K1244" s="53"/>
      <c r="L1244" s="53"/>
    </row>
    <row r="1245" spans="7:12" x14ac:dyDescent="0.2">
      <c r="G1245" s="53"/>
      <c r="H1245" s="53"/>
      <c r="I1245" s="53"/>
      <c r="J1245" s="53"/>
      <c r="K1245" s="53"/>
      <c r="L1245" s="53"/>
    </row>
    <row r="1246" spans="7:12" x14ac:dyDescent="0.2">
      <c r="G1246" s="53"/>
      <c r="H1246" s="53"/>
      <c r="I1246" s="53"/>
      <c r="J1246" s="53"/>
      <c r="K1246" s="53"/>
      <c r="L1246" s="53"/>
    </row>
    <row r="1247" spans="7:12" x14ac:dyDescent="0.2">
      <c r="G1247" s="53"/>
      <c r="H1247" s="53"/>
      <c r="I1247" s="53"/>
      <c r="J1247" s="53"/>
      <c r="K1247" s="53"/>
      <c r="L1247" s="53"/>
    </row>
    <row r="1248" spans="7:12" x14ac:dyDescent="0.2">
      <c r="G1248" s="53"/>
      <c r="H1248" s="53"/>
      <c r="I1248" s="53"/>
      <c r="J1248" s="53"/>
      <c r="K1248" s="53"/>
      <c r="L1248" s="53"/>
    </row>
    <row r="1249" spans="7:12" x14ac:dyDescent="0.2">
      <c r="G1249" s="53"/>
      <c r="H1249" s="53"/>
      <c r="I1249" s="53"/>
      <c r="J1249" s="53"/>
      <c r="K1249" s="53"/>
      <c r="L1249" s="53"/>
    </row>
    <row r="1250" spans="7:12" x14ac:dyDescent="0.2">
      <c r="G1250" s="53"/>
      <c r="H1250" s="53"/>
      <c r="I1250" s="53"/>
      <c r="J1250" s="53"/>
      <c r="K1250" s="53"/>
      <c r="L1250" s="53"/>
    </row>
    <row r="1251" spans="7:12" x14ac:dyDescent="0.2">
      <c r="G1251" s="53"/>
      <c r="H1251" s="53"/>
      <c r="I1251" s="53"/>
      <c r="J1251" s="53"/>
      <c r="K1251" s="53"/>
      <c r="L1251" s="53"/>
    </row>
    <row r="1252" spans="7:12" x14ac:dyDescent="0.2">
      <c r="G1252" s="53"/>
      <c r="H1252" s="53"/>
      <c r="I1252" s="53"/>
      <c r="J1252" s="53"/>
      <c r="K1252" s="53"/>
      <c r="L1252" s="53"/>
    </row>
    <row r="1253" spans="7:12" x14ac:dyDescent="0.2">
      <c r="G1253" s="53"/>
      <c r="H1253" s="53"/>
      <c r="I1253" s="53"/>
      <c r="J1253" s="53"/>
      <c r="K1253" s="53"/>
      <c r="L1253" s="53"/>
    </row>
    <row r="1254" spans="7:12" x14ac:dyDescent="0.2">
      <c r="G1254" s="53"/>
      <c r="H1254" s="53"/>
      <c r="I1254" s="53"/>
      <c r="J1254" s="53"/>
      <c r="K1254" s="53"/>
      <c r="L1254" s="53"/>
    </row>
    <row r="1255" spans="7:12" x14ac:dyDescent="0.2">
      <c r="G1255" s="53"/>
      <c r="H1255" s="53"/>
      <c r="I1255" s="53"/>
      <c r="J1255" s="53"/>
      <c r="K1255" s="53"/>
      <c r="L1255" s="53"/>
    </row>
    <row r="1256" spans="7:12" x14ac:dyDescent="0.2">
      <c r="G1256" s="53"/>
      <c r="H1256" s="53"/>
      <c r="I1256" s="53"/>
      <c r="J1256" s="53"/>
      <c r="K1256" s="53"/>
      <c r="L1256" s="53"/>
    </row>
    <row r="1257" spans="7:12" x14ac:dyDescent="0.2">
      <c r="G1257" s="53"/>
      <c r="H1257" s="53"/>
      <c r="I1257" s="53"/>
      <c r="J1257" s="53"/>
      <c r="K1257" s="53"/>
      <c r="L1257" s="53"/>
    </row>
    <row r="1258" spans="7:12" x14ac:dyDescent="0.2">
      <c r="G1258" s="53"/>
      <c r="H1258" s="53"/>
      <c r="I1258" s="53"/>
      <c r="J1258" s="53"/>
      <c r="K1258" s="53"/>
      <c r="L1258" s="53"/>
    </row>
    <row r="1259" spans="7:12" x14ac:dyDescent="0.2">
      <c r="G1259" s="53"/>
      <c r="H1259" s="53"/>
      <c r="I1259" s="53"/>
      <c r="J1259" s="53"/>
      <c r="K1259" s="53"/>
      <c r="L1259" s="53"/>
    </row>
    <row r="1260" spans="7:12" x14ac:dyDescent="0.2">
      <c r="G1260" s="53"/>
      <c r="H1260" s="53"/>
      <c r="I1260" s="53"/>
      <c r="J1260" s="53"/>
      <c r="K1260" s="53"/>
      <c r="L1260" s="53"/>
    </row>
    <row r="1261" spans="7:12" x14ac:dyDescent="0.2">
      <c r="G1261" s="53"/>
      <c r="H1261" s="53"/>
      <c r="I1261" s="53"/>
      <c r="J1261" s="53"/>
      <c r="K1261" s="53"/>
      <c r="L1261" s="53"/>
    </row>
    <row r="1262" spans="7:12" x14ac:dyDescent="0.2">
      <c r="G1262" s="53"/>
      <c r="H1262" s="53"/>
      <c r="I1262" s="53"/>
      <c r="J1262" s="53"/>
      <c r="K1262" s="53"/>
      <c r="L1262" s="53"/>
    </row>
    <row r="1263" spans="7:12" x14ac:dyDescent="0.2">
      <c r="G1263" s="53"/>
      <c r="H1263" s="53"/>
      <c r="I1263" s="53"/>
      <c r="J1263" s="53"/>
      <c r="K1263" s="53"/>
      <c r="L1263" s="53"/>
    </row>
    <row r="1264" spans="7:12" x14ac:dyDescent="0.2">
      <c r="G1264" s="53"/>
      <c r="H1264" s="53"/>
      <c r="I1264" s="53"/>
      <c r="J1264" s="53"/>
      <c r="K1264" s="53"/>
      <c r="L1264" s="53"/>
    </row>
    <row r="1265" spans="7:12" x14ac:dyDescent="0.2">
      <c r="G1265" s="53"/>
      <c r="H1265" s="53"/>
      <c r="I1265" s="53"/>
      <c r="J1265" s="53"/>
      <c r="K1265" s="53"/>
      <c r="L1265" s="53"/>
    </row>
    <row r="1266" spans="7:12" x14ac:dyDescent="0.2">
      <c r="G1266" s="53"/>
      <c r="H1266" s="53"/>
      <c r="I1266" s="53"/>
      <c r="J1266" s="53"/>
      <c r="K1266" s="53"/>
      <c r="L1266" s="53"/>
    </row>
    <row r="1267" spans="7:12" x14ac:dyDescent="0.2">
      <c r="G1267" s="53"/>
      <c r="H1267" s="53"/>
      <c r="I1267" s="53"/>
      <c r="J1267" s="53"/>
      <c r="K1267" s="53"/>
      <c r="L1267" s="53"/>
    </row>
    <row r="1268" spans="7:12" x14ac:dyDescent="0.2">
      <c r="G1268" s="53"/>
      <c r="H1268" s="53"/>
      <c r="I1268" s="53"/>
      <c r="J1268" s="53"/>
      <c r="K1268" s="53"/>
      <c r="L1268" s="53"/>
    </row>
    <row r="1269" spans="7:12" x14ac:dyDescent="0.2">
      <c r="G1269" s="53"/>
      <c r="H1269" s="53"/>
      <c r="I1269" s="53"/>
      <c r="J1269" s="53"/>
      <c r="K1269" s="53"/>
      <c r="L1269" s="53"/>
    </row>
    <row r="1270" spans="7:12" x14ac:dyDescent="0.2">
      <c r="G1270" s="53"/>
      <c r="H1270" s="53"/>
      <c r="I1270" s="53"/>
      <c r="J1270" s="53"/>
      <c r="K1270" s="53"/>
      <c r="L1270" s="53"/>
    </row>
    <row r="1271" spans="7:12" x14ac:dyDescent="0.2">
      <c r="G1271" s="53"/>
      <c r="H1271" s="53"/>
      <c r="I1271" s="53"/>
      <c r="J1271" s="53"/>
      <c r="K1271" s="53"/>
      <c r="L1271" s="53"/>
    </row>
    <row r="1272" spans="7:12" x14ac:dyDescent="0.2">
      <c r="G1272" s="53"/>
      <c r="H1272" s="53"/>
      <c r="I1272" s="53"/>
      <c r="J1272" s="53"/>
      <c r="K1272" s="53"/>
      <c r="L1272" s="53"/>
    </row>
    <row r="1273" spans="7:12" x14ac:dyDescent="0.2">
      <c r="G1273" s="53"/>
      <c r="H1273" s="53"/>
      <c r="I1273" s="53"/>
      <c r="J1273" s="53"/>
      <c r="K1273" s="53"/>
      <c r="L1273" s="53"/>
    </row>
    <row r="1274" spans="7:12" x14ac:dyDescent="0.2">
      <c r="G1274" s="53"/>
      <c r="H1274" s="53"/>
      <c r="I1274" s="53"/>
      <c r="J1274" s="53"/>
      <c r="K1274" s="53"/>
      <c r="L1274" s="53"/>
    </row>
    <row r="1275" spans="7:12" x14ac:dyDescent="0.2">
      <c r="G1275" s="53"/>
      <c r="H1275" s="53"/>
      <c r="I1275" s="53"/>
      <c r="J1275" s="53"/>
      <c r="K1275" s="53"/>
      <c r="L1275" s="53"/>
    </row>
    <row r="1276" spans="7:12" x14ac:dyDescent="0.2">
      <c r="G1276" s="53"/>
      <c r="H1276" s="53"/>
      <c r="I1276" s="53"/>
      <c r="J1276" s="53"/>
      <c r="K1276" s="53"/>
      <c r="L1276" s="53"/>
    </row>
    <row r="1277" spans="7:12" x14ac:dyDescent="0.2">
      <c r="G1277" s="53"/>
      <c r="H1277" s="53"/>
      <c r="I1277" s="53"/>
      <c r="J1277" s="53"/>
      <c r="K1277" s="53"/>
      <c r="L1277" s="53"/>
    </row>
    <row r="1278" spans="7:12" x14ac:dyDescent="0.2">
      <c r="G1278" s="53"/>
      <c r="H1278" s="53"/>
      <c r="I1278" s="53"/>
      <c r="J1278" s="53"/>
      <c r="K1278" s="53"/>
      <c r="L1278" s="53"/>
    </row>
    <row r="1279" spans="7:12" x14ac:dyDescent="0.2">
      <c r="G1279" s="53"/>
      <c r="H1279" s="53"/>
      <c r="I1279" s="53"/>
      <c r="J1279" s="53"/>
      <c r="K1279" s="53"/>
      <c r="L1279" s="53"/>
    </row>
    <row r="1280" spans="7:12" x14ac:dyDescent="0.2">
      <c r="G1280" s="53"/>
      <c r="H1280" s="53"/>
      <c r="I1280" s="53"/>
      <c r="J1280" s="53"/>
      <c r="K1280" s="53"/>
      <c r="L1280" s="53"/>
    </row>
    <row r="1281" spans="7:12" x14ac:dyDescent="0.2">
      <c r="G1281" s="53"/>
      <c r="H1281" s="53"/>
      <c r="I1281" s="53"/>
      <c r="J1281" s="53"/>
      <c r="K1281" s="53"/>
      <c r="L1281" s="53"/>
    </row>
    <row r="1282" spans="7:12" x14ac:dyDescent="0.2">
      <c r="G1282" s="53"/>
      <c r="H1282" s="53"/>
      <c r="I1282" s="53"/>
      <c r="J1282" s="53"/>
      <c r="K1282" s="53"/>
      <c r="L1282" s="53"/>
    </row>
    <row r="1283" spans="7:12" x14ac:dyDescent="0.2">
      <c r="G1283" s="53"/>
      <c r="H1283" s="53"/>
      <c r="I1283" s="53"/>
      <c r="J1283" s="53"/>
      <c r="K1283" s="53"/>
      <c r="L1283" s="53"/>
    </row>
    <row r="1284" spans="7:12" x14ac:dyDescent="0.2">
      <c r="G1284" s="53"/>
      <c r="H1284" s="53"/>
      <c r="I1284" s="53"/>
      <c r="J1284" s="53"/>
      <c r="K1284" s="53"/>
      <c r="L1284" s="53"/>
    </row>
    <row r="1285" spans="7:12" x14ac:dyDescent="0.2">
      <c r="G1285" s="53"/>
      <c r="H1285" s="53"/>
      <c r="I1285" s="53"/>
      <c r="J1285" s="53"/>
      <c r="K1285" s="53"/>
      <c r="L1285" s="53"/>
    </row>
    <row r="1286" spans="7:12" x14ac:dyDescent="0.2">
      <c r="G1286" s="53"/>
      <c r="H1286" s="53"/>
      <c r="I1286" s="53"/>
      <c r="J1286" s="53"/>
      <c r="K1286" s="53"/>
      <c r="L1286" s="53"/>
    </row>
    <row r="1287" spans="7:12" x14ac:dyDescent="0.2">
      <c r="G1287" s="53"/>
      <c r="H1287" s="53"/>
      <c r="I1287" s="53"/>
      <c r="J1287" s="53"/>
      <c r="K1287" s="53"/>
      <c r="L1287" s="53"/>
    </row>
    <row r="1288" spans="7:12" x14ac:dyDescent="0.2">
      <c r="G1288" s="53"/>
      <c r="H1288" s="53"/>
      <c r="I1288" s="53"/>
      <c r="J1288" s="53"/>
      <c r="K1288" s="53"/>
      <c r="L1288" s="53"/>
    </row>
    <row r="1289" spans="7:12" x14ac:dyDescent="0.2">
      <c r="G1289" s="53"/>
      <c r="H1289" s="53"/>
      <c r="I1289" s="53"/>
      <c r="J1289" s="53"/>
      <c r="K1289" s="53"/>
      <c r="L1289" s="53"/>
    </row>
    <row r="1290" spans="7:12" x14ac:dyDescent="0.2">
      <c r="G1290" s="53"/>
      <c r="H1290" s="53"/>
      <c r="I1290" s="53"/>
      <c r="J1290" s="53"/>
      <c r="K1290" s="53"/>
      <c r="L1290" s="53"/>
    </row>
    <row r="1291" spans="7:12" x14ac:dyDescent="0.2">
      <c r="G1291" s="53"/>
      <c r="H1291" s="53"/>
      <c r="I1291" s="53"/>
      <c r="J1291" s="53"/>
      <c r="K1291" s="53"/>
      <c r="L1291" s="53"/>
    </row>
    <row r="1292" spans="7:12" x14ac:dyDescent="0.2">
      <c r="G1292" s="53"/>
      <c r="H1292" s="53"/>
      <c r="I1292" s="53"/>
      <c r="J1292" s="53"/>
      <c r="K1292" s="53"/>
      <c r="L1292" s="53"/>
    </row>
    <row r="1293" spans="7:12" x14ac:dyDescent="0.2">
      <c r="G1293" s="53"/>
      <c r="H1293" s="53"/>
      <c r="I1293" s="53"/>
      <c r="J1293" s="53"/>
      <c r="K1293" s="53"/>
      <c r="L1293" s="53"/>
    </row>
    <row r="1294" spans="7:12" x14ac:dyDescent="0.2">
      <c r="G1294" s="53"/>
      <c r="H1294" s="53"/>
      <c r="I1294" s="53"/>
      <c r="J1294" s="53"/>
      <c r="K1294" s="53"/>
      <c r="L1294" s="53"/>
    </row>
    <row r="1295" spans="7:12" x14ac:dyDescent="0.2">
      <c r="G1295" s="53"/>
      <c r="H1295" s="53"/>
      <c r="I1295" s="53"/>
      <c r="J1295" s="53"/>
      <c r="K1295" s="53"/>
      <c r="L1295" s="53"/>
    </row>
    <row r="1296" spans="7:12" x14ac:dyDescent="0.2">
      <c r="G1296" s="53"/>
      <c r="H1296" s="53"/>
      <c r="I1296" s="53"/>
      <c r="J1296" s="53"/>
      <c r="K1296" s="53"/>
      <c r="L1296" s="53"/>
    </row>
    <row r="1297" spans="7:12" x14ac:dyDescent="0.2">
      <c r="G1297" s="53"/>
      <c r="H1297" s="53"/>
      <c r="I1297" s="53"/>
      <c r="J1297" s="53"/>
      <c r="K1297" s="53"/>
      <c r="L1297" s="53"/>
    </row>
    <row r="1298" spans="7:12" x14ac:dyDescent="0.2">
      <c r="G1298" s="53"/>
      <c r="H1298" s="53"/>
      <c r="I1298" s="53"/>
      <c r="J1298" s="53"/>
      <c r="K1298" s="53"/>
      <c r="L1298" s="53"/>
    </row>
    <row r="1299" spans="7:12" x14ac:dyDescent="0.2">
      <c r="G1299" s="53"/>
      <c r="H1299" s="53"/>
      <c r="I1299" s="53"/>
      <c r="J1299" s="53"/>
      <c r="K1299" s="53"/>
      <c r="L1299" s="53"/>
    </row>
    <row r="1300" spans="7:12" x14ac:dyDescent="0.2">
      <c r="G1300" s="53"/>
      <c r="H1300" s="53"/>
      <c r="I1300" s="53"/>
      <c r="J1300" s="53"/>
      <c r="K1300" s="53"/>
      <c r="L1300" s="53"/>
    </row>
    <row r="1301" spans="7:12" x14ac:dyDescent="0.2">
      <c r="G1301" s="53"/>
      <c r="H1301" s="53"/>
      <c r="I1301" s="53"/>
      <c r="J1301" s="53"/>
      <c r="K1301" s="53"/>
      <c r="L1301" s="53"/>
    </row>
    <row r="1302" spans="7:12" x14ac:dyDescent="0.2">
      <c r="G1302" s="53"/>
      <c r="H1302" s="53"/>
      <c r="I1302" s="53"/>
      <c r="J1302" s="53"/>
      <c r="K1302" s="53"/>
      <c r="L1302" s="53"/>
    </row>
    <row r="1303" spans="7:12" x14ac:dyDescent="0.2">
      <c r="G1303" s="53"/>
      <c r="H1303" s="53"/>
      <c r="I1303" s="53"/>
      <c r="J1303" s="53"/>
      <c r="K1303" s="53"/>
      <c r="L1303" s="53"/>
    </row>
    <row r="1304" spans="7:12" x14ac:dyDescent="0.2">
      <c r="G1304" s="53"/>
      <c r="H1304" s="53"/>
      <c r="I1304" s="53"/>
      <c r="J1304" s="53"/>
      <c r="K1304" s="53"/>
      <c r="L1304" s="53"/>
    </row>
    <row r="1305" spans="7:12" x14ac:dyDescent="0.2">
      <c r="G1305" s="53"/>
      <c r="H1305" s="53"/>
      <c r="I1305" s="53"/>
      <c r="J1305" s="53"/>
      <c r="K1305" s="53"/>
      <c r="L1305" s="53"/>
    </row>
    <row r="1306" spans="7:12" x14ac:dyDescent="0.2">
      <c r="G1306" s="53"/>
      <c r="H1306" s="53"/>
      <c r="I1306" s="53"/>
      <c r="J1306" s="53"/>
      <c r="K1306" s="53"/>
      <c r="L1306" s="53"/>
    </row>
    <row r="1307" spans="7:12" x14ac:dyDescent="0.2">
      <c r="G1307" s="53"/>
      <c r="H1307" s="53"/>
      <c r="I1307" s="53"/>
      <c r="J1307" s="53"/>
      <c r="K1307" s="53"/>
      <c r="L1307" s="53"/>
    </row>
    <row r="1308" spans="7:12" x14ac:dyDescent="0.2">
      <c r="G1308" s="53"/>
      <c r="H1308" s="53"/>
      <c r="I1308" s="53"/>
      <c r="J1308" s="53"/>
      <c r="K1308" s="53"/>
      <c r="L1308" s="53"/>
    </row>
    <row r="1309" spans="7:12" x14ac:dyDescent="0.2">
      <c r="G1309" s="53"/>
      <c r="H1309" s="53"/>
      <c r="I1309" s="53"/>
      <c r="J1309" s="53"/>
      <c r="K1309" s="53"/>
      <c r="L1309" s="53"/>
    </row>
    <row r="1310" spans="7:12" x14ac:dyDescent="0.2">
      <c r="G1310" s="53"/>
      <c r="H1310" s="53"/>
      <c r="I1310" s="53"/>
      <c r="J1310" s="53"/>
      <c r="K1310" s="53"/>
      <c r="L1310" s="53"/>
    </row>
    <row r="1311" spans="7:12" x14ac:dyDescent="0.2">
      <c r="G1311" s="53"/>
      <c r="H1311" s="53"/>
      <c r="I1311" s="53"/>
      <c r="J1311" s="53"/>
      <c r="K1311" s="53"/>
      <c r="L1311" s="53"/>
    </row>
    <row r="1312" spans="7:12" x14ac:dyDescent="0.2">
      <c r="G1312" s="53"/>
      <c r="H1312" s="53"/>
      <c r="I1312" s="53"/>
      <c r="J1312" s="53"/>
      <c r="K1312" s="53"/>
      <c r="L1312" s="53"/>
    </row>
    <row r="1313" spans="7:12" x14ac:dyDescent="0.2">
      <c r="G1313" s="53"/>
      <c r="H1313" s="53"/>
      <c r="I1313" s="53"/>
      <c r="J1313" s="53"/>
      <c r="K1313" s="53"/>
      <c r="L1313" s="53"/>
    </row>
    <row r="1314" spans="7:12" x14ac:dyDescent="0.2">
      <c r="G1314" s="53"/>
      <c r="H1314" s="53"/>
      <c r="I1314" s="53"/>
      <c r="J1314" s="53"/>
      <c r="K1314" s="53"/>
      <c r="L1314" s="53"/>
    </row>
    <row r="1315" spans="7:12" x14ac:dyDescent="0.2">
      <c r="G1315" s="53"/>
      <c r="H1315" s="53"/>
      <c r="I1315" s="53"/>
      <c r="J1315" s="53"/>
      <c r="K1315" s="53"/>
      <c r="L1315" s="53"/>
    </row>
    <row r="1316" spans="7:12" x14ac:dyDescent="0.2">
      <c r="G1316" s="53"/>
      <c r="H1316" s="53"/>
      <c r="I1316" s="53"/>
      <c r="J1316" s="53"/>
      <c r="K1316" s="53"/>
      <c r="L1316" s="53"/>
    </row>
    <row r="1317" spans="7:12" x14ac:dyDescent="0.2">
      <c r="G1317" s="53"/>
      <c r="H1317" s="53"/>
      <c r="I1317" s="53"/>
      <c r="J1317" s="53"/>
      <c r="K1317" s="53"/>
      <c r="L1317" s="53"/>
    </row>
    <row r="1318" spans="7:12" x14ac:dyDescent="0.2">
      <c r="G1318" s="53"/>
      <c r="H1318" s="53"/>
      <c r="I1318" s="53"/>
      <c r="J1318" s="53"/>
      <c r="K1318" s="53"/>
      <c r="L1318" s="53"/>
    </row>
    <row r="1319" spans="7:12" x14ac:dyDescent="0.2">
      <c r="G1319" s="53"/>
      <c r="H1319" s="53"/>
      <c r="I1319" s="53"/>
      <c r="J1319" s="53"/>
      <c r="K1319" s="53"/>
      <c r="L1319" s="53"/>
    </row>
    <row r="1320" spans="7:12" x14ac:dyDescent="0.2">
      <c r="G1320" s="53"/>
      <c r="H1320" s="53"/>
      <c r="I1320" s="53"/>
      <c r="J1320" s="53"/>
      <c r="K1320" s="53"/>
      <c r="L1320" s="53"/>
    </row>
    <row r="1321" spans="7:12" x14ac:dyDescent="0.2">
      <c r="G1321" s="53"/>
      <c r="H1321" s="53"/>
      <c r="I1321" s="53"/>
      <c r="J1321" s="53"/>
      <c r="K1321" s="53"/>
      <c r="L1321" s="53"/>
    </row>
    <row r="1322" spans="7:12" x14ac:dyDescent="0.2">
      <c r="G1322" s="53"/>
      <c r="H1322" s="53"/>
      <c r="I1322" s="53"/>
      <c r="J1322" s="53"/>
      <c r="K1322" s="53"/>
      <c r="L1322" s="53"/>
    </row>
    <row r="1323" spans="7:12" x14ac:dyDescent="0.2">
      <c r="G1323" s="53"/>
      <c r="H1323" s="53"/>
      <c r="I1323" s="53"/>
      <c r="J1323" s="53"/>
      <c r="K1323" s="53"/>
      <c r="L1323" s="53"/>
    </row>
    <row r="1324" spans="7:12" x14ac:dyDescent="0.2">
      <c r="G1324" s="53"/>
      <c r="H1324" s="53"/>
      <c r="I1324" s="53"/>
      <c r="J1324" s="53"/>
      <c r="K1324" s="53"/>
      <c r="L1324" s="53"/>
    </row>
    <row r="1325" spans="7:12" x14ac:dyDescent="0.2">
      <c r="G1325" s="53"/>
      <c r="H1325" s="53"/>
      <c r="I1325" s="53"/>
      <c r="J1325" s="53"/>
      <c r="K1325" s="53"/>
      <c r="L1325" s="53"/>
    </row>
    <row r="1326" spans="7:12" x14ac:dyDescent="0.2">
      <c r="G1326" s="53"/>
      <c r="H1326" s="53"/>
      <c r="I1326" s="53"/>
      <c r="J1326" s="53"/>
      <c r="K1326" s="53"/>
      <c r="L1326" s="53"/>
    </row>
    <row r="1327" spans="7:12" x14ac:dyDescent="0.2">
      <c r="G1327" s="53"/>
      <c r="H1327" s="53"/>
      <c r="I1327" s="53"/>
      <c r="J1327" s="53"/>
      <c r="K1327" s="53"/>
      <c r="L1327" s="53"/>
    </row>
    <row r="1328" spans="7:12" x14ac:dyDescent="0.2">
      <c r="G1328" s="53"/>
      <c r="H1328" s="53"/>
      <c r="I1328" s="53"/>
      <c r="J1328" s="53"/>
      <c r="K1328" s="53"/>
      <c r="L1328" s="53"/>
    </row>
    <row r="1329" spans="7:12" x14ac:dyDescent="0.2">
      <c r="G1329" s="53"/>
      <c r="H1329" s="53"/>
      <c r="I1329" s="53"/>
      <c r="J1329" s="53"/>
      <c r="K1329" s="53"/>
      <c r="L1329" s="53"/>
    </row>
    <row r="1330" spans="7:12" x14ac:dyDescent="0.2">
      <c r="G1330" s="53"/>
      <c r="H1330" s="53"/>
      <c r="I1330" s="53"/>
      <c r="J1330" s="53"/>
      <c r="K1330" s="53"/>
      <c r="L1330" s="53"/>
    </row>
    <row r="1331" spans="7:12" x14ac:dyDescent="0.2">
      <c r="G1331" s="53"/>
      <c r="H1331" s="53"/>
      <c r="I1331" s="53"/>
      <c r="J1331" s="53"/>
      <c r="K1331" s="53"/>
      <c r="L1331" s="53"/>
    </row>
    <row r="1332" spans="7:12" x14ac:dyDescent="0.2">
      <c r="G1332" s="53"/>
      <c r="H1332" s="53"/>
      <c r="I1332" s="53"/>
      <c r="J1332" s="53"/>
      <c r="K1332" s="53"/>
      <c r="L1332" s="53"/>
    </row>
    <row r="1333" spans="7:12" x14ac:dyDescent="0.2">
      <c r="G1333" s="53"/>
      <c r="H1333" s="53"/>
      <c r="I1333" s="53"/>
      <c r="J1333" s="53"/>
      <c r="K1333" s="53"/>
      <c r="L1333" s="53"/>
    </row>
    <row r="1334" spans="7:12" x14ac:dyDescent="0.2">
      <c r="G1334" s="53"/>
      <c r="H1334" s="53"/>
      <c r="I1334" s="53"/>
      <c r="J1334" s="53"/>
      <c r="K1334" s="53"/>
      <c r="L1334" s="53"/>
    </row>
    <row r="1335" spans="7:12" x14ac:dyDescent="0.2">
      <c r="G1335" s="53"/>
      <c r="H1335" s="53"/>
      <c r="I1335" s="53"/>
      <c r="J1335" s="53"/>
      <c r="K1335" s="53"/>
      <c r="L1335" s="53"/>
    </row>
    <row r="1336" spans="7:12" x14ac:dyDescent="0.2">
      <c r="G1336" s="53"/>
      <c r="H1336" s="53"/>
      <c r="I1336" s="53"/>
      <c r="J1336" s="53"/>
      <c r="K1336" s="53"/>
      <c r="L1336" s="53"/>
    </row>
    <row r="1337" spans="7:12" x14ac:dyDescent="0.2">
      <c r="G1337" s="53"/>
      <c r="H1337" s="53"/>
      <c r="I1337" s="53"/>
      <c r="J1337" s="53"/>
      <c r="K1337" s="53"/>
      <c r="L1337" s="53"/>
    </row>
    <row r="1338" spans="7:12" x14ac:dyDescent="0.2">
      <c r="G1338" s="53"/>
      <c r="H1338" s="53"/>
      <c r="I1338" s="53"/>
      <c r="J1338" s="53"/>
      <c r="K1338" s="53"/>
      <c r="L1338" s="53"/>
    </row>
    <row r="1339" spans="7:12" x14ac:dyDescent="0.2">
      <c r="G1339" s="53"/>
      <c r="H1339" s="53"/>
      <c r="I1339" s="53"/>
      <c r="J1339" s="53"/>
      <c r="K1339" s="53"/>
      <c r="L1339" s="53"/>
    </row>
    <row r="1340" spans="7:12" x14ac:dyDescent="0.2">
      <c r="G1340" s="53"/>
      <c r="H1340" s="53"/>
      <c r="I1340" s="53"/>
      <c r="J1340" s="53"/>
      <c r="K1340" s="53"/>
      <c r="L1340" s="53"/>
    </row>
    <row r="1341" spans="7:12" x14ac:dyDescent="0.2">
      <c r="G1341" s="53"/>
      <c r="H1341" s="53"/>
      <c r="I1341" s="53"/>
      <c r="J1341" s="53"/>
      <c r="K1341" s="53"/>
      <c r="L1341" s="53"/>
    </row>
    <row r="1342" spans="7:12" x14ac:dyDescent="0.2">
      <c r="G1342" s="53"/>
      <c r="H1342" s="53"/>
      <c r="I1342" s="53"/>
      <c r="J1342" s="53"/>
      <c r="K1342" s="53"/>
      <c r="L1342" s="53"/>
    </row>
    <row r="1343" spans="7:12" x14ac:dyDescent="0.2">
      <c r="G1343" s="53"/>
      <c r="H1343" s="53"/>
      <c r="I1343" s="53"/>
      <c r="J1343" s="53"/>
      <c r="K1343" s="53"/>
      <c r="L1343" s="53"/>
    </row>
    <row r="1344" spans="7:12" x14ac:dyDescent="0.2">
      <c r="G1344" s="53"/>
      <c r="H1344" s="53"/>
      <c r="I1344" s="53"/>
      <c r="J1344" s="53"/>
      <c r="K1344" s="53"/>
      <c r="L1344" s="53"/>
    </row>
    <row r="1345" spans="7:12" x14ac:dyDescent="0.2">
      <c r="G1345" s="53"/>
      <c r="H1345" s="53"/>
      <c r="I1345" s="53"/>
      <c r="J1345" s="53"/>
      <c r="K1345" s="53"/>
      <c r="L1345" s="53"/>
    </row>
    <row r="1346" spans="7:12" x14ac:dyDescent="0.2">
      <c r="G1346" s="53"/>
      <c r="H1346" s="53"/>
      <c r="I1346" s="53"/>
      <c r="J1346" s="53"/>
      <c r="K1346" s="53"/>
      <c r="L1346" s="53"/>
    </row>
    <row r="1347" spans="7:12" x14ac:dyDescent="0.2">
      <c r="G1347" s="53"/>
      <c r="H1347" s="53"/>
      <c r="I1347" s="53"/>
      <c r="J1347" s="53"/>
      <c r="K1347" s="53"/>
      <c r="L1347" s="53"/>
    </row>
    <row r="1348" spans="7:12" x14ac:dyDescent="0.2">
      <c r="G1348" s="53"/>
      <c r="H1348" s="53"/>
      <c r="I1348" s="53"/>
      <c r="J1348" s="53"/>
      <c r="K1348" s="53"/>
      <c r="L1348" s="53"/>
    </row>
    <row r="1349" spans="7:12" x14ac:dyDescent="0.2">
      <c r="G1349" s="53"/>
      <c r="H1349" s="53"/>
      <c r="I1349" s="53"/>
      <c r="J1349" s="53"/>
      <c r="K1349" s="53"/>
      <c r="L1349" s="53"/>
    </row>
    <row r="1350" spans="7:12" x14ac:dyDescent="0.2">
      <c r="G1350" s="53"/>
      <c r="H1350" s="53"/>
      <c r="I1350" s="53"/>
      <c r="J1350" s="53"/>
      <c r="K1350" s="53"/>
      <c r="L1350" s="53"/>
    </row>
    <row r="1351" spans="7:12" x14ac:dyDescent="0.2">
      <c r="G1351" s="53"/>
      <c r="H1351" s="53"/>
      <c r="I1351" s="53"/>
      <c r="J1351" s="53"/>
      <c r="K1351" s="53"/>
      <c r="L1351" s="53"/>
    </row>
    <row r="1352" spans="7:12" x14ac:dyDescent="0.2">
      <c r="G1352" s="53"/>
      <c r="H1352" s="53"/>
      <c r="I1352" s="53"/>
      <c r="J1352" s="53"/>
      <c r="K1352" s="53"/>
      <c r="L1352" s="53"/>
    </row>
    <row r="1353" spans="7:12" x14ac:dyDescent="0.2">
      <c r="G1353" s="53"/>
      <c r="H1353" s="53"/>
      <c r="I1353" s="53"/>
      <c r="J1353" s="53"/>
      <c r="K1353" s="53"/>
      <c r="L1353" s="53"/>
    </row>
    <row r="1354" spans="7:12" x14ac:dyDescent="0.2">
      <c r="G1354" s="53"/>
      <c r="H1354" s="53"/>
      <c r="I1354" s="53"/>
      <c r="J1354" s="53"/>
      <c r="K1354" s="53"/>
      <c r="L1354" s="53"/>
    </row>
    <row r="1355" spans="7:12" x14ac:dyDescent="0.2">
      <c r="G1355" s="53"/>
      <c r="H1355" s="53"/>
      <c r="I1355" s="53"/>
      <c r="J1355" s="53"/>
      <c r="K1355" s="53"/>
      <c r="L1355" s="53"/>
    </row>
    <row r="1356" spans="7:12" x14ac:dyDescent="0.2">
      <c r="G1356" s="53"/>
      <c r="H1356" s="53"/>
      <c r="I1356" s="53"/>
      <c r="J1356" s="53"/>
      <c r="K1356" s="53"/>
      <c r="L1356" s="53"/>
    </row>
    <row r="1357" spans="7:12" x14ac:dyDescent="0.2">
      <c r="G1357" s="53"/>
      <c r="H1357" s="53"/>
      <c r="I1357" s="53"/>
      <c r="J1357" s="53"/>
      <c r="K1357" s="53"/>
      <c r="L1357" s="53"/>
    </row>
    <row r="1358" spans="7:12" x14ac:dyDescent="0.2">
      <c r="G1358" s="53"/>
      <c r="H1358" s="53"/>
      <c r="I1358" s="53"/>
      <c r="J1358" s="53"/>
      <c r="K1358" s="53"/>
      <c r="L1358" s="53"/>
    </row>
    <row r="1359" spans="7:12" x14ac:dyDescent="0.2">
      <c r="G1359" s="53"/>
      <c r="H1359" s="53"/>
      <c r="I1359" s="53"/>
      <c r="J1359" s="53"/>
      <c r="K1359" s="53"/>
      <c r="L1359" s="53"/>
    </row>
    <row r="1360" spans="7:12" x14ac:dyDescent="0.2">
      <c r="G1360" s="53"/>
      <c r="H1360" s="53"/>
      <c r="I1360" s="53"/>
      <c r="J1360" s="53"/>
      <c r="K1360" s="53"/>
      <c r="L1360" s="53"/>
    </row>
    <row r="1361" spans="7:12" x14ac:dyDescent="0.2">
      <c r="G1361" s="53"/>
      <c r="H1361" s="53"/>
      <c r="I1361" s="53"/>
      <c r="J1361" s="53"/>
      <c r="K1361" s="53"/>
      <c r="L1361" s="53"/>
    </row>
    <row r="1362" spans="7:12" x14ac:dyDescent="0.2">
      <c r="G1362" s="53"/>
      <c r="H1362" s="53"/>
      <c r="I1362" s="53"/>
      <c r="J1362" s="53"/>
      <c r="K1362" s="53"/>
      <c r="L1362" s="53"/>
    </row>
    <row r="1363" spans="7:12" x14ac:dyDescent="0.2">
      <c r="G1363" s="53"/>
      <c r="H1363" s="53"/>
      <c r="I1363" s="53"/>
      <c r="J1363" s="53"/>
      <c r="K1363" s="53"/>
      <c r="L1363" s="53"/>
    </row>
    <row r="1364" spans="7:12" x14ac:dyDescent="0.2">
      <c r="G1364" s="53"/>
      <c r="H1364" s="53"/>
      <c r="I1364" s="53"/>
      <c r="J1364" s="53"/>
      <c r="K1364" s="53"/>
      <c r="L1364" s="53"/>
    </row>
    <row r="1365" spans="7:12" x14ac:dyDescent="0.2">
      <c r="G1365" s="53"/>
      <c r="H1365" s="53"/>
      <c r="I1365" s="53"/>
      <c r="J1365" s="53"/>
      <c r="K1365" s="53"/>
      <c r="L1365" s="53"/>
    </row>
    <row r="1366" spans="7:12" x14ac:dyDescent="0.2">
      <c r="G1366" s="53"/>
      <c r="H1366" s="53"/>
      <c r="I1366" s="53"/>
      <c r="J1366" s="53"/>
      <c r="K1366" s="53"/>
      <c r="L1366" s="53"/>
    </row>
    <row r="1367" spans="7:12" x14ac:dyDescent="0.2">
      <c r="G1367" s="53"/>
      <c r="H1367" s="53"/>
      <c r="I1367" s="53"/>
      <c r="J1367" s="53"/>
      <c r="K1367" s="53"/>
      <c r="L1367" s="53"/>
    </row>
    <row r="1368" spans="7:12" x14ac:dyDescent="0.2">
      <c r="G1368" s="53"/>
      <c r="H1368" s="53"/>
      <c r="I1368" s="53"/>
      <c r="J1368" s="53"/>
      <c r="K1368" s="53"/>
      <c r="L1368" s="53"/>
    </row>
    <row r="1369" spans="7:12" x14ac:dyDescent="0.2">
      <c r="G1369" s="53"/>
      <c r="H1369" s="53"/>
      <c r="I1369" s="53"/>
      <c r="J1369" s="53"/>
      <c r="K1369" s="53"/>
      <c r="L1369" s="53"/>
    </row>
    <row r="1370" spans="7:12" x14ac:dyDescent="0.2">
      <c r="G1370" s="53"/>
      <c r="H1370" s="53"/>
      <c r="I1370" s="53"/>
      <c r="J1370" s="53"/>
      <c r="K1370" s="53"/>
      <c r="L1370" s="53"/>
    </row>
    <row r="1371" spans="7:12" x14ac:dyDescent="0.2">
      <c r="G1371" s="53"/>
      <c r="H1371" s="53"/>
      <c r="I1371" s="53"/>
      <c r="J1371" s="53"/>
      <c r="K1371" s="53"/>
      <c r="L1371" s="53"/>
    </row>
    <row r="1372" spans="7:12" x14ac:dyDescent="0.2">
      <c r="G1372" s="53"/>
      <c r="H1372" s="53"/>
      <c r="I1372" s="53"/>
      <c r="J1372" s="53"/>
      <c r="K1372" s="53"/>
      <c r="L1372" s="53"/>
    </row>
    <row r="1373" spans="7:12" x14ac:dyDescent="0.2">
      <c r="G1373" s="53"/>
      <c r="H1373" s="53"/>
      <c r="I1373" s="53"/>
      <c r="J1373" s="53"/>
      <c r="K1373" s="53"/>
      <c r="L1373" s="53"/>
    </row>
    <row r="1374" spans="7:12" x14ac:dyDescent="0.2">
      <c r="G1374" s="53"/>
      <c r="H1374" s="53"/>
      <c r="I1374" s="53"/>
      <c r="J1374" s="53"/>
      <c r="K1374" s="53"/>
      <c r="L1374" s="53"/>
    </row>
    <row r="1375" spans="7:12" x14ac:dyDescent="0.2">
      <c r="G1375" s="53"/>
      <c r="H1375" s="53"/>
      <c r="I1375" s="53"/>
      <c r="J1375" s="53"/>
      <c r="K1375" s="53"/>
      <c r="L1375" s="53"/>
    </row>
    <row r="1376" spans="7:12" x14ac:dyDescent="0.2">
      <c r="G1376" s="53"/>
      <c r="H1376" s="53"/>
      <c r="I1376" s="53"/>
      <c r="J1376" s="53"/>
      <c r="K1376" s="53"/>
      <c r="L1376" s="53"/>
    </row>
    <row r="1377" spans="7:12" x14ac:dyDescent="0.2">
      <c r="G1377" s="53"/>
      <c r="H1377" s="53"/>
      <c r="I1377" s="53"/>
      <c r="J1377" s="53"/>
      <c r="K1377" s="53"/>
      <c r="L1377" s="53"/>
    </row>
    <row r="1378" spans="7:12" x14ac:dyDescent="0.2">
      <c r="G1378" s="53"/>
      <c r="H1378" s="53"/>
      <c r="I1378" s="53"/>
      <c r="J1378" s="53"/>
      <c r="K1378" s="53"/>
      <c r="L1378" s="53"/>
    </row>
    <row r="1379" spans="7:12" x14ac:dyDescent="0.2">
      <c r="G1379" s="53"/>
      <c r="H1379" s="53"/>
      <c r="I1379" s="53"/>
      <c r="J1379" s="53"/>
      <c r="K1379" s="53"/>
      <c r="L1379" s="53"/>
    </row>
    <row r="1380" spans="7:12" x14ac:dyDescent="0.2">
      <c r="G1380" s="53"/>
      <c r="H1380" s="53"/>
      <c r="I1380" s="53"/>
      <c r="J1380" s="53"/>
      <c r="K1380" s="53"/>
      <c r="L1380" s="53"/>
    </row>
    <row r="1381" spans="7:12" x14ac:dyDescent="0.2">
      <c r="G1381" s="53"/>
      <c r="H1381" s="53"/>
      <c r="I1381" s="53"/>
      <c r="J1381" s="53"/>
      <c r="K1381" s="53"/>
      <c r="L1381" s="53"/>
    </row>
    <row r="1382" spans="7:12" x14ac:dyDescent="0.2">
      <c r="G1382" s="53"/>
      <c r="H1382" s="53"/>
      <c r="I1382" s="53"/>
      <c r="J1382" s="53"/>
      <c r="K1382" s="53"/>
      <c r="L1382" s="53"/>
    </row>
    <row r="1383" spans="7:12" x14ac:dyDescent="0.2">
      <c r="G1383" s="53"/>
      <c r="H1383" s="53"/>
      <c r="I1383" s="53"/>
      <c r="J1383" s="53"/>
      <c r="K1383" s="53"/>
      <c r="L1383" s="53"/>
    </row>
    <row r="1384" spans="7:12" x14ac:dyDescent="0.2">
      <c r="G1384" s="53"/>
      <c r="H1384" s="53"/>
      <c r="I1384" s="53"/>
      <c r="J1384" s="53"/>
      <c r="K1384" s="53"/>
      <c r="L1384" s="53"/>
    </row>
    <row r="1385" spans="7:12" x14ac:dyDescent="0.2">
      <c r="G1385" s="53"/>
      <c r="H1385" s="53"/>
      <c r="I1385" s="53"/>
      <c r="J1385" s="53"/>
      <c r="K1385" s="53"/>
      <c r="L1385" s="53"/>
    </row>
    <row r="1386" spans="7:12" x14ac:dyDescent="0.2">
      <c r="G1386" s="53"/>
      <c r="H1386" s="53"/>
      <c r="I1386" s="53"/>
      <c r="J1386" s="53"/>
      <c r="K1386" s="53"/>
      <c r="L1386" s="53"/>
    </row>
    <row r="1387" spans="7:12" x14ac:dyDescent="0.2">
      <c r="G1387" s="53"/>
      <c r="H1387" s="53"/>
      <c r="I1387" s="53"/>
      <c r="J1387" s="53"/>
      <c r="K1387" s="53"/>
      <c r="L1387" s="53"/>
    </row>
    <row r="1388" spans="7:12" x14ac:dyDescent="0.2">
      <c r="G1388" s="53"/>
      <c r="H1388" s="53"/>
      <c r="I1388" s="53"/>
      <c r="J1388" s="53"/>
      <c r="K1388" s="53"/>
      <c r="L1388" s="53"/>
    </row>
    <row r="1389" spans="7:12" x14ac:dyDescent="0.2">
      <c r="G1389" s="53"/>
      <c r="H1389" s="53"/>
      <c r="I1389" s="53"/>
      <c r="J1389" s="53"/>
      <c r="K1389" s="53"/>
      <c r="L1389" s="53"/>
    </row>
    <row r="1390" spans="7:12" x14ac:dyDescent="0.2">
      <c r="G1390" s="53"/>
      <c r="H1390" s="53"/>
      <c r="I1390" s="53"/>
      <c r="J1390" s="53"/>
      <c r="K1390" s="53"/>
      <c r="L1390" s="53"/>
    </row>
    <row r="1391" spans="7:12" x14ac:dyDescent="0.2">
      <c r="G1391" s="53"/>
      <c r="H1391" s="53"/>
      <c r="I1391" s="53"/>
      <c r="J1391" s="53"/>
      <c r="K1391" s="53"/>
      <c r="L1391" s="53"/>
    </row>
    <row r="1392" spans="7:12" x14ac:dyDescent="0.2">
      <c r="G1392" s="53"/>
      <c r="H1392" s="53"/>
      <c r="I1392" s="53"/>
      <c r="J1392" s="53"/>
      <c r="K1392" s="53"/>
      <c r="L1392" s="53"/>
    </row>
    <row r="1393" spans="7:12" x14ac:dyDescent="0.2">
      <c r="G1393" s="53"/>
      <c r="H1393" s="53"/>
      <c r="I1393" s="53"/>
      <c r="J1393" s="53"/>
      <c r="K1393" s="53"/>
      <c r="L1393" s="53"/>
    </row>
    <row r="1394" spans="7:12" x14ac:dyDescent="0.2">
      <c r="G1394" s="53"/>
      <c r="H1394" s="53"/>
      <c r="I1394" s="53"/>
      <c r="J1394" s="53"/>
      <c r="K1394" s="53"/>
      <c r="L1394" s="53"/>
    </row>
    <row r="1395" spans="7:12" x14ac:dyDescent="0.2">
      <c r="G1395" s="53"/>
      <c r="H1395" s="53"/>
      <c r="I1395" s="53"/>
      <c r="J1395" s="53"/>
      <c r="K1395" s="53"/>
      <c r="L1395" s="53"/>
    </row>
    <row r="1396" spans="7:12" x14ac:dyDescent="0.2">
      <c r="G1396" s="53"/>
      <c r="H1396" s="53"/>
      <c r="I1396" s="53"/>
      <c r="J1396" s="53"/>
      <c r="K1396" s="53"/>
      <c r="L1396" s="53"/>
    </row>
    <row r="1397" spans="7:12" x14ac:dyDescent="0.2">
      <c r="G1397" s="53"/>
      <c r="H1397" s="53"/>
      <c r="I1397" s="53"/>
      <c r="J1397" s="53"/>
      <c r="K1397" s="53"/>
      <c r="L1397" s="53"/>
    </row>
    <row r="1398" spans="7:12" x14ac:dyDescent="0.2">
      <c r="G1398" s="53"/>
      <c r="H1398" s="53"/>
      <c r="I1398" s="53"/>
      <c r="J1398" s="53"/>
      <c r="K1398" s="53"/>
      <c r="L1398" s="53"/>
    </row>
    <row r="1399" spans="7:12" x14ac:dyDescent="0.2">
      <c r="G1399" s="53"/>
      <c r="H1399" s="53"/>
      <c r="I1399" s="53"/>
      <c r="J1399" s="53"/>
      <c r="K1399" s="53"/>
      <c r="L1399" s="53"/>
    </row>
    <row r="1400" spans="7:12" x14ac:dyDescent="0.2">
      <c r="G1400" s="53"/>
      <c r="H1400" s="53"/>
      <c r="I1400" s="53"/>
      <c r="J1400" s="53"/>
      <c r="K1400" s="53"/>
      <c r="L1400" s="53"/>
    </row>
    <row r="1401" spans="7:12" x14ac:dyDescent="0.2">
      <c r="G1401" s="53"/>
      <c r="H1401" s="53"/>
      <c r="I1401" s="53"/>
      <c r="J1401" s="53"/>
      <c r="K1401" s="53"/>
      <c r="L1401" s="53"/>
    </row>
    <row r="1402" spans="7:12" x14ac:dyDescent="0.2">
      <c r="G1402" s="53"/>
      <c r="H1402" s="53"/>
      <c r="I1402" s="53"/>
      <c r="J1402" s="53"/>
      <c r="K1402" s="53"/>
      <c r="L1402" s="53"/>
    </row>
    <row r="1403" spans="7:12" x14ac:dyDescent="0.2">
      <c r="G1403" s="53"/>
      <c r="H1403" s="53"/>
      <c r="I1403" s="53"/>
      <c r="J1403" s="53"/>
      <c r="K1403" s="53"/>
      <c r="L1403" s="53"/>
    </row>
    <row r="1404" spans="7:12" x14ac:dyDescent="0.2">
      <c r="G1404" s="53"/>
      <c r="H1404" s="53"/>
      <c r="I1404" s="53"/>
      <c r="J1404" s="53"/>
      <c r="K1404" s="53"/>
      <c r="L1404" s="53"/>
    </row>
    <row r="1405" spans="7:12" x14ac:dyDescent="0.2">
      <c r="G1405" s="53"/>
      <c r="H1405" s="53"/>
      <c r="I1405" s="53"/>
      <c r="J1405" s="53"/>
      <c r="K1405" s="53"/>
      <c r="L1405" s="53"/>
    </row>
    <row r="1406" spans="7:12" x14ac:dyDescent="0.2">
      <c r="G1406" s="53"/>
      <c r="H1406" s="53"/>
      <c r="I1406" s="53"/>
      <c r="J1406" s="53"/>
      <c r="K1406" s="53"/>
      <c r="L1406" s="53"/>
    </row>
    <row r="1407" spans="7:12" x14ac:dyDescent="0.2">
      <c r="G1407" s="53"/>
      <c r="H1407" s="53"/>
      <c r="I1407" s="53"/>
      <c r="J1407" s="53"/>
      <c r="K1407" s="53"/>
      <c r="L1407" s="53"/>
    </row>
    <row r="1408" spans="7:12" x14ac:dyDescent="0.2">
      <c r="G1408" s="53"/>
      <c r="H1408" s="53"/>
      <c r="I1408" s="53"/>
      <c r="J1408" s="53"/>
      <c r="K1408" s="53"/>
      <c r="L1408" s="53"/>
    </row>
    <row r="1409" spans="7:12" x14ac:dyDescent="0.2">
      <c r="G1409" s="53"/>
      <c r="H1409" s="53"/>
      <c r="I1409" s="53"/>
      <c r="J1409" s="53"/>
      <c r="K1409" s="53"/>
      <c r="L1409" s="53"/>
    </row>
    <row r="1410" spans="7:12" x14ac:dyDescent="0.2">
      <c r="G1410" s="53"/>
      <c r="H1410" s="53"/>
      <c r="I1410" s="53"/>
      <c r="J1410" s="53"/>
      <c r="K1410" s="53"/>
      <c r="L1410" s="53"/>
    </row>
    <row r="1411" spans="7:12" x14ac:dyDescent="0.2">
      <c r="G1411" s="53"/>
      <c r="H1411" s="53"/>
      <c r="I1411" s="53"/>
      <c r="J1411" s="53"/>
      <c r="K1411" s="53"/>
      <c r="L1411" s="53"/>
    </row>
    <row r="1412" spans="7:12" x14ac:dyDescent="0.2">
      <c r="G1412" s="53"/>
      <c r="H1412" s="53"/>
      <c r="I1412" s="53"/>
      <c r="J1412" s="53"/>
      <c r="K1412" s="53"/>
      <c r="L1412" s="53"/>
    </row>
    <row r="1413" spans="7:12" x14ac:dyDescent="0.2">
      <c r="G1413" s="53"/>
      <c r="H1413" s="53"/>
      <c r="I1413" s="53"/>
      <c r="J1413" s="53"/>
      <c r="K1413" s="53"/>
      <c r="L1413" s="53"/>
    </row>
    <row r="1414" spans="7:12" x14ac:dyDescent="0.2">
      <c r="G1414" s="53"/>
      <c r="H1414" s="53"/>
      <c r="I1414" s="53"/>
      <c r="J1414" s="53"/>
      <c r="K1414" s="53"/>
      <c r="L1414" s="53"/>
    </row>
    <row r="1415" spans="7:12" x14ac:dyDescent="0.2">
      <c r="G1415" s="53"/>
      <c r="H1415" s="53"/>
      <c r="I1415" s="53"/>
      <c r="J1415" s="53"/>
      <c r="K1415" s="53"/>
      <c r="L1415" s="53"/>
    </row>
    <row r="1416" spans="7:12" x14ac:dyDescent="0.2">
      <c r="G1416" s="53"/>
      <c r="H1416" s="53"/>
      <c r="I1416" s="53"/>
      <c r="J1416" s="53"/>
      <c r="K1416" s="53"/>
      <c r="L1416" s="53"/>
    </row>
    <row r="1417" spans="7:12" x14ac:dyDescent="0.2">
      <c r="G1417" s="53"/>
      <c r="H1417" s="53"/>
      <c r="I1417" s="53"/>
      <c r="J1417" s="53"/>
      <c r="K1417" s="53"/>
      <c r="L1417" s="53"/>
    </row>
    <row r="1418" spans="7:12" x14ac:dyDescent="0.2">
      <c r="G1418" s="53"/>
      <c r="H1418" s="53"/>
      <c r="I1418" s="53"/>
      <c r="J1418" s="53"/>
      <c r="K1418" s="53"/>
      <c r="L1418" s="53"/>
    </row>
    <row r="1419" spans="7:12" x14ac:dyDescent="0.2">
      <c r="G1419" s="53"/>
      <c r="H1419" s="53"/>
      <c r="I1419" s="53"/>
      <c r="J1419" s="53"/>
      <c r="K1419" s="53"/>
      <c r="L1419" s="53"/>
    </row>
    <row r="1420" spans="7:12" x14ac:dyDescent="0.2">
      <c r="G1420" s="53"/>
      <c r="H1420" s="53"/>
      <c r="I1420" s="53"/>
      <c r="J1420" s="53"/>
      <c r="K1420" s="53"/>
      <c r="L1420" s="53"/>
    </row>
    <row r="1421" spans="7:12" x14ac:dyDescent="0.2">
      <c r="G1421" s="53"/>
      <c r="H1421" s="53"/>
      <c r="I1421" s="53"/>
      <c r="J1421" s="53"/>
      <c r="K1421" s="53"/>
      <c r="L1421" s="53"/>
    </row>
    <row r="1422" spans="7:12" x14ac:dyDescent="0.2">
      <c r="G1422" s="53"/>
      <c r="H1422" s="53"/>
      <c r="I1422" s="53"/>
      <c r="J1422" s="53"/>
      <c r="K1422" s="53"/>
      <c r="L1422" s="53"/>
    </row>
    <row r="1423" spans="7:12" x14ac:dyDescent="0.2">
      <c r="G1423" s="53"/>
      <c r="H1423" s="53"/>
      <c r="I1423" s="53"/>
      <c r="J1423" s="53"/>
      <c r="K1423" s="53"/>
      <c r="L1423" s="53"/>
    </row>
    <row r="1424" spans="7:12" x14ac:dyDescent="0.2">
      <c r="G1424" s="53"/>
      <c r="H1424" s="53"/>
      <c r="I1424" s="53"/>
      <c r="J1424" s="53"/>
      <c r="K1424" s="53"/>
      <c r="L1424" s="53"/>
    </row>
    <row r="1425" spans="7:12" x14ac:dyDescent="0.2">
      <c r="G1425" s="53"/>
      <c r="H1425" s="53"/>
      <c r="I1425" s="53"/>
      <c r="J1425" s="53"/>
      <c r="K1425" s="53"/>
      <c r="L1425" s="53"/>
    </row>
    <row r="1426" spans="7:12" x14ac:dyDescent="0.2">
      <c r="G1426" s="53"/>
      <c r="H1426" s="53"/>
      <c r="I1426" s="53"/>
      <c r="J1426" s="53"/>
      <c r="K1426" s="53"/>
      <c r="L1426" s="53"/>
    </row>
    <row r="1427" spans="7:12" x14ac:dyDescent="0.2">
      <c r="G1427" s="53"/>
      <c r="H1427" s="53"/>
      <c r="I1427" s="53"/>
      <c r="J1427" s="53"/>
      <c r="K1427" s="53"/>
      <c r="L1427" s="53"/>
    </row>
    <row r="1428" spans="7:12" x14ac:dyDescent="0.2">
      <c r="G1428" s="53"/>
      <c r="H1428" s="53"/>
      <c r="I1428" s="53"/>
      <c r="J1428" s="53"/>
      <c r="K1428" s="53"/>
      <c r="L1428" s="53"/>
    </row>
    <row r="1429" spans="7:12" x14ac:dyDescent="0.2">
      <c r="G1429" s="53"/>
      <c r="H1429" s="53"/>
      <c r="I1429" s="53"/>
      <c r="J1429" s="53"/>
      <c r="K1429" s="53"/>
      <c r="L1429" s="53"/>
    </row>
    <row r="1430" spans="7:12" x14ac:dyDescent="0.2">
      <c r="G1430" s="53"/>
      <c r="H1430" s="53"/>
      <c r="I1430" s="53"/>
      <c r="J1430" s="53"/>
      <c r="K1430" s="53"/>
      <c r="L1430" s="53"/>
    </row>
    <row r="1431" spans="7:12" x14ac:dyDescent="0.2">
      <c r="G1431" s="53"/>
      <c r="H1431" s="53"/>
      <c r="I1431" s="53"/>
      <c r="J1431" s="53"/>
      <c r="K1431" s="53"/>
      <c r="L1431" s="53"/>
    </row>
    <row r="1432" spans="7:12" x14ac:dyDescent="0.2">
      <c r="G1432" s="53"/>
      <c r="H1432" s="53"/>
      <c r="I1432" s="53"/>
      <c r="J1432" s="53"/>
      <c r="K1432" s="53"/>
      <c r="L1432" s="53"/>
    </row>
    <row r="1433" spans="7:12" x14ac:dyDescent="0.2">
      <c r="G1433" s="53"/>
      <c r="H1433" s="53"/>
      <c r="I1433" s="53"/>
      <c r="J1433" s="53"/>
      <c r="K1433" s="53"/>
      <c r="L1433" s="53"/>
    </row>
    <row r="1434" spans="7:12" x14ac:dyDescent="0.2">
      <c r="G1434" s="53"/>
      <c r="H1434" s="53"/>
      <c r="I1434" s="53"/>
      <c r="J1434" s="53"/>
      <c r="K1434" s="53"/>
      <c r="L1434" s="53"/>
    </row>
    <row r="1435" spans="7:12" x14ac:dyDescent="0.2">
      <c r="G1435" s="53"/>
      <c r="H1435" s="53"/>
      <c r="I1435" s="53"/>
      <c r="J1435" s="53"/>
      <c r="K1435" s="53"/>
      <c r="L1435" s="53"/>
    </row>
    <row r="1436" spans="7:12" x14ac:dyDescent="0.2">
      <c r="G1436" s="53"/>
      <c r="H1436" s="53"/>
      <c r="I1436" s="53"/>
      <c r="J1436" s="53"/>
      <c r="K1436" s="53"/>
      <c r="L1436" s="53"/>
    </row>
    <row r="1437" spans="7:12" x14ac:dyDescent="0.2">
      <c r="G1437" s="53"/>
      <c r="H1437" s="53"/>
      <c r="I1437" s="53"/>
      <c r="J1437" s="53"/>
      <c r="K1437" s="53"/>
      <c r="L1437" s="53"/>
    </row>
    <row r="1438" spans="7:12" x14ac:dyDescent="0.2">
      <c r="G1438" s="53"/>
      <c r="H1438" s="53"/>
      <c r="I1438" s="53"/>
      <c r="J1438" s="53"/>
      <c r="K1438" s="53"/>
      <c r="L1438" s="53"/>
    </row>
    <row r="1439" spans="7:12" x14ac:dyDescent="0.2">
      <c r="G1439" s="53"/>
      <c r="H1439" s="53"/>
      <c r="I1439" s="53"/>
      <c r="J1439" s="53"/>
      <c r="K1439" s="53"/>
      <c r="L1439" s="53"/>
    </row>
    <row r="1440" spans="7:12" x14ac:dyDescent="0.2">
      <c r="G1440" s="53"/>
      <c r="H1440" s="53"/>
      <c r="I1440" s="53"/>
      <c r="J1440" s="53"/>
      <c r="K1440" s="53"/>
      <c r="L1440" s="53"/>
    </row>
    <row r="1441" spans="7:12" x14ac:dyDescent="0.2">
      <c r="G1441" s="53"/>
      <c r="H1441" s="53"/>
      <c r="I1441" s="53"/>
      <c r="J1441" s="53"/>
      <c r="K1441" s="53"/>
      <c r="L1441" s="53"/>
    </row>
    <row r="1442" spans="7:12" x14ac:dyDescent="0.2">
      <c r="G1442" s="53"/>
      <c r="H1442" s="53"/>
      <c r="I1442" s="53"/>
      <c r="J1442" s="53"/>
      <c r="K1442" s="53"/>
      <c r="L1442" s="53"/>
    </row>
    <row r="1443" spans="7:12" x14ac:dyDescent="0.2">
      <c r="G1443" s="53"/>
      <c r="H1443" s="53"/>
      <c r="I1443" s="53"/>
      <c r="J1443" s="53"/>
      <c r="K1443" s="53"/>
      <c r="L1443" s="53"/>
    </row>
    <row r="1444" spans="7:12" x14ac:dyDescent="0.2">
      <c r="G1444" s="53"/>
      <c r="H1444" s="53"/>
      <c r="I1444" s="53"/>
      <c r="J1444" s="53"/>
      <c r="K1444" s="53"/>
      <c r="L1444" s="53"/>
    </row>
    <row r="1445" spans="7:12" x14ac:dyDescent="0.2">
      <c r="G1445" s="53"/>
      <c r="H1445" s="53"/>
      <c r="I1445" s="53"/>
      <c r="J1445" s="53"/>
      <c r="K1445" s="53"/>
      <c r="L1445" s="53"/>
    </row>
    <row r="1446" spans="7:12" x14ac:dyDescent="0.2">
      <c r="G1446" s="53"/>
      <c r="H1446" s="53"/>
      <c r="I1446" s="53"/>
      <c r="J1446" s="53"/>
      <c r="K1446" s="53"/>
      <c r="L1446" s="53"/>
    </row>
    <row r="1447" spans="7:12" x14ac:dyDescent="0.2">
      <c r="G1447" s="53"/>
      <c r="H1447" s="53"/>
      <c r="I1447" s="53"/>
      <c r="J1447" s="53"/>
      <c r="K1447" s="53"/>
      <c r="L1447" s="53"/>
    </row>
    <row r="1448" spans="7:12" x14ac:dyDescent="0.2">
      <c r="G1448" s="53"/>
      <c r="H1448" s="53"/>
      <c r="I1448" s="53"/>
      <c r="J1448" s="53"/>
      <c r="K1448" s="53"/>
      <c r="L1448" s="53"/>
    </row>
    <row r="1449" spans="7:12" x14ac:dyDescent="0.2">
      <c r="G1449" s="53"/>
      <c r="H1449" s="53"/>
      <c r="I1449" s="53"/>
      <c r="J1449" s="53"/>
      <c r="K1449" s="53"/>
      <c r="L1449" s="53"/>
    </row>
    <row r="1450" spans="7:12" x14ac:dyDescent="0.2">
      <c r="G1450" s="53"/>
      <c r="H1450" s="53"/>
      <c r="I1450" s="53"/>
      <c r="J1450" s="53"/>
      <c r="K1450" s="53"/>
      <c r="L1450" s="53"/>
    </row>
    <row r="1451" spans="7:12" x14ac:dyDescent="0.2">
      <c r="G1451" s="53"/>
      <c r="H1451" s="53"/>
      <c r="I1451" s="53"/>
      <c r="J1451" s="53"/>
      <c r="K1451" s="53"/>
      <c r="L1451" s="53"/>
    </row>
    <row r="1452" spans="7:12" x14ac:dyDescent="0.2">
      <c r="G1452" s="53"/>
      <c r="H1452" s="53"/>
      <c r="I1452" s="53"/>
      <c r="J1452" s="53"/>
      <c r="K1452" s="53"/>
      <c r="L1452" s="53"/>
    </row>
    <row r="1453" spans="7:12" x14ac:dyDescent="0.2">
      <c r="G1453" s="53"/>
      <c r="H1453" s="53"/>
      <c r="I1453" s="53"/>
      <c r="J1453" s="53"/>
      <c r="K1453" s="53"/>
      <c r="L1453" s="53"/>
    </row>
    <row r="1454" spans="7:12" x14ac:dyDescent="0.2">
      <c r="G1454" s="53"/>
      <c r="H1454" s="53"/>
      <c r="I1454" s="53"/>
      <c r="J1454" s="53"/>
      <c r="K1454" s="53"/>
      <c r="L1454" s="53"/>
    </row>
    <row r="1455" spans="7:12" x14ac:dyDescent="0.2">
      <c r="G1455" s="53"/>
      <c r="H1455" s="53"/>
      <c r="I1455" s="53"/>
      <c r="J1455" s="53"/>
      <c r="K1455" s="53"/>
      <c r="L1455" s="53"/>
    </row>
    <row r="1456" spans="7:12" x14ac:dyDescent="0.2">
      <c r="G1456" s="53"/>
      <c r="H1456" s="53"/>
      <c r="I1456" s="53"/>
      <c r="J1456" s="53"/>
      <c r="K1456" s="53"/>
      <c r="L1456" s="53"/>
    </row>
    <row r="1457" spans="7:12" x14ac:dyDescent="0.2">
      <c r="G1457" s="53"/>
      <c r="H1457" s="53"/>
      <c r="I1457" s="53"/>
      <c r="J1457" s="53"/>
      <c r="K1457" s="53"/>
      <c r="L1457" s="53"/>
    </row>
    <row r="1458" spans="7:12" x14ac:dyDescent="0.2">
      <c r="G1458" s="53"/>
      <c r="H1458" s="53"/>
      <c r="I1458" s="53"/>
      <c r="J1458" s="53"/>
      <c r="K1458" s="53"/>
      <c r="L1458" s="53"/>
    </row>
    <row r="1459" spans="7:12" x14ac:dyDescent="0.2">
      <c r="G1459" s="53"/>
      <c r="H1459" s="53"/>
      <c r="I1459" s="53"/>
      <c r="J1459" s="53"/>
      <c r="K1459" s="53"/>
      <c r="L1459" s="53"/>
    </row>
    <row r="1460" spans="7:12" x14ac:dyDescent="0.2">
      <c r="G1460" s="53"/>
      <c r="H1460" s="53"/>
      <c r="I1460" s="53"/>
      <c r="J1460" s="53"/>
      <c r="K1460" s="53"/>
      <c r="L1460" s="53"/>
    </row>
    <row r="1461" spans="7:12" x14ac:dyDescent="0.2">
      <c r="G1461" s="53"/>
      <c r="H1461" s="53"/>
      <c r="I1461" s="53"/>
      <c r="J1461" s="53"/>
      <c r="K1461" s="53"/>
      <c r="L1461" s="53"/>
    </row>
    <row r="1462" spans="7:12" x14ac:dyDescent="0.2">
      <c r="G1462" s="53"/>
      <c r="H1462" s="53"/>
      <c r="I1462" s="53"/>
      <c r="J1462" s="53"/>
      <c r="K1462" s="53"/>
      <c r="L1462" s="53"/>
    </row>
    <row r="1463" spans="7:12" x14ac:dyDescent="0.2">
      <c r="G1463" s="53"/>
      <c r="H1463" s="53"/>
      <c r="I1463" s="53"/>
      <c r="J1463" s="53"/>
      <c r="K1463" s="53"/>
      <c r="L1463" s="53"/>
    </row>
    <row r="1464" spans="7:12" x14ac:dyDescent="0.2">
      <c r="G1464" s="53"/>
      <c r="H1464" s="53"/>
      <c r="I1464" s="53"/>
      <c r="J1464" s="53"/>
      <c r="K1464" s="53"/>
      <c r="L1464" s="53"/>
    </row>
    <row r="1465" spans="7:12" x14ac:dyDescent="0.2">
      <c r="G1465" s="53"/>
      <c r="H1465" s="53"/>
      <c r="I1465" s="53"/>
      <c r="J1465" s="53"/>
      <c r="K1465" s="53"/>
      <c r="L1465" s="53"/>
    </row>
    <row r="1466" spans="7:12" x14ac:dyDescent="0.2">
      <c r="G1466" s="53"/>
      <c r="H1466" s="53"/>
      <c r="I1466" s="53"/>
      <c r="J1466" s="53"/>
      <c r="K1466" s="53"/>
      <c r="L1466" s="53"/>
    </row>
    <row r="1467" spans="7:12" x14ac:dyDescent="0.2">
      <c r="G1467" s="53"/>
      <c r="H1467" s="53"/>
      <c r="I1467" s="53"/>
      <c r="J1467" s="53"/>
      <c r="K1467" s="53"/>
      <c r="L1467" s="53"/>
    </row>
    <row r="1468" spans="7:12" x14ac:dyDescent="0.2">
      <c r="G1468" s="53"/>
      <c r="H1468" s="53"/>
      <c r="I1468" s="53"/>
      <c r="J1468" s="53"/>
      <c r="K1468" s="53"/>
      <c r="L1468" s="53"/>
    </row>
    <row r="1469" spans="7:12" x14ac:dyDescent="0.2">
      <c r="G1469" s="53"/>
      <c r="H1469" s="53"/>
      <c r="I1469" s="53"/>
      <c r="J1469" s="53"/>
      <c r="K1469" s="53"/>
      <c r="L1469" s="53"/>
    </row>
    <row r="1470" spans="7:12" x14ac:dyDescent="0.2">
      <c r="G1470" s="53"/>
      <c r="H1470" s="53"/>
      <c r="I1470" s="53"/>
      <c r="J1470" s="53"/>
      <c r="K1470" s="53"/>
      <c r="L1470" s="53"/>
    </row>
    <row r="1471" spans="7:12" x14ac:dyDescent="0.2">
      <c r="G1471" s="53"/>
      <c r="H1471" s="53"/>
      <c r="I1471" s="53"/>
      <c r="J1471" s="53"/>
      <c r="K1471" s="53"/>
      <c r="L1471" s="53"/>
    </row>
    <row r="1472" spans="7:12" x14ac:dyDescent="0.2">
      <c r="G1472" s="53"/>
      <c r="H1472" s="53"/>
      <c r="I1472" s="53"/>
      <c r="J1472" s="53"/>
      <c r="K1472" s="53"/>
      <c r="L1472" s="53"/>
    </row>
    <row r="1473" spans="7:12" x14ac:dyDescent="0.2">
      <c r="G1473" s="53"/>
      <c r="H1473" s="53"/>
      <c r="I1473" s="53"/>
      <c r="J1473" s="53"/>
      <c r="K1473" s="53"/>
      <c r="L1473" s="53"/>
    </row>
    <row r="1474" spans="7:12" x14ac:dyDescent="0.2">
      <c r="G1474" s="53"/>
      <c r="H1474" s="53"/>
      <c r="I1474" s="53"/>
      <c r="J1474" s="53"/>
      <c r="K1474" s="53"/>
      <c r="L1474" s="53"/>
    </row>
    <row r="1475" spans="7:12" x14ac:dyDescent="0.2">
      <c r="G1475" s="53"/>
      <c r="H1475" s="53"/>
      <c r="I1475" s="53"/>
      <c r="J1475" s="53"/>
      <c r="K1475" s="53"/>
      <c r="L1475" s="53"/>
    </row>
    <row r="1476" spans="7:12" x14ac:dyDescent="0.2">
      <c r="G1476" s="53"/>
      <c r="H1476" s="53"/>
      <c r="I1476" s="53"/>
      <c r="J1476" s="53"/>
      <c r="K1476" s="53"/>
      <c r="L1476" s="53"/>
    </row>
    <row r="1477" spans="7:12" x14ac:dyDescent="0.2">
      <c r="G1477" s="53"/>
      <c r="H1477" s="53"/>
      <c r="I1477" s="53"/>
      <c r="J1477" s="53"/>
      <c r="K1477" s="53"/>
      <c r="L1477" s="53"/>
    </row>
    <row r="1478" spans="7:12" x14ac:dyDescent="0.2">
      <c r="G1478" s="53"/>
      <c r="H1478" s="53"/>
      <c r="I1478" s="53"/>
      <c r="J1478" s="53"/>
      <c r="K1478" s="53"/>
      <c r="L1478" s="53"/>
    </row>
    <row r="1479" spans="7:12" x14ac:dyDescent="0.2">
      <c r="G1479" s="53"/>
      <c r="H1479" s="53"/>
      <c r="I1479" s="53"/>
      <c r="J1479" s="53"/>
      <c r="K1479" s="53"/>
      <c r="L1479" s="53"/>
    </row>
    <row r="1480" spans="7:12" x14ac:dyDescent="0.2">
      <c r="G1480" s="53"/>
      <c r="H1480" s="53"/>
      <c r="I1480" s="53"/>
      <c r="J1480" s="53"/>
      <c r="K1480" s="53"/>
      <c r="L1480" s="53"/>
    </row>
    <row r="1481" spans="7:12" x14ac:dyDescent="0.2">
      <c r="G1481" s="53"/>
      <c r="H1481" s="53"/>
      <c r="I1481" s="53"/>
      <c r="J1481" s="53"/>
      <c r="K1481" s="53"/>
      <c r="L1481" s="53"/>
    </row>
    <row r="1482" spans="7:12" x14ac:dyDescent="0.2">
      <c r="G1482" s="53"/>
      <c r="H1482" s="53"/>
      <c r="I1482" s="53"/>
      <c r="J1482" s="53"/>
      <c r="K1482" s="53"/>
      <c r="L1482" s="53"/>
    </row>
    <row r="1483" spans="7:12" x14ac:dyDescent="0.2">
      <c r="G1483" s="53"/>
      <c r="H1483" s="53"/>
      <c r="I1483" s="53"/>
      <c r="J1483" s="53"/>
      <c r="K1483" s="53"/>
      <c r="L1483" s="53"/>
    </row>
    <row r="1484" spans="7:12" x14ac:dyDescent="0.2">
      <c r="G1484" s="53"/>
      <c r="H1484" s="53"/>
      <c r="I1484" s="53"/>
      <c r="J1484" s="53"/>
      <c r="K1484" s="53"/>
      <c r="L1484" s="53"/>
    </row>
    <row r="1485" spans="7:12" x14ac:dyDescent="0.2">
      <c r="G1485" s="53"/>
      <c r="H1485" s="53"/>
      <c r="I1485" s="53"/>
      <c r="J1485" s="53"/>
      <c r="K1485" s="53"/>
      <c r="L1485" s="53"/>
    </row>
    <row r="1486" spans="7:12" x14ac:dyDescent="0.2">
      <c r="G1486" s="53"/>
      <c r="H1486" s="53"/>
      <c r="I1486" s="53"/>
      <c r="J1486" s="53"/>
      <c r="K1486" s="53"/>
      <c r="L1486" s="53"/>
    </row>
    <row r="1487" spans="7:12" x14ac:dyDescent="0.2">
      <c r="G1487" s="53"/>
      <c r="H1487" s="53"/>
      <c r="I1487" s="53"/>
      <c r="J1487" s="53"/>
      <c r="K1487" s="53"/>
      <c r="L1487" s="53"/>
    </row>
    <row r="1488" spans="7:12" x14ac:dyDescent="0.2">
      <c r="G1488" s="53"/>
      <c r="H1488" s="53"/>
      <c r="I1488" s="53"/>
      <c r="J1488" s="53"/>
      <c r="K1488" s="53"/>
      <c r="L1488" s="53"/>
    </row>
    <row r="1489" spans="7:12" x14ac:dyDescent="0.2">
      <c r="G1489" s="53"/>
      <c r="H1489" s="53"/>
      <c r="I1489" s="53"/>
      <c r="J1489" s="53"/>
      <c r="K1489" s="53"/>
      <c r="L1489" s="53"/>
    </row>
    <row r="1490" spans="7:12" x14ac:dyDescent="0.2">
      <c r="G1490" s="53"/>
      <c r="H1490" s="53"/>
      <c r="I1490" s="53"/>
      <c r="J1490" s="53"/>
      <c r="K1490" s="53"/>
      <c r="L1490" s="53"/>
    </row>
    <row r="1491" spans="7:12" x14ac:dyDescent="0.2">
      <c r="G1491" s="53"/>
      <c r="H1491" s="53"/>
      <c r="I1491" s="53"/>
      <c r="J1491" s="53"/>
      <c r="K1491" s="53"/>
      <c r="L1491" s="53"/>
    </row>
    <row r="1492" spans="7:12" x14ac:dyDescent="0.2">
      <c r="G1492" s="53"/>
      <c r="H1492" s="53"/>
      <c r="I1492" s="53"/>
      <c r="J1492" s="53"/>
      <c r="K1492" s="53"/>
      <c r="L1492" s="53"/>
    </row>
    <row r="1493" spans="7:12" x14ac:dyDescent="0.2">
      <c r="G1493" s="53"/>
      <c r="H1493" s="53"/>
      <c r="I1493" s="53"/>
      <c r="J1493" s="53"/>
      <c r="K1493" s="53"/>
      <c r="L1493" s="53"/>
    </row>
    <row r="1494" spans="7:12" x14ac:dyDescent="0.2">
      <c r="G1494" s="53"/>
      <c r="H1494" s="53"/>
      <c r="I1494" s="53"/>
      <c r="J1494" s="53"/>
      <c r="K1494" s="53"/>
      <c r="L1494" s="53"/>
    </row>
    <row r="1495" spans="7:12" x14ac:dyDescent="0.2">
      <c r="G1495" s="53"/>
      <c r="H1495" s="53"/>
      <c r="I1495" s="53"/>
      <c r="J1495" s="53"/>
      <c r="K1495" s="53"/>
      <c r="L1495" s="53"/>
    </row>
    <row r="1496" spans="7:12" x14ac:dyDescent="0.2">
      <c r="G1496" s="53"/>
      <c r="H1496" s="53"/>
      <c r="I1496" s="53"/>
      <c r="J1496" s="53"/>
      <c r="K1496" s="53"/>
      <c r="L1496" s="53"/>
    </row>
    <row r="1497" spans="7:12" x14ac:dyDescent="0.2">
      <c r="G1497" s="53"/>
      <c r="H1497" s="53"/>
      <c r="I1497" s="53"/>
      <c r="J1497" s="53"/>
      <c r="K1497" s="53"/>
      <c r="L1497" s="53"/>
    </row>
    <row r="1498" spans="7:12" x14ac:dyDescent="0.2">
      <c r="G1498" s="53"/>
      <c r="H1498" s="53"/>
      <c r="I1498" s="53"/>
      <c r="J1498" s="53"/>
      <c r="K1498" s="53"/>
      <c r="L1498" s="53"/>
    </row>
    <row r="1499" spans="7:12" x14ac:dyDescent="0.2">
      <c r="G1499" s="53"/>
      <c r="H1499" s="53"/>
      <c r="I1499" s="53"/>
      <c r="J1499" s="53"/>
      <c r="K1499" s="53"/>
      <c r="L1499" s="53"/>
    </row>
    <row r="1500" spans="7:12" x14ac:dyDescent="0.2">
      <c r="G1500" s="53"/>
      <c r="H1500" s="53"/>
      <c r="I1500" s="53"/>
      <c r="J1500" s="53"/>
      <c r="K1500" s="53"/>
      <c r="L1500" s="53"/>
    </row>
    <row r="1501" spans="7:12" x14ac:dyDescent="0.2">
      <c r="G1501" s="53"/>
      <c r="H1501" s="53"/>
      <c r="I1501" s="53"/>
      <c r="J1501" s="53"/>
      <c r="K1501" s="53"/>
      <c r="L1501" s="53"/>
    </row>
    <row r="1502" spans="7:12" x14ac:dyDescent="0.2">
      <c r="G1502" s="53"/>
      <c r="H1502" s="53"/>
      <c r="I1502" s="53"/>
      <c r="J1502" s="53"/>
      <c r="K1502" s="53"/>
      <c r="L1502" s="53"/>
    </row>
    <row r="1503" spans="7:12" x14ac:dyDescent="0.2">
      <c r="G1503" s="53"/>
      <c r="H1503" s="53"/>
      <c r="I1503" s="53"/>
      <c r="J1503" s="53"/>
      <c r="K1503" s="53"/>
      <c r="L1503" s="53"/>
    </row>
    <row r="1504" spans="7:12" x14ac:dyDescent="0.2">
      <c r="G1504" s="53"/>
      <c r="H1504" s="53"/>
      <c r="I1504" s="53"/>
      <c r="J1504" s="53"/>
      <c r="K1504" s="53"/>
      <c r="L1504" s="53"/>
    </row>
    <row r="1505" spans="7:12" x14ac:dyDescent="0.2">
      <c r="G1505" s="53"/>
      <c r="H1505" s="53"/>
      <c r="I1505" s="53"/>
      <c r="J1505" s="53"/>
      <c r="K1505" s="53"/>
      <c r="L1505" s="53"/>
    </row>
    <row r="1506" spans="7:12" x14ac:dyDescent="0.2">
      <c r="G1506" s="53"/>
      <c r="H1506" s="53"/>
      <c r="I1506" s="53"/>
      <c r="J1506" s="53"/>
      <c r="K1506" s="53"/>
      <c r="L1506" s="53"/>
    </row>
    <row r="1507" spans="7:12" x14ac:dyDescent="0.2">
      <c r="G1507" s="53"/>
      <c r="H1507" s="53"/>
      <c r="I1507" s="53"/>
      <c r="J1507" s="53"/>
      <c r="K1507" s="53"/>
      <c r="L1507" s="53"/>
    </row>
    <row r="1508" spans="7:12" x14ac:dyDescent="0.2">
      <c r="G1508" s="53"/>
      <c r="H1508" s="53"/>
      <c r="I1508" s="53"/>
      <c r="J1508" s="53"/>
      <c r="K1508" s="53"/>
      <c r="L1508" s="53"/>
    </row>
    <row r="1509" spans="7:12" x14ac:dyDescent="0.2">
      <c r="G1509" s="53"/>
      <c r="H1509" s="53"/>
      <c r="I1509" s="53"/>
      <c r="J1509" s="53"/>
      <c r="K1509" s="53"/>
      <c r="L1509" s="53"/>
    </row>
    <row r="1510" spans="7:12" x14ac:dyDescent="0.2">
      <c r="G1510" s="53"/>
      <c r="H1510" s="53"/>
      <c r="I1510" s="53"/>
      <c r="J1510" s="53"/>
      <c r="K1510" s="53"/>
      <c r="L1510" s="53"/>
    </row>
    <row r="1511" spans="7:12" x14ac:dyDescent="0.2">
      <c r="G1511" s="53"/>
      <c r="H1511" s="53"/>
      <c r="I1511" s="53"/>
      <c r="J1511" s="53"/>
      <c r="K1511" s="53"/>
      <c r="L1511" s="53"/>
    </row>
    <row r="1512" spans="7:12" x14ac:dyDescent="0.2">
      <c r="G1512" s="53"/>
      <c r="H1512" s="53"/>
      <c r="I1512" s="53"/>
      <c r="J1512" s="53"/>
      <c r="K1512" s="53"/>
      <c r="L1512" s="53"/>
    </row>
    <row r="1513" spans="7:12" x14ac:dyDescent="0.2">
      <c r="G1513" s="53"/>
      <c r="H1513" s="53"/>
      <c r="I1513" s="53"/>
      <c r="J1513" s="53"/>
      <c r="K1513" s="53"/>
      <c r="L1513" s="53"/>
    </row>
    <row r="1514" spans="7:12" x14ac:dyDescent="0.2">
      <c r="G1514" s="53"/>
      <c r="H1514" s="53"/>
      <c r="I1514" s="53"/>
      <c r="J1514" s="53"/>
      <c r="K1514" s="53"/>
      <c r="L1514" s="53"/>
    </row>
    <row r="1515" spans="7:12" x14ac:dyDescent="0.2">
      <c r="G1515" s="53"/>
      <c r="H1515" s="53"/>
      <c r="I1515" s="53"/>
      <c r="J1515" s="53"/>
      <c r="K1515" s="53"/>
      <c r="L1515" s="53"/>
    </row>
    <row r="1516" spans="7:12" x14ac:dyDescent="0.2">
      <c r="G1516" s="53"/>
      <c r="H1516" s="53"/>
      <c r="I1516" s="53"/>
      <c r="J1516" s="53"/>
      <c r="K1516" s="53"/>
      <c r="L1516" s="53"/>
    </row>
    <row r="1517" spans="7:12" x14ac:dyDescent="0.2">
      <c r="G1517" s="53"/>
      <c r="H1517" s="53"/>
      <c r="I1517" s="53"/>
      <c r="J1517" s="53"/>
      <c r="K1517" s="53"/>
      <c r="L1517" s="53"/>
    </row>
    <row r="1518" spans="7:12" x14ac:dyDescent="0.2">
      <c r="G1518" s="53"/>
      <c r="H1518" s="53"/>
      <c r="I1518" s="53"/>
      <c r="J1518" s="53"/>
      <c r="K1518" s="53"/>
      <c r="L1518" s="53"/>
    </row>
    <row r="1519" spans="7:12" x14ac:dyDescent="0.2">
      <c r="G1519" s="53"/>
      <c r="H1519" s="53"/>
      <c r="I1519" s="53"/>
      <c r="J1519" s="53"/>
      <c r="K1519" s="53"/>
      <c r="L1519" s="53"/>
    </row>
    <row r="1520" spans="7:12" x14ac:dyDescent="0.2">
      <c r="G1520" s="53"/>
      <c r="H1520" s="53"/>
      <c r="I1520" s="53"/>
      <c r="J1520" s="53"/>
      <c r="K1520" s="53"/>
      <c r="L1520" s="53"/>
    </row>
    <row r="1521" spans="7:12" x14ac:dyDescent="0.2">
      <c r="G1521" s="53"/>
      <c r="H1521" s="53"/>
      <c r="I1521" s="53"/>
      <c r="J1521" s="53"/>
      <c r="K1521" s="53"/>
      <c r="L1521" s="53"/>
    </row>
    <row r="1522" spans="7:12" x14ac:dyDescent="0.2">
      <c r="G1522" s="53"/>
      <c r="H1522" s="53"/>
      <c r="I1522" s="53"/>
      <c r="J1522" s="53"/>
      <c r="K1522" s="53"/>
      <c r="L1522" s="53"/>
    </row>
    <row r="1523" spans="7:12" x14ac:dyDescent="0.2">
      <c r="G1523" s="53"/>
      <c r="H1523" s="53"/>
      <c r="I1523" s="53"/>
      <c r="J1523" s="53"/>
      <c r="K1523" s="53"/>
      <c r="L1523" s="53"/>
    </row>
    <row r="1524" spans="7:12" x14ac:dyDescent="0.2">
      <c r="G1524" s="53"/>
      <c r="H1524" s="53"/>
      <c r="I1524" s="53"/>
      <c r="J1524" s="53"/>
      <c r="K1524" s="53"/>
      <c r="L1524" s="53"/>
    </row>
    <row r="1525" spans="7:12" x14ac:dyDescent="0.2">
      <c r="G1525" s="53"/>
      <c r="H1525" s="53"/>
      <c r="I1525" s="53"/>
      <c r="J1525" s="53"/>
      <c r="K1525" s="53"/>
      <c r="L1525" s="53"/>
    </row>
    <row r="1526" spans="7:12" x14ac:dyDescent="0.2">
      <c r="G1526" s="53"/>
      <c r="H1526" s="53"/>
      <c r="I1526" s="53"/>
      <c r="J1526" s="53"/>
      <c r="K1526" s="53"/>
      <c r="L1526" s="53"/>
    </row>
    <row r="1527" spans="7:12" x14ac:dyDescent="0.2">
      <c r="G1527" s="53"/>
      <c r="H1527" s="53"/>
      <c r="I1527" s="53"/>
      <c r="J1527" s="53"/>
      <c r="K1527" s="53"/>
      <c r="L1527" s="53"/>
    </row>
    <row r="1528" spans="7:12" x14ac:dyDescent="0.2">
      <c r="G1528" s="53"/>
      <c r="H1528" s="53"/>
      <c r="I1528" s="53"/>
      <c r="J1528" s="53"/>
      <c r="K1528" s="53"/>
      <c r="L1528" s="53"/>
    </row>
    <row r="1529" spans="7:12" x14ac:dyDescent="0.2">
      <c r="G1529" s="53"/>
      <c r="H1529" s="53"/>
      <c r="I1529" s="53"/>
      <c r="J1529" s="53"/>
      <c r="K1529" s="53"/>
      <c r="L1529" s="53"/>
    </row>
    <row r="1530" spans="7:12" x14ac:dyDescent="0.2">
      <c r="G1530" s="53"/>
      <c r="H1530" s="53"/>
      <c r="I1530" s="53"/>
      <c r="J1530" s="53"/>
      <c r="K1530" s="53"/>
      <c r="L1530" s="53"/>
    </row>
    <row r="1531" spans="7:12" x14ac:dyDescent="0.2">
      <c r="G1531" s="53"/>
      <c r="H1531" s="53"/>
      <c r="I1531" s="53"/>
      <c r="J1531" s="53"/>
      <c r="K1531" s="53"/>
      <c r="L1531" s="53"/>
    </row>
    <row r="1532" spans="7:12" x14ac:dyDescent="0.2">
      <c r="G1532" s="53"/>
      <c r="H1532" s="53"/>
      <c r="I1532" s="53"/>
      <c r="J1532" s="53"/>
      <c r="K1532" s="53"/>
      <c r="L1532" s="53"/>
    </row>
    <row r="1533" spans="7:12" x14ac:dyDescent="0.2">
      <c r="G1533" s="53"/>
      <c r="H1533" s="53"/>
      <c r="I1533" s="53"/>
      <c r="J1533" s="53"/>
      <c r="K1533" s="53"/>
      <c r="L1533" s="53"/>
    </row>
    <row r="1534" spans="7:12" x14ac:dyDescent="0.2">
      <c r="G1534" s="53"/>
      <c r="H1534" s="53"/>
      <c r="I1534" s="53"/>
      <c r="J1534" s="53"/>
      <c r="K1534" s="53"/>
      <c r="L1534" s="53"/>
    </row>
    <row r="1535" spans="7:12" x14ac:dyDescent="0.2">
      <c r="G1535" s="53"/>
      <c r="H1535" s="53"/>
      <c r="I1535" s="53"/>
      <c r="J1535" s="53"/>
      <c r="K1535" s="53"/>
      <c r="L1535" s="53"/>
    </row>
    <row r="1536" spans="7:12" x14ac:dyDescent="0.2">
      <c r="G1536" s="53"/>
      <c r="H1536" s="53"/>
      <c r="I1536" s="53"/>
      <c r="J1536" s="53"/>
      <c r="K1536" s="53"/>
      <c r="L1536" s="53"/>
    </row>
    <row r="1537" spans="7:12" x14ac:dyDescent="0.2">
      <c r="G1537" s="53"/>
      <c r="H1537" s="53"/>
      <c r="I1537" s="53"/>
      <c r="J1537" s="53"/>
      <c r="K1537" s="53"/>
      <c r="L1537" s="53"/>
    </row>
    <row r="1538" spans="7:12" x14ac:dyDescent="0.2">
      <c r="G1538" s="53"/>
      <c r="H1538" s="53"/>
      <c r="I1538" s="53"/>
      <c r="J1538" s="53"/>
      <c r="K1538" s="53"/>
      <c r="L1538" s="53"/>
    </row>
    <row r="1539" spans="7:12" x14ac:dyDescent="0.2">
      <c r="G1539" s="53"/>
      <c r="H1539" s="53"/>
      <c r="I1539" s="53"/>
      <c r="J1539" s="53"/>
      <c r="K1539" s="53"/>
      <c r="L1539" s="53"/>
    </row>
    <row r="1540" spans="7:12" x14ac:dyDescent="0.2">
      <c r="G1540" s="53"/>
      <c r="H1540" s="53"/>
      <c r="I1540" s="53"/>
      <c r="J1540" s="53"/>
      <c r="K1540" s="53"/>
      <c r="L1540" s="53"/>
    </row>
    <row r="1541" spans="7:12" x14ac:dyDescent="0.2">
      <c r="G1541" s="53"/>
      <c r="H1541" s="53"/>
      <c r="I1541" s="53"/>
      <c r="J1541" s="53"/>
      <c r="K1541" s="53"/>
      <c r="L1541" s="53"/>
    </row>
    <row r="1542" spans="7:12" x14ac:dyDescent="0.2">
      <c r="G1542" s="53"/>
      <c r="H1542" s="53"/>
      <c r="I1542" s="53"/>
      <c r="J1542" s="53"/>
      <c r="K1542" s="53"/>
      <c r="L1542" s="53"/>
    </row>
    <row r="1543" spans="7:12" x14ac:dyDescent="0.2">
      <c r="G1543" s="53"/>
      <c r="H1543" s="53"/>
      <c r="I1543" s="53"/>
      <c r="J1543" s="53"/>
      <c r="K1543" s="53"/>
      <c r="L1543" s="53"/>
    </row>
    <row r="1544" spans="7:12" x14ac:dyDescent="0.2">
      <c r="G1544" s="53"/>
      <c r="H1544" s="53"/>
      <c r="I1544" s="53"/>
      <c r="J1544" s="53"/>
      <c r="K1544" s="53"/>
      <c r="L1544" s="53"/>
    </row>
    <row r="1545" spans="7:12" x14ac:dyDescent="0.2">
      <c r="G1545" s="53"/>
      <c r="H1545" s="53"/>
      <c r="I1545" s="53"/>
      <c r="J1545" s="53"/>
      <c r="K1545" s="53"/>
      <c r="L1545" s="53"/>
    </row>
    <row r="1546" spans="7:12" x14ac:dyDescent="0.2">
      <c r="G1546" s="53"/>
      <c r="H1546" s="53"/>
      <c r="I1546" s="53"/>
      <c r="J1546" s="53"/>
      <c r="K1546" s="53"/>
      <c r="L1546" s="53"/>
    </row>
    <row r="1547" spans="7:12" x14ac:dyDescent="0.2">
      <c r="G1547" s="53"/>
      <c r="H1547" s="53"/>
      <c r="I1547" s="53"/>
      <c r="J1547" s="53"/>
      <c r="K1547" s="53"/>
      <c r="L1547" s="53"/>
    </row>
    <row r="1548" spans="7:12" x14ac:dyDescent="0.2">
      <c r="G1548" s="53"/>
      <c r="H1548" s="53"/>
      <c r="I1548" s="53"/>
      <c r="J1548" s="53"/>
      <c r="K1548" s="53"/>
      <c r="L1548" s="53"/>
    </row>
    <row r="1549" spans="7:12" x14ac:dyDescent="0.2">
      <c r="G1549" s="53"/>
      <c r="H1549" s="53"/>
      <c r="I1549" s="53"/>
      <c r="J1549" s="53"/>
      <c r="K1549" s="53"/>
      <c r="L1549" s="53"/>
    </row>
    <row r="1550" spans="7:12" x14ac:dyDescent="0.2">
      <c r="G1550" s="53"/>
      <c r="H1550" s="53"/>
      <c r="I1550" s="53"/>
      <c r="J1550" s="53"/>
      <c r="K1550" s="53"/>
      <c r="L1550" s="53"/>
    </row>
    <row r="1551" spans="7:12" x14ac:dyDescent="0.2">
      <c r="G1551" s="53"/>
      <c r="H1551" s="53"/>
      <c r="I1551" s="53"/>
      <c r="J1551" s="53"/>
      <c r="K1551" s="53"/>
      <c r="L1551" s="53"/>
    </row>
    <row r="1552" spans="7:12" x14ac:dyDescent="0.2">
      <c r="G1552" s="53"/>
      <c r="H1552" s="53"/>
      <c r="I1552" s="53"/>
      <c r="J1552" s="53"/>
      <c r="K1552" s="53"/>
      <c r="L1552" s="53"/>
    </row>
    <row r="1553" spans="7:12" x14ac:dyDescent="0.2">
      <c r="G1553" s="53"/>
      <c r="H1553" s="53"/>
      <c r="I1553" s="53"/>
      <c r="J1553" s="53"/>
      <c r="K1553" s="53"/>
      <c r="L1553" s="53"/>
    </row>
    <row r="1554" spans="7:12" x14ac:dyDescent="0.2">
      <c r="G1554" s="53"/>
      <c r="H1554" s="53"/>
      <c r="I1554" s="53"/>
      <c r="J1554" s="53"/>
      <c r="K1554" s="53"/>
      <c r="L1554" s="53"/>
    </row>
    <row r="1555" spans="7:12" x14ac:dyDescent="0.2">
      <c r="G1555" s="53"/>
      <c r="H1555" s="53"/>
      <c r="I1555" s="53"/>
      <c r="J1555" s="53"/>
      <c r="K1555" s="53"/>
      <c r="L1555" s="53"/>
    </row>
    <row r="1556" spans="7:12" x14ac:dyDescent="0.2">
      <c r="G1556" s="53"/>
      <c r="H1556" s="53"/>
      <c r="I1556" s="53"/>
      <c r="J1556" s="53"/>
      <c r="K1556" s="53"/>
      <c r="L1556" s="53"/>
    </row>
    <row r="1557" spans="7:12" x14ac:dyDescent="0.2">
      <c r="G1557" s="53"/>
      <c r="H1557" s="53"/>
      <c r="I1557" s="53"/>
      <c r="J1557" s="53"/>
      <c r="K1557" s="53"/>
      <c r="L1557" s="53"/>
    </row>
    <row r="1558" spans="7:12" x14ac:dyDescent="0.2">
      <c r="G1558" s="53"/>
      <c r="H1558" s="53"/>
      <c r="I1558" s="53"/>
      <c r="J1558" s="53"/>
      <c r="K1558" s="53"/>
      <c r="L1558" s="53"/>
    </row>
    <row r="1559" spans="7:12" x14ac:dyDescent="0.2">
      <c r="G1559" s="53"/>
      <c r="H1559" s="53"/>
      <c r="I1559" s="53"/>
      <c r="J1559" s="53"/>
      <c r="K1559" s="53"/>
      <c r="L1559" s="53"/>
    </row>
    <row r="1560" spans="7:12" x14ac:dyDescent="0.2">
      <c r="G1560" s="53"/>
      <c r="H1560" s="53"/>
      <c r="I1560" s="53"/>
      <c r="J1560" s="53"/>
      <c r="K1560" s="53"/>
      <c r="L1560" s="53"/>
    </row>
    <row r="1561" spans="7:12" x14ac:dyDescent="0.2">
      <c r="G1561" s="53"/>
      <c r="H1561" s="53"/>
      <c r="I1561" s="53"/>
      <c r="J1561" s="53"/>
      <c r="K1561" s="53"/>
      <c r="L1561" s="53"/>
    </row>
    <row r="1562" spans="7:12" x14ac:dyDescent="0.2">
      <c r="G1562" s="53"/>
      <c r="H1562" s="53"/>
      <c r="I1562" s="53"/>
      <c r="J1562" s="53"/>
      <c r="K1562" s="53"/>
      <c r="L1562" s="53"/>
    </row>
    <row r="1563" spans="7:12" x14ac:dyDescent="0.2">
      <c r="G1563" s="53"/>
      <c r="H1563" s="53"/>
      <c r="I1563" s="53"/>
      <c r="J1563" s="53"/>
      <c r="K1563" s="53"/>
      <c r="L1563" s="53"/>
    </row>
    <row r="1564" spans="7:12" x14ac:dyDescent="0.2">
      <c r="G1564" s="53"/>
      <c r="H1564" s="53"/>
      <c r="I1564" s="53"/>
      <c r="J1564" s="53"/>
      <c r="K1564" s="53"/>
      <c r="L1564" s="53"/>
    </row>
    <row r="1565" spans="7:12" x14ac:dyDescent="0.2">
      <c r="G1565" s="53"/>
      <c r="H1565" s="53"/>
      <c r="I1565" s="53"/>
      <c r="J1565" s="53"/>
      <c r="K1565" s="53"/>
      <c r="L1565" s="53"/>
    </row>
    <row r="1566" spans="7:12" x14ac:dyDescent="0.2">
      <c r="G1566" s="53"/>
      <c r="H1566" s="53"/>
      <c r="I1566" s="53"/>
      <c r="J1566" s="53"/>
      <c r="K1566" s="53"/>
      <c r="L1566" s="53"/>
    </row>
    <row r="1567" spans="7:12" x14ac:dyDescent="0.2">
      <c r="G1567" s="53"/>
      <c r="H1567" s="53"/>
      <c r="I1567" s="53"/>
      <c r="J1567" s="53"/>
      <c r="K1567" s="53"/>
      <c r="L1567" s="53"/>
    </row>
    <row r="1568" spans="7:12" x14ac:dyDescent="0.2">
      <c r="G1568" s="53"/>
      <c r="H1568" s="53"/>
      <c r="I1568" s="53"/>
      <c r="J1568" s="53"/>
      <c r="K1568" s="53"/>
      <c r="L1568" s="53"/>
    </row>
    <row r="1569" spans="7:12" x14ac:dyDescent="0.2">
      <c r="G1569" s="53"/>
      <c r="H1569" s="53"/>
      <c r="I1569" s="53"/>
      <c r="J1569" s="53"/>
      <c r="K1569" s="53"/>
      <c r="L1569" s="53"/>
    </row>
    <row r="1570" spans="7:12" x14ac:dyDescent="0.2">
      <c r="G1570" s="53"/>
      <c r="H1570" s="53"/>
      <c r="I1570" s="53"/>
      <c r="J1570" s="53"/>
      <c r="K1570" s="53"/>
      <c r="L1570" s="53"/>
    </row>
    <row r="1571" spans="7:12" x14ac:dyDescent="0.2">
      <c r="G1571" s="53"/>
      <c r="H1571" s="53"/>
      <c r="I1571" s="53"/>
      <c r="J1571" s="53"/>
      <c r="K1571" s="53"/>
      <c r="L1571" s="53"/>
    </row>
    <row r="1572" spans="7:12" x14ac:dyDescent="0.2">
      <c r="G1572" s="53"/>
      <c r="H1572" s="53"/>
      <c r="I1572" s="53"/>
      <c r="J1572" s="53"/>
      <c r="K1572" s="53"/>
      <c r="L1572" s="53"/>
    </row>
    <row r="1573" spans="7:12" x14ac:dyDescent="0.2">
      <c r="G1573" s="53"/>
      <c r="H1573" s="53"/>
      <c r="I1573" s="53"/>
      <c r="J1573" s="53"/>
      <c r="K1573" s="53"/>
      <c r="L1573" s="53"/>
    </row>
    <row r="1574" spans="7:12" x14ac:dyDescent="0.2">
      <c r="G1574" s="53"/>
      <c r="H1574" s="53"/>
      <c r="I1574" s="53"/>
      <c r="J1574" s="53"/>
      <c r="K1574" s="53"/>
      <c r="L1574" s="53"/>
    </row>
    <row r="1575" spans="7:12" x14ac:dyDescent="0.2">
      <c r="G1575" s="53"/>
      <c r="H1575" s="53"/>
      <c r="I1575" s="53"/>
      <c r="J1575" s="53"/>
      <c r="K1575" s="53"/>
      <c r="L1575" s="53"/>
    </row>
    <row r="1576" spans="7:12" x14ac:dyDescent="0.2">
      <c r="G1576" s="53"/>
      <c r="H1576" s="53"/>
      <c r="I1576" s="53"/>
      <c r="J1576" s="53"/>
      <c r="K1576" s="53"/>
      <c r="L1576" s="53"/>
    </row>
    <row r="1577" spans="7:12" x14ac:dyDescent="0.2">
      <c r="G1577" s="53"/>
      <c r="H1577" s="53"/>
      <c r="I1577" s="53"/>
      <c r="J1577" s="53"/>
      <c r="K1577" s="53"/>
      <c r="L1577" s="53"/>
    </row>
    <row r="1578" spans="7:12" x14ac:dyDescent="0.2">
      <c r="G1578" s="53"/>
      <c r="H1578" s="53"/>
      <c r="I1578" s="53"/>
      <c r="J1578" s="53"/>
      <c r="K1578" s="53"/>
      <c r="L1578" s="53"/>
    </row>
    <row r="1579" spans="7:12" x14ac:dyDescent="0.2">
      <c r="G1579" s="53"/>
      <c r="H1579" s="53"/>
      <c r="I1579" s="53"/>
      <c r="J1579" s="53"/>
      <c r="K1579" s="53"/>
      <c r="L1579" s="53"/>
    </row>
    <row r="1580" spans="7:12" x14ac:dyDescent="0.2">
      <c r="G1580" s="53"/>
      <c r="H1580" s="53"/>
      <c r="I1580" s="53"/>
      <c r="J1580" s="53"/>
      <c r="K1580" s="53"/>
      <c r="L1580" s="53"/>
    </row>
    <row r="1581" spans="7:12" x14ac:dyDescent="0.2">
      <c r="G1581" s="53"/>
      <c r="H1581" s="53"/>
      <c r="I1581" s="53"/>
      <c r="J1581" s="53"/>
      <c r="K1581" s="53"/>
      <c r="L1581" s="53"/>
    </row>
    <row r="1582" spans="7:12" x14ac:dyDescent="0.2">
      <c r="G1582" s="53"/>
      <c r="H1582" s="53"/>
      <c r="I1582" s="53"/>
      <c r="J1582" s="53"/>
      <c r="K1582" s="53"/>
      <c r="L1582" s="53"/>
    </row>
    <row r="1583" spans="7:12" x14ac:dyDescent="0.2">
      <c r="G1583" s="53"/>
      <c r="H1583" s="53"/>
      <c r="I1583" s="53"/>
      <c r="J1583" s="53"/>
      <c r="K1583" s="53"/>
      <c r="L1583" s="53"/>
    </row>
    <row r="1584" spans="7:12" x14ac:dyDescent="0.2">
      <c r="G1584" s="53"/>
      <c r="H1584" s="53"/>
      <c r="I1584" s="53"/>
      <c r="J1584" s="53"/>
      <c r="K1584" s="53"/>
      <c r="L1584" s="53"/>
    </row>
    <row r="1585" spans="7:12" x14ac:dyDescent="0.2">
      <c r="G1585" s="53"/>
      <c r="H1585" s="53"/>
      <c r="I1585" s="53"/>
      <c r="J1585" s="53"/>
      <c r="K1585" s="53"/>
      <c r="L1585" s="53"/>
    </row>
    <row r="1586" spans="7:12" x14ac:dyDescent="0.2">
      <c r="G1586" s="53"/>
      <c r="H1586" s="53"/>
      <c r="I1586" s="53"/>
      <c r="J1586" s="53"/>
      <c r="K1586" s="53"/>
      <c r="L1586" s="53"/>
    </row>
    <row r="1587" spans="7:12" x14ac:dyDescent="0.2">
      <c r="G1587" s="53"/>
      <c r="H1587" s="53"/>
      <c r="I1587" s="53"/>
      <c r="J1587" s="53"/>
      <c r="K1587" s="53"/>
      <c r="L1587" s="53"/>
    </row>
    <row r="1588" spans="7:12" x14ac:dyDescent="0.2">
      <c r="G1588" s="53"/>
      <c r="H1588" s="53"/>
      <c r="I1588" s="53"/>
      <c r="J1588" s="53"/>
      <c r="K1588" s="53"/>
      <c r="L1588" s="53"/>
    </row>
    <row r="1589" spans="7:12" x14ac:dyDescent="0.2">
      <c r="G1589" s="53"/>
      <c r="H1589" s="53"/>
      <c r="I1589" s="53"/>
      <c r="J1589" s="53"/>
      <c r="K1589" s="53"/>
      <c r="L1589" s="53"/>
    </row>
    <row r="1590" spans="7:12" x14ac:dyDescent="0.2">
      <c r="G1590" s="53"/>
      <c r="H1590" s="53"/>
      <c r="I1590" s="53"/>
      <c r="J1590" s="53"/>
      <c r="K1590" s="53"/>
      <c r="L1590" s="53"/>
    </row>
    <row r="1591" spans="7:12" x14ac:dyDescent="0.2">
      <c r="G1591" s="53"/>
      <c r="H1591" s="53"/>
      <c r="I1591" s="53"/>
      <c r="J1591" s="53"/>
      <c r="K1591" s="53"/>
      <c r="L1591" s="53"/>
    </row>
    <row r="1592" spans="7:12" x14ac:dyDescent="0.2">
      <c r="G1592" s="53"/>
      <c r="H1592" s="53"/>
      <c r="I1592" s="53"/>
      <c r="J1592" s="53"/>
      <c r="K1592" s="53"/>
      <c r="L1592" s="53"/>
    </row>
    <row r="1593" spans="7:12" x14ac:dyDescent="0.2">
      <c r="G1593" s="53"/>
      <c r="H1593" s="53"/>
      <c r="I1593" s="53"/>
      <c r="J1593" s="53"/>
      <c r="K1593" s="53"/>
      <c r="L1593" s="53"/>
    </row>
    <row r="1594" spans="7:12" x14ac:dyDescent="0.2">
      <c r="G1594" s="53"/>
      <c r="H1594" s="53"/>
      <c r="I1594" s="53"/>
      <c r="J1594" s="53"/>
      <c r="K1594" s="53"/>
      <c r="L1594" s="53"/>
    </row>
    <row r="1595" spans="7:12" x14ac:dyDescent="0.2">
      <c r="G1595" s="53"/>
      <c r="H1595" s="53"/>
      <c r="I1595" s="53"/>
      <c r="J1595" s="53"/>
      <c r="K1595" s="53"/>
      <c r="L1595" s="53"/>
    </row>
    <row r="1596" spans="7:12" x14ac:dyDescent="0.2">
      <c r="G1596" s="53"/>
      <c r="H1596" s="53"/>
      <c r="I1596" s="53"/>
      <c r="J1596" s="53"/>
      <c r="K1596" s="53"/>
      <c r="L1596" s="53"/>
    </row>
    <row r="1597" spans="7:12" x14ac:dyDescent="0.2">
      <c r="G1597" s="53"/>
      <c r="H1597" s="53"/>
      <c r="I1597" s="53"/>
      <c r="J1597" s="53"/>
      <c r="K1597" s="53"/>
      <c r="L1597" s="53"/>
    </row>
    <row r="1598" spans="7:12" x14ac:dyDescent="0.2">
      <c r="G1598" s="53"/>
      <c r="H1598" s="53"/>
      <c r="I1598" s="53"/>
      <c r="J1598" s="53"/>
      <c r="K1598" s="53"/>
      <c r="L1598" s="53"/>
    </row>
    <row r="1599" spans="7:12" x14ac:dyDescent="0.2">
      <c r="G1599" s="53"/>
      <c r="H1599" s="53"/>
      <c r="I1599" s="53"/>
      <c r="J1599" s="53"/>
      <c r="K1599" s="53"/>
      <c r="L1599" s="53"/>
    </row>
    <row r="1600" spans="7:12" x14ac:dyDescent="0.2">
      <c r="G1600" s="53"/>
      <c r="H1600" s="53"/>
      <c r="I1600" s="53"/>
      <c r="J1600" s="53"/>
      <c r="K1600" s="53"/>
      <c r="L1600" s="53"/>
    </row>
    <row r="1601" spans="7:12" x14ac:dyDescent="0.2">
      <c r="G1601" s="53"/>
      <c r="H1601" s="53"/>
      <c r="I1601" s="53"/>
      <c r="J1601" s="53"/>
      <c r="K1601" s="53"/>
      <c r="L1601" s="53"/>
    </row>
    <row r="1602" spans="7:12" x14ac:dyDescent="0.2">
      <c r="G1602" s="53"/>
      <c r="H1602" s="53"/>
      <c r="I1602" s="53"/>
      <c r="J1602" s="53"/>
      <c r="K1602" s="53"/>
      <c r="L1602" s="53"/>
    </row>
    <row r="1603" spans="7:12" x14ac:dyDescent="0.2">
      <c r="G1603" s="53"/>
      <c r="H1603" s="53"/>
      <c r="I1603" s="53"/>
      <c r="J1603" s="53"/>
      <c r="K1603" s="53"/>
      <c r="L1603" s="53"/>
    </row>
    <row r="1604" spans="7:12" x14ac:dyDescent="0.2">
      <c r="G1604" s="53"/>
      <c r="H1604" s="53"/>
      <c r="I1604" s="53"/>
      <c r="J1604" s="53"/>
      <c r="K1604" s="53"/>
      <c r="L1604" s="53"/>
    </row>
    <row r="1605" spans="7:12" x14ac:dyDescent="0.2">
      <c r="G1605" s="53"/>
      <c r="H1605" s="53"/>
      <c r="I1605" s="53"/>
      <c r="J1605" s="53"/>
      <c r="K1605" s="53"/>
      <c r="L1605" s="53"/>
    </row>
    <row r="1606" spans="7:12" x14ac:dyDescent="0.2">
      <c r="G1606" s="53"/>
      <c r="H1606" s="53"/>
      <c r="I1606" s="53"/>
      <c r="J1606" s="53"/>
      <c r="K1606" s="53"/>
      <c r="L1606" s="53"/>
    </row>
    <row r="1607" spans="7:12" x14ac:dyDescent="0.2">
      <c r="G1607" s="53"/>
      <c r="H1607" s="53"/>
      <c r="I1607" s="53"/>
      <c r="J1607" s="53"/>
      <c r="K1607" s="53"/>
      <c r="L1607" s="53"/>
    </row>
    <row r="1608" spans="7:12" x14ac:dyDescent="0.2">
      <c r="G1608" s="53"/>
      <c r="H1608" s="53"/>
      <c r="I1608" s="53"/>
      <c r="J1608" s="53"/>
      <c r="K1608" s="53"/>
      <c r="L1608" s="53"/>
    </row>
    <row r="1609" spans="7:12" x14ac:dyDescent="0.2">
      <c r="G1609" s="53"/>
      <c r="H1609" s="53"/>
      <c r="I1609" s="53"/>
      <c r="J1609" s="53"/>
      <c r="K1609" s="53"/>
      <c r="L1609" s="53"/>
    </row>
    <row r="1610" spans="7:12" x14ac:dyDescent="0.2">
      <c r="G1610" s="53"/>
      <c r="H1610" s="53"/>
      <c r="I1610" s="53"/>
      <c r="J1610" s="53"/>
      <c r="K1610" s="53"/>
      <c r="L1610" s="53"/>
    </row>
    <row r="1611" spans="7:12" x14ac:dyDescent="0.2">
      <c r="G1611" s="53"/>
      <c r="H1611" s="53"/>
      <c r="I1611" s="53"/>
      <c r="J1611" s="53"/>
      <c r="K1611" s="53"/>
      <c r="L1611" s="53"/>
    </row>
    <row r="1612" spans="7:12" x14ac:dyDescent="0.2">
      <c r="G1612" s="53"/>
      <c r="H1612" s="53"/>
      <c r="I1612" s="53"/>
      <c r="J1612" s="53"/>
      <c r="K1612" s="53"/>
      <c r="L1612" s="53"/>
    </row>
    <row r="1613" spans="7:12" x14ac:dyDescent="0.2">
      <c r="G1613" s="53"/>
      <c r="H1613" s="53"/>
      <c r="I1613" s="53"/>
      <c r="J1613" s="53"/>
      <c r="K1613" s="53"/>
      <c r="L1613" s="53"/>
    </row>
    <row r="1614" spans="7:12" x14ac:dyDescent="0.2">
      <c r="G1614" s="53"/>
      <c r="H1614" s="53"/>
      <c r="I1614" s="53"/>
      <c r="J1614" s="53"/>
      <c r="K1614" s="53"/>
      <c r="L1614" s="53"/>
    </row>
    <row r="1615" spans="7:12" x14ac:dyDescent="0.2">
      <c r="G1615" s="53"/>
      <c r="H1615" s="53"/>
      <c r="I1615" s="53"/>
      <c r="J1615" s="53"/>
      <c r="K1615" s="53"/>
      <c r="L1615" s="53"/>
    </row>
    <row r="1616" spans="7:12" x14ac:dyDescent="0.2">
      <c r="G1616" s="53"/>
      <c r="H1616" s="53"/>
      <c r="I1616" s="53"/>
      <c r="J1616" s="53"/>
      <c r="K1616" s="53"/>
      <c r="L1616" s="53"/>
    </row>
    <row r="1617" spans="7:12" x14ac:dyDescent="0.2">
      <c r="G1617" s="53"/>
      <c r="H1617" s="53"/>
      <c r="I1617" s="53"/>
      <c r="J1617" s="53"/>
      <c r="K1617" s="53"/>
      <c r="L1617" s="53"/>
    </row>
    <row r="1618" spans="7:12" x14ac:dyDescent="0.2">
      <c r="G1618" s="53"/>
      <c r="H1618" s="53"/>
      <c r="I1618" s="53"/>
      <c r="J1618" s="53"/>
      <c r="K1618" s="53"/>
      <c r="L1618" s="53"/>
    </row>
    <row r="1619" spans="7:12" x14ac:dyDescent="0.2">
      <c r="G1619" s="53"/>
      <c r="H1619" s="53"/>
      <c r="I1619" s="53"/>
      <c r="J1619" s="53"/>
      <c r="K1619" s="53"/>
      <c r="L1619" s="53"/>
    </row>
    <row r="1620" spans="7:12" x14ac:dyDescent="0.2">
      <c r="G1620" s="53"/>
      <c r="H1620" s="53"/>
      <c r="I1620" s="53"/>
      <c r="J1620" s="53"/>
      <c r="K1620" s="53"/>
      <c r="L1620" s="53"/>
    </row>
    <row r="1621" spans="7:12" x14ac:dyDescent="0.2">
      <c r="G1621" s="53"/>
      <c r="H1621" s="53"/>
      <c r="I1621" s="53"/>
      <c r="J1621" s="53"/>
      <c r="K1621" s="53"/>
      <c r="L1621" s="53"/>
    </row>
    <row r="1622" spans="7:12" x14ac:dyDescent="0.2">
      <c r="G1622" s="53"/>
      <c r="H1622" s="53"/>
      <c r="I1622" s="53"/>
      <c r="J1622" s="53"/>
      <c r="K1622" s="53"/>
      <c r="L1622" s="53"/>
    </row>
    <row r="1623" spans="7:12" x14ac:dyDescent="0.2">
      <c r="G1623" s="53"/>
      <c r="H1623" s="53"/>
      <c r="I1623" s="53"/>
      <c r="J1623" s="53"/>
      <c r="K1623" s="53"/>
      <c r="L1623" s="53"/>
    </row>
    <row r="1624" spans="7:12" x14ac:dyDescent="0.2">
      <c r="G1624" s="53"/>
      <c r="H1624" s="53"/>
      <c r="I1624" s="53"/>
      <c r="J1624" s="53"/>
      <c r="K1624" s="53"/>
      <c r="L1624" s="53"/>
    </row>
    <row r="1625" spans="7:12" x14ac:dyDescent="0.2">
      <c r="G1625" s="53"/>
      <c r="H1625" s="53"/>
      <c r="I1625" s="53"/>
      <c r="J1625" s="53"/>
      <c r="K1625" s="53"/>
      <c r="L1625" s="53"/>
    </row>
    <row r="1626" spans="7:12" x14ac:dyDescent="0.2">
      <c r="G1626" s="53"/>
      <c r="H1626" s="53"/>
      <c r="I1626" s="53"/>
      <c r="J1626" s="53"/>
      <c r="K1626" s="53"/>
      <c r="L1626" s="53"/>
    </row>
    <row r="1627" spans="7:12" x14ac:dyDescent="0.2">
      <c r="G1627" s="53"/>
      <c r="H1627" s="53"/>
      <c r="I1627" s="53"/>
      <c r="J1627" s="53"/>
      <c r="K1627" s="53"/>
      <c r="L1627" s="53"/>
    </row>
    <row r="1628" spans="7:12" x14ac:dyDescent="0.2">
      <c r="G1628" s="53"/>
      <c r="H1628" s="53"/>
      <c r="I1628" s="53"/>
      <c r="J1628" s="53"/>
      <c r="K1628" s="53"/>
      <c r="L1628" s="53"/>
    </row>
    <row r="1629" spans="7:12" x14ac:dyDescent="0.2">
      <c r="G1629" s="53"/>
      <c r="H1629" s="53"/>
      <c r="I1629" s="53"/>
      <c r="J1629" s="53"/>
      <c r="K1629" s="53"/>
      <c r="L1629" s="53"/>
    </row>
    <row r="1630" spans="7:12" x14ac:dyDescent="0.2">
      <c r="G1630" s="53"/>
      <c r="H1630" s="53"/>
      <c r="I1630" s="53"/>
      <c r="J1630" s="53"/>
      <c r="K1630" s="53"/>
      <c r="L1630" s="53"/>
    </row>
    <row r="1631" spans="7:12" x14ac:dyDescent="0.2">
      <c r="G1631" s="53"/>
      <c r="H1631" s="53"/>
      <c r="I1631" s="53"/>
      <c r="J1631" s="53"/>
      <c r="K1631" s="53"/>
      <c r="L1631" s="53"/>
    </row>
    <row r="1632" spans="7:12" x14ac:dyDescent="0.2">
      <c r="G1632" s="53"/>
      <c r="H1632" s="53"/>
      <c r="I1632" s="53"/>
      <c r="J1632" s="53"/>
      <c r="K1632" s="53"/>
      <c r="L1632" s="53"/>
    </row>
    <row r="1633" spans="7:12" x14ac:dyDescent="0.2">
      <c r="G1633" s="53"/>
      <c r="H1633" s="53"/>
      <c r="I1633" s="53"/>
      <c r="J1633" s="53"/>
      <c r="K1633" s="53"/>
      <c r="L1633" s="53"/>
    </row>
    <row r="1634" spans="7:12" x14ac:dyDescent="0.2">
      <c r="G1634" s="53"/>
      <c r="H1634" s="53"/>
      <c r="I1634" s="53"/>
      <c r="J1634" s="53"/>
      <c r="K1634" s="53"/>
      <c r="L1634" s="53"/>
    </row>
    <row r="1635" spans="7:12" x14ac:dyDescent="0.2">
      <c r="G1635" s="53"/>
      <c r="H1635" s="53"/>
      <c r="I1635" s="53"/>
      <c r="J1635" s="53"/>
      <c r="K1635" s="53"/>
      <c r="L1635" s="53"/>
    </row>
    <row r="1636" spans="7:12" x14ac:dyDescent="0.2">
      <c r="G1636" s="53"/>
      <c r="H1636" s="53"/>
      <c r="I1636" s="53"/>
      <c r="J1636" s="53"/>
      <c r="K1636" s="53"/>
      <c r="L1636" s="53"/>
    </row>
    <row r="1637" spans="7:12" x14ac:dyDescent="0.2">
      <c r="G1637" s="53"/>
      <c r="H1637" s="53"/>
      <c r="I1637" s="53"/>
      <c r="J1637" s="53"/>
      <c r="K1637" s="53"/>
      <c r="L1637" s="53"/>
    </row>
    <row r="1638" spans="7:12" x14ac:dyDescent="0.2">
      <c r="G1638" s="53"/>
      <c r="H1638" s="53"/>
      <c r="I1638" s="53"/>
      <c r="J1638" s="53"/>
      <c r="K1638" s="53"/>
      <c r="L1638" s="53"/>
    </row>
    <row r="1639" spans="7:12" x14ac:dyDescent="0.2">
      <c r="G1639" s="53"/>
      <c r="H1639" s="53"/>
      <c r="I1639" s="53"/>
      <c r="J1639" s="53"/>
      <c r="K1639" s="53"/>
      <c r="L1639" s="53"/>
    </row>
    <row r="1640" spans="7:12" x14ac:dyDescent="0.2">
      <c r="G1640" s="53"/>
      <c r="H1640" s="53"/>
      <c r="I1640" s="53"/>
      <c r="J1640" s="53"/>
      <c r="K1640" s="53"/>
      <c r="L1640" s="53"/>
    </row>
    <row r="1641" spans="7:12" x14ac:dyDescent="0.2">
      <c r="G1641" s="53"/>
      <c r="H1641" s="53"/>
      <c r="I1641" s="53"/>
      <c r="J1641" s="53"/>
      <c r="K1641" s="53"/>
      <c r="L1641" s="53"/>
    </row>
    <row r="1642" spans="7:12" x14ac:dyDescent="0.2">
      <c r="G1642" s="53"/>
      <c r="H1642" s="53"/>
      <c r="I1642" s="53"/>
      <c r="J1642" s="53"/>
      <c r="K1642" s="53"/>
      <c r="L1642" s="53"/>
    </row>
    <row r="1643" spans="7:12" x14ac:dyDescent="0.2">
      <c r="G1643" s="53"/>
      <c r="H1643" s="53"/>
      <c r="I1643" s="53"/>
      <c r="J1643" s="53"/>
      <c r="K1643" s="53"/>
      <c r="L1643" s="53"/>
    </row>
    <row r="1644" spans="7:12" x14ac:dyDescent="0.2">
      <c r="G1644" s="53"/>
      <c r="H1644" s="53"/>
      <c r="I1644" s="53"/>
      <c r="J1644" s="53"/>
      <c r="K1644" s="53"/>
      <c r="L1644" s="53"/>
    </row>
    <row r="1645" spans="7:12" x14ac:dyDescent="0.2">
      <c r="G1645" s="53"/>
      <c r="H1645" s="53"/>
      <c r="I1645" s="53"/>
      <c r="J1645" s="53"/>
      <c r="K1645" s="53"/>
      <c r="L1645" s="53"/>
    </row>
    <row r="1646" spans="7:12" x14ac:dyDescent="0.2">
      <c r="G1646" s="53"/>
      <c r="H1646" s="53"/>
      <c r="I1646" s="53"/>
      <c r="J1646" s="53"/>
      <c r="K1646" s="53"/>
      <c r="L1646" s="53"/>
    </row>
    <row r="1647" spans="7:12" x14ac:dyDescent="0.2">
      <c r="G1647" s="53"/>
      <c r="H1647" s="53"/>
      <c r="I1647" s="53"/>
      <c r="J1647" s="53"/>
      <c r="K1647" s="53"/>
      <c r="L1647" s="53"/>
    </row>
    <row r="1648" spans="7:12" x14ac:dyDescent="0.2">
      <c r="G1648" s="53"/>
      <c r="H1648" s="53"/>
      <c r="I1648" s="53"/>
      <c r="J1648" s="53"/>
      <c r="K1648" s="53"/>
      <c r="L1648" s="53"/>
    </row>
    <row r="1649" spans="7:12" x14ac:dyDescent="0.2">
      <c r="G1649" s="53"/>
      <c r="H1649" s="53"/>
      <c r="I1649" s="53"/>
      <c r="J1649" s="53"/>
      <c r="K1649" s="53"/>
      <c r="L1649" s="53"/>
    </row>
    <row r="1650" spans="7:12" x14ac:dyDescent="0.2">
      <c r="G1650" s="53"/>
      <c r="H1650" s="53"/>
      <c r="I1650" s="53"/>
      <c r="J1650" s="53"/>
      <c r="K1650" s="53"/>
      <c r="L1650" s="53"/>
    </row>
    <row r="1651" spans="7:12" x14ac:dyDescent="0.2">
      <c r="G1651" s="53"/>
      <c r="H1651" s="53"/>
      <c r="I1651" s="53"/>
      <c r="J1651" s="53"/>
      <c r="K1651" s="53"/>
      <c r="L1651" s="53"/>
    </row>
    <row r="1652" spans="7:12" x14ac:dyDescent="0.2">
      <c r="G1652" s="53"/>
      <c r="H1652" s="53"/>
      <c r="I1652" s="53"/>
      <c r="J1652" s="53"/>
      <c r="K1652" s="53"/>
      <c r="L1652" s="53"/>
    </row>
    <row r="1653" spans="7:12" x14ac:dyDescent="0.2">
      <c r="G1653" s="53"/>
      <c r="H1653" s="53"/>
      <c r="I1653" s="53"/>
      <c r="J1653" s="53"/>
      <c r="K1653" s="53"/>
      <c r="L1653" s="53"/>
    </row>
    <row r="1654" spans="7:12" x14ac:dyDescent="0.2">
      <c r="G1654" s="53"/>
      <c r="H1654" s="53"/>
      <c r="I1654" s="53"/>
      <c r="J1654" s="53"/>
      <c r="K1654" s="53"/>
      <c r="L1654" s="53"/>
    </row>
    <row r="1655" spans="7:12" x14ac:dyDescent="0.2">
      <c r="G1655" s="53"/>
      <c r="H1655" s="53"/>
      <c r="I1655" s="53"/>
      <c r="J1655" s="53"/>
      <c r="K1655" s="53"/>
      <c r="L1655" s="53"/>
    </row>
    <row r="1656" spans="7:12" x14ac:dyDescent="0.2">
      <c r="G1656" s="53"/>
      <c r="H1656" s="53"/>
      <c r="I1656" s="53"/>
      <c r="J1656" s="53"/>
      <c r="K1656" s="53"/>
      <c r="L1656" s="53"/>
    </row>
    <row r="1657" spans="7:12" x14ac:dyDescent="0.2">
      <c r="G1657" s="53"/>
      <c r="H1657" s="53"/>
      <c r="I1657" s="53"/>
      <c r="J1657" s="53"/>
      <c r="K1657" s="53"/>
      <c r="L1657" s="53"/>
    </row>
    <row r="1658" spans="7:12" x14ac:dyDescent="0.2">
      <c r="G1658" s="53"/>
      <c r="H1658" s="53"/>
      <c r="I1658" s="53"/>
      <c r="J1658" s="53"/>
      <c r="K1658" s="53"/>
      <c r="L1658" s="53"/>
    </row>
    <row r="1659" spans="7:12" x14ac:dyDescent="0.2">
      <c r="G1659" s="53"/>
      <c r="H1659" s="53"/>
      <c r="I1659" s="53"/>
      <c r="J1659" s="53"/>
      <c r="K1659" s="53"/>
      <c r="L1659" s="53"/>
    </row>
    <row r="1660" spans="7:12" x14ac:dyDescent="0.2">
      <c r="G1660" s="53"/>
      <c r="H1660" s="53"/>
      <c r="I1660" s="53"/>
      <c r="J1660" s="53"/>
      <c r="K1660" s="53"/>
      <c r="L1660" s="53"/>
    </row>
    <row r="1661" spans="7:12" x14ac:dyDescent="0.2">
      <c r="G1661" s="53"/>
      <c r="H1661" s="53"/>
      <c r="I1661" s="53"/>
      <c r="J1661" s="53"/>
      <c r="K1661" s="53"/>
      <c r="L1661" s="53"/>
    </row>
    <row r="1662" spans="7:12" x14ac:dyDescent="0.2">
      <c r="G1662" s="53"/>
      <c r="H1662" s="53"/>
      <c r="I1662" s="53"/>
      <c r="J1662" s="53"/>
      <c r="K1662" s="53"/>
      <c r="L1662" s="53"/>
    </row>
    <row r="1663" spans="7:12" x14ac:dyDescent="0.2">
      <c r="G1663" s="53"/>
      <c r="H1663" s="53"/>
      <c r="I1663" s="53"/>
      <c r="J1663" s="53"/>
      <c r="K1663" s="53"/>
      <c r="L1663" s="53"/>
    </row>
    <row r="1664" spans="7:12" x14ac:dyDescent="0.2">
      <c r="G1664" s="53"/>
      <c r="H1664" s="53"/>
      <c r="I1664" s="53"/>
      <c r="J1664" s="53"/>
      <c r="K1664" s="53"/>
      <c r="L1664" s="53"/>
    </row>
    <row r="1665" spans="7:12" x14ac:dyDescent="0.2">
      <c r="G1665" s="53"/>
      <c r="H1665" s="53"/>
      <c r="I1665" s="53"/>
      <c r="J1665" s="53"/>
      <c r="K1665" s="53"/>
      <c r="L1665" s="53"/>
    </row>
    <row r="1666" spans="7:12" x14ac:dyDescent="0.2">
      <c r="G1666" s="53"/>
      <c r="H1666" s="53"/>
      <c r="I1666" s="53"/>
      <c r="J1666" s="53"/>
      <c r="K1666" s="53"/>
      <c r="L1666" s="53"/>
    </row>
    <row r="1667" spans="7:12" x14ac:dyDescent="0.2">
      <c r="G1667" s="53"/>
      <c r="H1667" s="53"/>
      <c r="I1667" s="53"/>
      <c r="J1667" s="53"/>
      <c r="K1667" s="53"/>
      <c r="L1667" s="53"/>
    </row>
    <row r="1668" spans="7:12" x14ac:dyDescent="0.2">
      <c r="G1668" s="53"/>
      <c r="H1668" s="53"/>
      <c r="I1668" s="53"/>
      <c r="J1668" s="53"/>
      <c r="K1668" s="53"/>
      <c r="L1668" s="53"/>
    </row>
    <row r="1669" spans="7:12" x14ac:dyDescent="0.2">
      <c r="G1669" s="53"/>
      <c r="H1669" s="53"/>
      <c r="I1669" s="53"/>
      <c r="J1669" s="53"/>
      <c r="K1669" s="53"/>
      <c r="L1669" s="53"/>
    </row>
    <row r="1670" spans="7:12" x14ac:dyDescent="0.2">
      <c r="G1670" s="53"/>
      <c r="H1670" s="53"/>
      <c r="I1670" s="53"/>
      <c r="J1670" s="53"/>
      <c r="K1670" s="53"/>
      <c r="L1670" s="53"/>
    </row>
    <row r="1671" spans="7:12" x14ac:dyDescent="0.2">
      <c r="G1671" s="53"/>
      <c r="H1671" s="53"/>
      <c r="I1671" s="53"/>
      <c r="J1671" s="53"/>
      <c r="K1671" s="53"/>
      <c r="L1671" s="53"/>
    </row>
    <row r="1672" spans="7:12" x14ac:dyDescent="0.2">
      <c r="G1672" s="53"/>
      <c r="H1672" s="53"/>
      <c r="I1672" s="53"/>
      <c r="J1672" s="53"/>
      <c r="K1672" s="53"/>
      <c r="L1672" s="53"/>
    </row>
    <row r="1673" spans="7:12" x14ac:dyDescent="0.2">
      <c r="G1673" s="53"/>
      <c r="H1673" s="53"/>
      <c r="I1673" s="53"/>
      <c r="J1673" s="53"/>
      <c r="K1673" s="53"/>
      <c r="L1673" s="53"/>
    </row>
    <row r="1674" spans="7:12" x14ac:dyDescent="0.2">
      <c r="G1674" s="53"/>
      <c r="H1674" s="53"/>
      <c r="I1674" s="53"/>
      <c r="J1674" s="53"/>
      <c r="K1674" s="53"/>
      <c r="L1674" s="53"/>
    </row>
    <row r="1675" spans="7:12" x14ac:dyDescent="0.2">
      <c r="G1675" s="53"/>
      <c r="H1675" s="53"/>
      <c r="I1675" s="53"/>
      <c r="J1675" s="53"/>
      <c r="K1675" s="53"/>
      <c r="L1675" s="53"/>
    </row>
    <row r="1676" spans="7:12" x14ac:dyDescent="0.2">
      <c r="G1676" s="53"/>
      <c r="H1676" s="53"/>
      <c r="I1676" s="53"/>
      <c r="J1676" s="53"/>
      <c r="K1676" s="53"/>
      <c r="L1676" s="53"/>
    </row>
    <row r="1677" spans="7:12" x14ac:dyDescent="0.2">
      <c r="G1677" s="53"/>
      <c r="H1677" s="53"/>
      <c r="I1677" s="53"/>
      <c r="J1677" s="53"/>
      <c r="K1677" s="53"/>
      <c r="L1677" s="53"/>
    </row>
    <row r="1678" spans="7:12" x14ac:dyDescent="0.2">
      <c r="G1678" s="53"/>
      <c r="H1678" s="53"/>
      <c r="I1678" s="53"/>
      <c r="J1678" s="53"/>
      <c r="K1678" s="53"/>
      <c r="L1678" s="53"/>
    </row>
    <row r="1679" spans="7:12" x14ac:dyDescent="0.2">
      <c r="G1679" s="53"/>
      <c r="H1679" s="53"/>
      <c r="I1679" s="53"/>
      <c r="J1679" s="53"/>
      <c r="K1679" s="53"/>
      <c r="L1679" s="53"/>
    </row>
    <row r="1680" spans="7:12" x14ac:dyDescent="0.2">
      <c r="G1680" s="53"/>
      <c r="H1680" s="53"/>
      <c r="I1680" s="53"/>
      <c r="J1680" s="53"/>
      <c r="K1680" s="53"/>
      <c r="L1680" s="53"/>
    </row>
    <row r="1681" spans="7:12" x14ac:dyDescent="0.2">
      <c r="G1681" s="53"/>
      <c r="H1681" s="53"/>
      <c r="I1681" s="53"/>
      <c r="J1681" s="53"/>
      <c r="K1681" s="53"/>
      <c r="L1681" s="53"/>
    </row>
    <row r="1682" spans="7:12" x14ac:dyDescent="0.2">
      <c r="G1682" s="53"/>
      <c r="H1682" s="53"/>
      <c r="I1682" s="53"/>
      <c r="J1682" s="53"/>
      <c r="K1682" s="53"/>
      <c r="L1682" s="53"/>
    </row>
    <row r="1683" spans="7:12" x14ac:dyDescent="0.2">
      <c r="G1683" s="53"/>
      <c r="H1683" s="53"/>
      <c r="I1683" s="53"/>
      <c r="J1683" s="53"/>
      <c r="K1683" s="53"/>
      <c r="L1683" s="53"/>
    </row>
    <row r="1684" spans="7:12" x14ac:dyDescent="0.2">
      <c r="G1684" s="53"/>
      <c r="H1684" s="53"/>
      <c r="I1684" s="53"/>
      <c r="J1684" s="53"/>
      <c r="K1684" s="53"/>
      <c r="L1684" s="53"/>
    </row>
    <row r="1685" spans="7:12" x14ac:dyDescent="0.2">
      <c r="G1685" s="53"/>
      <c r="H1685" s="53"/>
      <c r="I1685" s="53"/>
      <c r="J1685" s="53"/>
      <c r="K1685" s="53"/>
      <c r="L1685" s="53"/>
    </row>
    <row r="1686" spans="7:12" x14ac:dyDescent="0.2">
      <c r="G1686" s="53"/>
      <c r="H1686" s="53"/>
      <c r="I1686" s="53"/>
      <c r="J1686" s="53"/>
      <c r="K1686" s="53"/>
      <c r="L1686" s="53"/>
    </row>
    <row r="1687" spans="7:12" x14ac:dyDescent="0.2">
      <c r="G1687" s="53"/>
      <c r="H1687" s="53"/>
      <c r="I1687" s="53"/>
      <c r="J1687" s="53"/>
      <c r="K1687" s="53"/>
      <c r="L1687" s="53"/>
    </row>
    <row r="1688" spans="7:12" x14ac:dyDescent="0.2">
      <c r="G1688" s="53"/>
      <c r="H1688" s="53"/>
      <c r="I1688" s="53"/>
      <c r="J1688" s="53"/>
      <c r="K1688" s="53"/>
      <c r="L1688" s="53"/>
    </row>
    <row r="1689" spans="7:12" x14ac:dyDescent="0.2">
      <c r="G1689" s="53"/>
      <c r="H1689" s="53"/>
      <c r="I1689" s="53"/>
      <c r="J1689" s="53"/>
      <c r="K1689" s="53"/>
      <c r="L1689" s="53"/>
    </row>
    <row r="1690" spans="7:12" x14ac:dyDescent="0.2">
      <c r="G1690" s="53"/>
      <c r="H1690" s="53"/>
      <c r="I1690" s="53"/>
      <c r="J1690" s="53"/>
      <c r="K1690" s="53"/>
      <c r="L1690" s="53"/>
    </row>
    <row r="1691" spans="7:12" x14ac:dyDescent="0.2">
      <c r="G1691" s="53"/>
      <c r="H1691" s="53"/>
      <c r="I1691" s="53"/>
      <c r="J1691" s="53"/>
      <c r="K1691" s="53"/>
      <c r="L1691" s="53"/>
    </row>
    <row r="1692" spans="7:12" x14ac:dyDescent="0.2">
      <c r="G1692" s="53"/>
      <c r="H1692" s="53"/>
      <c r="I1692" s="53"/>
      <c r="J1692" s="53"/>
      <c r="K1692" s="53"/>
      <c r="L1692" s="53"/>
    </row>
    <row r="1693" spans="7:12" x14ac:dyDescent="0.2">
      <c r="G1693" s="53"/>
      <c r="H1693" s="53"/>
      <c r="I1693" s="53"/>
      <c r="J1693" s="53"/>
      <c r="K1693" s="53"/>
      <c r="L1693" s="53"/>
    </row>
    <row r="1694" spans="7:12" x14ac:dyDescent="0.2">
      <c r="G1694" s="53"/>
      <c r="H1694" s="53"/>
      <c r="I1694" s="53"/>
      <c r="J1694" s="53"/>
      <c r="K1694" s="53"/>
      <c r="L1694" s="53"/>
    </row>
    <row r="1695" spans="7:12" x14ac:dyDescent="0.2">
      <c r="G1695" s="53"/>
      <c r="H1695" s="53"/>
      <c r="I1695" s="53"/>
      <c r="J1695" s="53"/>
      <c r="K1695" s="53"/>
      <c r="L1695" s="53"/>
    </row>
    <row r="1696" spans="7:12" x14ac:dyDescent="0.2">
      <c r="G1696" s="53"/>
      <c r="H1696" s="53"/>
      <c r="I1696" s="53"/>
      <c r="J1696" s="53"/>
      <c r="K1696" s="53"/>
      <c r="L1696" s="53"/>
    </row>
    <row r="1697" spans="7:12" x14ac:dyDescent="0.2">
      <c r="G1697" s="53"/>
      <c r="H1697" s="53"/>
      <c r="I1697" s="53"/>
      <c r="J1697" s="53"/>
      <c r="K1697" s="53"/>
      <c r="L1697" s="53"/>
    </row>
    <row r="1698" spans="7:12" x14ac:dyDescent="0.2">
      <c r="G1698" s="53"/>
      <c r="H1698" s="53"/>
      <c r="I1698" s="53"/>
      <c r="J1698" s="53"/>
      <c r="K1698" s="53"/>
      <c r="L1698" s="53"/>
    </row>
    <row r="1699" spans="7:12" x14ac:dyDescent="0.2">
      <c r="G1699" s="53"/>
      <c r="H1699" s="53"/>
      <c r="I1699" s="53"/>
      <c r="J1699" s="53"/>
      <c r="K1699" s="53"/>
      <c r="L1699" s="53"/>
    </row>
    <row r="1700" spans="7:12" x14ac:dyDescent="0.2">
      <c r="G1700" s="53"/>
      <c r="H1700" s="53"/>
      <c r="I1700" s="53"/>
      <c r="J1700" s="53"/>
      <c r="K1700" s="53"/>
      <c r="L1700" s="53"/>
    </row>
    <row r="1701" spans="7:12" x14ac:dyDescent="0.2">
      <c r="G1701" s="53"/>
      <c r="H1701" s="53"/>
      <c r="I1701" s="53"/>
      <c r="J1701" s="53"/>
      <c r="K1701" s="53"/>
      <c r="L1701" s="53"/>
    </row>
    <row r="1702" spans="7:12" x14ac:dyDescent="0.2">
      <c r="G1702" s="53"/>
      <c r="H1702" s="53"/>
      <c r="I1702" s="53"/>
      <c r="J1702" s="53"/>
      <c r="K1702" s="53"/>
      <c r="L1702" s="53"/>
    </row>
    <row r="1703" spans="7:12" x14ac:dyDescent="0.2">
      <c r="G1703" s="53"/>
      <c r="H1703" s="53"/>
      <c r="I1703" s="53"/>
      <c r="J1703" s="53"/>
      <c r="K1703" s="53"/>
      <c r="L1703" s="53"/>
    </row>
    <row r="1704" spans="7:12" x14ac:dyDescent="0.2">
      <c r="G1704" s="53"/>
      <c r="H1704" s="53"/>
      <c r="I1704" s="53"/>
      <c r="J1704" s="53"/>
      <c r="K1704" s="53"/>
      <c r="L1704" s="53"/>
    </row>
    <row r="1705" spans="7:12" x14ac:dyDescent="0.2">
      <c r="G1705" s="53"/>
      <c r="H1705" s="53"/>
      <c r="I1705" s="53"/>
      <c r="J1705" s="53"/>
      <c r="K1705" s="53"/>
      <c r="L1705" s="53"/>
    </row>
    <row r="1706" spans="7:12" x14ac:dyDescent="0.2">
      <c r="G1706" s="53"/>
      <c r="H1706" s="53"/>
      <c r="I1706" s="53"/>
      <c r="J1706" s="53"/>
      <c r="K1706" s="53"/>
      <c r="L1706" s="53"/>
    </row>
    <row r="1707" spans="7:12" x14ac:dyDescent="0.2">
      <c r="G1707" s="53"/>
      <c r="H1707" s="53"/>
      <c r="I1707" s="53"/>
      <c r="J1707" s="53"/>
      <c r="K1707" s="53"/>
      <c r="L1707" s="53"/>
    </row>
    <row r="1708" spans="7:12" x14ac:dyDescent="0.2">
      <c r="G1708" s="53"/>
      <c r="H1708" s="53"/>
      <c r="I1708" s="53"/>
      <c r="J1708" s="53"/>
      <c r="K1708" s="53"/>
      <c r="L1708" s="53"/>
    </row>
    <row r="1709" spans="7:12" x14ac:dyDescent="0.2">
      <c r="G1709" s="53"/>
      <c r="H1709" s="53"/>
      <c r="I1709" s="53"/>
      <c r="J1709" s="53"/>
      <c r="K1709" s="53"/>
      <c r="L1709" s="53"/>
    </row>
    <row r="1710" spans="7:12" x14ac:dyDescent="0.2">
      <c r="G1710" s="53"/>
      <c r="H1710" s="53"/>
      <c r="I1710" s="53"/>
      <c r="J1710" s="53"/>
      <c r="K1710" s="53"/>
      <c r="L1710" s="53"/>
    </row>
    <row r="1711" spans="7:12" x14ac:dyDescent="0.2">
      <c r="G1711" s="53"/>
      <c r="H1711" s="53"/>
      <c r="I1711" s="53"/>
      <c r="J1711" s="53"/>
      <c r="K1711" s="53"/>
      <c r="L1711" s="53"/>
    </row>
    <row r="1712" spans="7:12" x14ac:dyDescent="0.2">
      <c r="G1712" s="53"/>
      <c r="H1712" s="53"/>
      <c r="I1712" s="53"/>
      <c r="J1712" s="53"/>
      <c r="K1712" s="53"/>
      <c r="L1712" s="53"/>
    </row>
    <row r="1713" spans="7:12" x14ac:dyDescent="0.2">
      <c r="G1713" s="53"/>
      <c r="H1713" s="53"/>
      <c r="I1713" s="53"/>
      <c r="J1713" s="53"/>
      <c r="K1713" s="53"/>
      <c r="L1713" s="53"/>
    </row>
    <row r="1714" spans="7:12" x14ac:dyDescent="0.2">
      <c r="G1714" s="53"/>
      <c r="H1714" s="53"/>
      <c r="I1714" s="53"/>
      <c r="J1714" s="53"/>
      <c r="K1714" s="53"/>
      <c r="L1714" s="53"/>
    </row>
    <row r="1715" spans="7:12" x14ac:dyDescent="0.2">
      <c r="G1715" s="53"/>
      <c r="H1715" s="53"/>
      <c r="I1715" s="53"/>
      <c r="J1715" s="53"/>
      <c r="K1715" s="53"/>
      <c r="L1715" s="53"/>
    </row>
    <row r="1716" spans="7:12" x14ac:dyDescent="0.2">
      <c r="G1716" s="53"/>
      <c r="H1716" s="53"/>
      <c r="I1716" s="53"/>
      <c r="J1716" s="53"/>
      <c r="K1716" s="53"/>
      <c r="L1716" s="53"/>
    </row>
    <row r="1717" spans="7:12" x14ac:dyDescent="0.2">
      <c r="G1717" s="53"/>
      <c r="H1717" s="53"/>
      <c r="I1717" s="53"/>
      <c r="J1717" s="53"/>
      <c r="K1717" s="53"/>
      <c r="L1717" s="53"/>
    </row>
    <row r="1718" spans="7:12" x14ac:dyDescent="0.2">
      <c r="G1718" s="53"/>
      <c r="H1718" s="53"/>
      <c r="I1718" s="53"/>
      <c r="J1718" s="53"/>
      <c r="K1718" s="53"/>
      <c r="L1718" s="53"/>
    </row>
    <row r="1719" spans="7:12" x14ac:dyDescent="0.2">
      <c r="G1719" s="53"/>
      <c r="H1719" s="53"/>
      <c r="I1719" s="53"/>
      <c r="J1719" s="53"/>
      <c r="K1719" s="53"/>
      <c r="L1719" s="53"/>
    </row>
    <row r="1720" spans="7:12" x14ac:dyDescent="0.2">
      <c r="G1720" s="53"/>
      <c r="H1720" s="53"/>
      <c r="I1720" s="53"/>
      <c r="J1720" s="53"/>
      <c r="K1720" s="53"/>
      <c r="L1720" s="53"/>
    </row>
    <row r="1721" spans="7:12" x14ac:dyDescent="0.2">
      <c r="G1721" s="53"/>
      <c r="H1721" s="53"/>
      <c r="I1721" s="53"/>
      <c r="J1721" s="53"/>
      <c r="K1721" s="53"/>
      <c r="L1721" s="53"/>
    </row>
    <row r="1722" spans="7:12" x14ac:dyDescent="0.2">
      <c r="G1722" s="53"/>
      <c r="H1722" s="53"/>
      <c r="I1722" s="53"/>
      <c r="J1722" s="53"/>
      <c r="K1722" s="53"/>
      <c r="L1722" s="53"/>
    </row>
    <row r="1723" spans="7:12" x14ac:dyDescent="0.2">
      <c r="G1723" s="53"/>
      <c r="H1723" s="53"/>
      <c r="I1723" s="53"/>
      <c r="J1723" s="53"/>
      <c r="K1723" s="53"/>
      <c r="L1723" s="53"/>
    </row>
    <row r="1724" spans="7:12" x14ac:dyDescent="0.2">
      <c r="G1724" s="53"/>
      <c r="H1724" s="53"/>
      <c r="I1724" s="53"/>
      <c r="J1724" s="53"/>
      <c r="K1724" s="53"/>
      <c r="L1724" s="53"/>
    </row>
    <row r="1725" spans="7:12" x14ac:dyDescent="0.2">
      <c r="G1725" s="53"/>
      <c r="H1725" s="53"/>
      <c r="I1725" s="53"/>
      <c r="J1725" s="53"/>
      <c r="K1725" s="53"/>
      <c r="L1725" s="53"/>
    </row>
    <row r="1726" spans="7:12" x14ac:dyDescent="0.2">
      <c r="G1726" s="53"/>
      <c r="H1726" s="53"/>
      <c r="I1726" s="53"/>
      <c r="J1726" s="53"/>
      <c r="K1726" s="53"/>
      <c r="L1726" s="53"/>
    </row>
    <row r="1727" spans="7:12" x14ac:dyDescent="0.2">
      <c r="G1727" s="53"/>
      <c r="H1727" s="53"/>
      <c r="I1727" s="53"/>
      <c r="J1727" s="53"/>
      <c r="K1727" s="53"/>
      <c r="L1727" s="53"/>
    </row>
    <row r="1728" spans="7:12" x14ac:dyDescent="0.2">
      <c r="G1728" s="53"/>
      <c r="H1728" s="53"/>
      <c r="I1728" s="53"/>
      <c r="J1728" s="53"/>
      <c r="K1728" s="53"/>
      <c r="L1728" s="53"/>
    </row>
    <row r="1729" spans="7:12" x14ac:dyDescent="0.2">
      <c r="G1729" s="53"/>
      <c r="H1729" s="53"/>
      <c r="I1729" s="53"/>
      <c r="J1729" s="53"/>
      <c r="K1729" s="53"/>
      <c r="L1729" s="53"/>
    </row>
    <row r="1730" spans="7:12" x14ac:dyDescent="0.2">
      <c r="G1730" s="53"/>
      <c r="H1730" s="53"/>
      <c r="I1730" s="53"/>
      <c r="J1730" s="53"/>
      <c r="K1730" s="53"/>
      <c r="L1730" s="53"/>
    </row>
    <row r="1731" spans="7:12" x14ac:dyDescent="0.2">
      <c r="G1731" s="53"/>
      <c r="H1731" s="53"/>
      <c r="I1731" s="53"/>
      <c r="J1731" s="53"/>
      <c r="K1731" s="53"/>
      <c r="L1731" s="53"/>
    </row>
    <row r="1732" spans="7:12" x14ac:dyDescent="0.2">
      <c r="G1732" s="53"/>
      <c r="H1732" s="53"/>
      <c r="I1732" s="53"/>
      <c r="J1732" s="53"/>
      <c r="K1732" s="53"/>
      <c r="L1732" s="53"/>
    </row>
    <row r="1733" spans="7:12" x14ac:dyDescent="0.2">
      <c r="G1733" s="53"/>
      <c r="H1733" s="53"/>
      <c r="I1733" s="53"/>
      <c r="J1733" s="53"/>
      <c r="K1733" s="53"/>
      <c r="L1733" s="53"/>
    </row>
    <row r="1734" spans="7:12" x14ac:dyDescent="0.2">
      <c r="G1734" s="53"/>
      <c r="H1734" s="53"/>
      <c r="I1734" s="53"/>
      <c r="J1734" s="53"/>
      <c r="K1734" s="53"/>
      <c r="L1734" s="53"/>
    </row>
    <row r="1735" spans="7:12" x14ac:dyDescent="0.2">
      <c r="G1735" s="53"/>
      <c r="H1735" s="53"/>
      <c r="I1735" s="53"/>
      <c r="J1735" s="53"/>
      <c r="K1735" s="53"/>
      <c r="L1735" s="53"/>
    </row>
    <row r="1736" spans="7:12" x14ac:dyDescent="0.2">
      <c r="G1736" s="53"/>
      <c r="H1736" s="53"/>
      <c r="I1736" s="53"/>
      <c r="J1736" s="53"/>
      <c r="K1736" s="53"/>
      <c r="L1736" s="53"/>
    </row>
    <row r="1737" spans="7:12" x14ac:dyDescent="0.2">
      <c r="G1737" s="53"/>
      <c r="H1737" s="53"/>
      <c r="I1737" s="53"/>
      <c r="J1737" s="53"/>
      <c r="K1737" s="53"/>
      <c r="L1737" s="53"/>
    </row>
    <row r="1738" spans="7:12" x14ac:dyDescent="0.2">
      <c r="G1738" s="53"/>
      <c r="H1738" s="53"/>
      <c r="I1738" s="53"/>
      <c r="J1738" s="53"/>
      <c r="K1738" s="53"/>
      <c r="L1738" s="53"/>
    </row>
    <row r="1739" spans="7:12" x14ac:dyDescent="0.2">
      <c r="G1739" s="53"/>
      <c r="H1739" s="53"/>
      <c r="I1739" s="53"/>
      <c r="J1739" s="53"/>
      <c r="K1739" s="53"/>
      <c r="L1739" s="53"/>
    </row>
    <row r="1740" spans="7:12" x14ac:dyDescent="0.2">
      <c r="G1740" s="53"/>
      <c r="H1740" s="53"/>
      <c r="I1740" s="53"/>
      <c r="J1740" s="53"/>
      <c r="K1740" s="53"/>
      <c r="L1740" s="53"/>
    </row>
    <row r="1741" spans="7:12" x14ac:dyDescent="0.2">
      <c r="G1741" s="53"/>
      <c r="H1741" s="53"/>
      <c r="I1741" s="53"/>
      <c r="J1741" s="53"/>
      <c r="K1741" s="53"/>
      <c r="L1741" s="53"/>
    </row>
    <row r="1742" spans="7:12" x14ac:dyDescent="0.2">
      <c r="G1742" s="53"/>
      <c r="H1742" s="53"/>
      <c r="I1742" s="53"/>
      <c r="J1742" s="53"/>
      <c r="K1742" s="53"/>
      <c r="L1742" s="53"/>
    </row>
    <row r="1743" spans="7:12" x14ac:dyDescent="0.2">
      <c r="G1743" s="53"/>
      <c r="H1743" s="53"/>
      <c r="I1743" s="53"/>
      <c r="J1743" s="53"/>
      <c r="K1743" s="53"/>
      <c r="L1743" s="53"/>
    </row>
    <row r="1744" spans="7:12" x14ac:dyDescent="0.2">
      <c r="G1744" s="53"/>
      <c r="H1744" s="53"/>
      <c r="I1744" s="53"/>
      <c r="J1744" s="53"/>
      <c r="K1744" s="53"/>
      <c r="L1744" s="53"/>
    </row>
    <row r="1745" spans="7:12" x14ac:dyDescent="0.2">
      <c r="G1745" s="53"/>
      <c r="H1745" s="53"/>
      <c r="I1745" s="53"/>
      <c r="J1745" s="53"/>
      <c r="K1745" s="53"/>
      <c r="L1745" s="53"/>
    </row>
    <row r="1746" spans="7:12" x14ac:dyDescent="0.2">
      <c r="G1746" s="53"/>
      <c r="H1746" s="53"/>
      <c r="I1746" s="53"/>
      <c r="J1746" s="53"/>
      <c r="K1746" s="53"/>
      <c r="L1746" s="53"/>
    </row>
    <row r="1747" spans="7:12" x14ac:dyDescent="0.2">
      <c r="G1747" s="53"/>
      <c r="H1747" s="53"/>
      <c r="I1747" s="53"/>
      <c r="J1747" s="53"/>
      <c r="K1747" s="53"/>
      <c r="L1747" s="53"/>
    </row>
    <row r="1748" spans="7:12" x14ac:dyDescent="0.2">
      <c r="G1748" s="53"/>
      <c r="H1748" s="53"/>
      <c r="I1748" s="53"/>
      <c r="J1748" s="53"/>
      <c r="K1748" s="53"/>
      <c r="L1748" s="53"/>
    </row>
    <row r="1749" spans="7:12" x14ac:dyDescent="0.2">
      <c r="G1749" s="53"/>
      <c r="H1749" s="53"/>
      <c r="I1749" s="53"/>
      <c r="J1749" s="53"/>
      <c r="K1749" s="53"/>
      <c r="L1749" s="53"/>
    </row>
    <row r="1750" spans="7:12" x14ac:dyDescent="0.2">
      <c r="G1750" s="53"/>
      <c r="H1750" s="53"/>
      <c r="I1750" s="53"/>
      <c r="J1750" s="53"/>
      <c r="K1750" s="53"/>
      <c r="L1750" s="53"/>
    </row>
    <row r="1751" spans="7:12" x14ac:dyDescent="0.2">
      <c r="G1751" s="53"/>
      <c r="H1751" s="53"/>
      <c r="I1751" s="53"/>
      <c r="J1751" s="53"/>
      <c r="K1751" s="53"/>
      <c r="L1751" s="53"/>
    </row>
    <row r="1752" spans="7:12" x14ac:dyDescent="0.2">
      <c r="G1752" s="53"/>
      <c r="H1752" s="53"/>
      <c r="I1752" s="53"/>
      <c r="J1752" s="53"/>
      <c r="K1752" s="53"/>
      <c r="L1752" s="53"/>
    </row>
    <row r="1753" spans="7:12" x14ac:dyDescent="0.2">
      <c r="G1753" s="53"/>
      <c r="H1753" s="53"/>
      <c r="I1753" s="53"/>
      <c r="J1753" s="53"/>
      <c r="K1753" s="53"/>
      <c r="L1753" s="53"/>
    </row>
    <row r="1754" spans="7:12" x14ac:dyDescent="0.2">
      <c r="G1754" s="53"/>
      <c r="H1754" s="53"/>
      <c r="I1754" s="53"/>
      <c r="J1754" s="53"/>
      <c r="K1754" s="53"/>
      <c r="L1754" s="53"/>
    </row>
    <row r="1755" spans="7:12" x14ac:dyDescent="0.2">
      <c r="G1755" s="53"/>
      <c r="H1755" s="53"/>
      <c r="I1755" s="53"/>
      <c r="J1755" s="53"/>
      <c r="K1755" s="53"/>
      <c r="L1755" s="53"/>
    </row>
    <row r="1756" spans="7:12" x14ac:dyDescent="0.2">
      <c r="G1756" s="53"/>
      <c r="H1756" s="53"/>
      <c r="I1756" s="53"/>
      <c r="J1756" s="53"/>
      <c r="K1756" s="53"/>
      <c r="L1756" s="53"/>
    </row>
    <row r="1757" spans="7:12" x14ac:dyDescent="0.2">
      <c r="G1757" s="53"/>
      <c r="H1757" s="53"/>
      <c r="I1757" s="53"/>
      <c r="J1757" s="53"/>
      <c r="K1757" s="53"/>
      <c r="L1757" s="53"/>
    </row>
    <row r="1758" spans="7:12" x14ac:dyDescent="0.2">
      <c r="G1758" s="53"/>
      <c r="H1758" s="53"/>
      <c r="I1758" s="53"/>
      <c r="J1758" s="53"/>
      <c r="K1758" s="53"/>
      <c r="L1758" s="53"/>
    </row>
    <row r="1759" spans="7:12" x14ac:dyDescent="0.2">
      <c r="G1759" s="53"/>
      <c r="H1759" s="53"/>
      <c r="I1759" s="53"/>
      <c r="J1759" s="53"/>
      <c r="K1759" s="53"/>
      <c r="L1759" s="53"/>
    </row>
    <row r="1760" spans="7:12" x14ac:dyDescent="0.2">
      <c r="G1760" s="53"/>
      <c r="H1760" s="53"/>
      <c r="I1760" s="53"/>
      <c r="J1760" s="53"/>
      <c r="K1760" s="53"/>
      <c r="L1760" s="53"/>
    </row>
    <row r="1761" spans="7:12" x14ac:dyDescent="0.2">
      <c r="G1761" s="53"/>
      <c r="H1761" s="53"/>
      <c r="I1761" s="53"/>
      <c r="J1761" s="53"/>
      <c r="K1761" s="53"/>
      <c r="L1761" s="53"/>
    </row>
    <row r="1762" spans="7:12" x14ac:dyDescent="0.2">
      <c r="G1762" s="53"/>
      <c r="H1762" s="53"/>
      <c r="I1762" s="53"/>
      <c r="J1762" s="53"/>
      <c r="K1762" s="53"/>
      <c r="L1762" s="53"/>
    </row>
    <row r="1763" spans="7:12" x14ac:dyDescent="0.2">
      <c r="G1763" s="53"/>
      <c r="H1763" s="53"/>
      <c r="I1763" s="53"/>
      <c r="J1763" s="53"/>
      <c r="K1763" s="53"/>
      <c r="L1763" s="53"/>
    </row>
    <row r="1764" spans="7:12" x14ac:dyDescent="0.2">
      <c r="G1764" s="53"/>
      <c r="H1764" s="53"/>
      <c r="I1764" s="53"/>
      <c r="J1764" s="53"/>
      <c r="K1764" s="53"/>
      <c r="L1764" s="53"/>
    </row>
    <row r="1765" spans="7:12" x14ac:dyDescent="0.2">
      <c r="G1765" s="53"/>
      <c r="H1765" s="53"/>
      <c r="I1765" s="53"/>
      <c r="J1765" s="53"/>
      <c r="K1765" s="53"/>
      <c r="L1765" s="53"/>
    </row>
    <row r="1766" spans="7:12" x14ac:dyDescent="0.2">
      <c r="G1766" s="53"/>
      <c r="H1766" s="53"/>
      <c r="I1766" s="53"/>
      <c r="J1766" s="53"/>
      <c r="K1766" s="53"/>
      <c r="L1766" s="53"/>
    </row>
    <row r="1767" spans="7:12" x14ac:dyDescent="0.2">
      <c r="G1767" s="53"/>
      <c r="H1767" s="53"/>
      <c r="I1767" s="53"/>
      <c r="J1767" s="53"/>
      <c r="K1767" s="53"/>
      <c r="L1767" s="53"/>
    </row>
    <row r="1768" spans="7:12" x14ac:dyDescent="0.2">
      <c r="G1768" s="53"/>
      <c r="H1768" s="53"/>
      <c r="I1768" s="53"/>
      <c r="J1768" s="53"/>
      <c r="K1768" s="53"/>
      <c r="L1768" s="53"/>
    </row>
    <row r="1769" spans="7:12" x14ac:dyDescent="0.2">
      <c r="G1769" s="53"/>
      <c r="H1769" s="53"/>
      <c r="I1769" s="53"/>
      <c r="J1769" s="53"/>
      <c r="K1769" s="53"/>
      <c r="L1769" s="53"/>
    </row>
    <row r="1770" spans="7:12" x14ac:dyDescent="0.2">
      <c r="G1770" s="53"/>
      <c r="H1770" s="53"/>
      <c r="I1770" s="53"/>
      <c r="J1770" s="53"/>
      <c r="K1770" s="53"/>
      <c r="L1770" s="53"/>
    </row>
    <row r="1771" spans="7:12" x14ac:dyDescent="0.2">
      <c r="G1771" s="53"/>
      <c r="H1771" s="53"/>
      <c r="I1771" s="53"/>
      <c r="J1771" s="53"/>
      <c r="K1771" s="53"/>
      <c r="L1771" s="53"/>
    </row>
    <row r="1772" spans="7:12" x14ac:dyDescent="0.2">
      <c r="G1772" s="53"/>
      <c r="H1772" s="53"/>
      <c r="I1772" s="53"/>
      <c r="J1772" s="53"/>
      <c r="K1772" s="53"/>
      <c r="L1772" s="53"/>
    </row>
    <row r="1773" spans="7:12" x14ac:dyDescent="0.2">
      <c r="G1773" s="53"/>
      <c r="H1773" s="53"/>
      <c r="I1773" s="53"/>
      <c r="J1773" s="53"/>
      <c r="K1773" s="53"/>
      <c r="L1773" s="53"/>
    </row>
    <row r="1774" spans="7:12" x14ac:dyDescent="0.2">
      <c r="G1774" s="53"/>
      <c r="H1774" s="53"/>
      <c r="I1774" s="53"/>
      <c r="J1774" s="53"/>
      <c r="K1774" s="53"/>
      <c r="L1774" s="53"/>
    </row>
    <row r="1775" spans="7:12" x14ac:dyDescent="0.2">
      <c r="G1775" s="53"/>
      <c r="H1775" s="53"/>
      <c r="I1775" s="53"/>
      <c r="J1775" s="53"/>
      <c r="K1775" s="53"/>
      <c r="L1775" s="53"/>
    </row>
    <row r="1776" spans="7:12" x14ac:dyDescent="0.2">
      <c r="G1776" s="53"/>
      <c r="H1776" s="53"/>
      <c r="I1776" s="53"/>
      <c r="J1776" s="53"/>
      <c r="K1776" s="53"/>
      <c r="L1776" s="53"/>
    </row>
    <row r="1777" spans="7:12" x14ac:dyDescent="0.2">
      <c r="G1777" s="53"/>
      <c r="H1777" s="53"/>
      <c r="I1777" s="53"/>
      <c r="J1777" s="53"/>
      <c r="K1777" s="53"/>
      <c r="L1777" s="53"/>
    </row>
    <row r="1778" spans="7:12" x14ac:dyDescent="0.2">
      <c r="G1778" s="53"/>
      <c r="H1778" s="53"/>
      <c r="I1778" s="53"/>
      <c r="J1778" s="53"/>
      <c r="K1778" s="53"/>
      <c r="L1778" s="53"/>
    </row>
    <row r="1779" spans="7:12" x14ac:dyDescent="0.2">
      <c r="G1779" s="53"/>
      <c r="H1779" s="53"/>
      <c r="I1779" s="53"/>
      <c r="J1779" s="53"/>
      <c r="K1779" s="53"/>
      <c r="L1779" s="53"/>
    </row>
    <row r="1780" spans="7:12" x14ac:dyDescent="0.2">
      <c r="G1780" s="53"/>
      <c r="H1780" s="53"/>
      <c r="I1780" s="53"/>
      <c r="J1780" s="53"/>
      <c r="K1780" s="53"/>
      <c r="L1780" s="53"/>
    </row>
    <row r="1781" spans="7:12" x14ac:dyDescent="0.2">
      <c r="G1781" s="53"/>
      <c r="H1781" s="53"/>
      <c r="I1781" s="53"/>
      <c r="J1781" s="53"/>
      <c r="K1781" s="53"/>
      <c r="L1781" s="53"/>
    </row>
    <row r="1782" spans="7:12" x14ac:dyDescent="0.2">
      <c r="G1782" s="53"/>
      <c r="H1782" s="53"/>
      <c r="I1782" s="53"/>
      <c r="J1782" s="53"/>
      <c r="K1782" s="53"/>
      <c r="L1782" s="53"/>
    </row>
    <row r="1783" spans="7:12" x14ac:dyDescent="0.2">
      <c r="G1783" s="53"/>
      <c r="H1783" s="53"/>
      <c r="I1783" s="53"/>
      <c r="J1783" s="53"/>
      <c r="K1783" s="53"/>
      <c r="L1783" s="53"/>
    </row>
    <row r="1784" spans="7:12" x14ac:dyDescent="0.2">
      <c r="G1784" s="53"/>
      <c r="H1784" s="53"/>
      <c r="I1784" s="53"/>
      <c r="J1784" s="53"/>
      <c r="K1784" s="53"/>
      <c r="L1784" s="53"/>
    </row>
    <row r="1785" spans="7:12" x14ac:dyDescent="0.2">
      <c r="G1785" s="53"/>
      <c r="H1785" s="53"/>
      <c r="I1785" s="53"/>
      <c r="J1785" s="53"/>
      <c r="K1785" s="53"/>
      <c r="L1785" s="53"/>
    </row>
    <row r="1786" spans="7:12" x14ac:dyDescent="0.2">
      <c r="G1786" s="53"/>
      <c r="H1786" s="53"/>
      <c r="I1786" s="53"/>
      <c r="J1786" s="53"/>
      <c r="K1786" s="53"/>
      <c r="L1786" s="53"/>
    </row>
    <row r="1787" spans="7:12" x14ac:dyDescent="0.2">
      <c r="G1787" s="53"/>
      <c r="H1787" s="53"/>
      <c r="I1787" s="53"/>
      <c r="J1787" s="53"/>
      <c r="K1787" s="53"/>
      <c r="L1787" s="53"/>
    </row>
    <row r="1788" spans="7:12" x14ac:dyDescent="0.2">
      <c r="G1788" s="53"/>
      <c r="H1788" s="53"/>
      <c r="I1788" s="53"/>
      <c r="J1788" s="53"/>
      <c r="K1788" s="53"/>
      <c r="L1788" s="53"/>
    </row>
    <row r="1789" spans="7:12" x14ac:dyDescent="0.2">
      <c r="G1789" s="53"/>
      <c r="H1789" s="53"/>
      <c r="I1789" s="53"/>
      <c r="J1789" s="53"/>
      <c r="K1789" s="53"/>
      <c r="L1789" s="53"/>
    </row>
    <row r="1790" spans="7:12" x14ac:dyDescent="0.2">
      <c r="G1790" s="53"/>
      <c r="H1790" s="53"/>
      <c r="I1790" s="53"/>
      <c r="J1790" s="53"/>
      <c r="K1790" s="53"/>
      <c r="L1790" s="53"/>
    </row>
    <row r="1791" spans="7:12" x14ac:dyDescent="0.2">
      <c r="G1791" s="53"/>
      <c r="H1791" s="53"/>
      <c r="I1791" s="53"/>
      <c r="J1791" s="53"/>
      <c r="K1791" s="53"/>
      <c r="L1791" s="53"/>
    </row>
    <row r="1792" spans="7:12" x14ac:dyDescent="0.2">
      <c r="G1792" s="53"/>
      <c r="H1792" s="53"/>
      <c r="I1792" s="53"/>
      <c r="J1792" s="53"/>
      <c r="K1792" s="53"/>
      <c r="L1792" s="53"/>
    </row>
    <row r="1793" spans="7:12" x14ac:dyDescent="0.2">
      <c r="G1793" s="53"/>
      <c r="H1793" s="53"/>
      <c r="I1793" s="53"/>
      <c r="J1793" s="53"/>
      <c r="K1793" s="53"/>
      <c r="L1793" s="53"/>
    </row>
    <row r="1794" spans="7:12" x14ac:dyDescent="0.2">
      <c r="G1794" s="53"/>
      <c r="H1794" s="53"/>
      <c r="I1794" s="53"/>
      <c r="J1794" s="53"/>
      <c r="K1794" s="53"/>
      <c r="L1794" s="53"/>
    </row>
    <row r="1795" spans="7:12" x14ac:dyDescent="0.2">
      <c r="G1795" s="53"/>
      <c r="H1795" s="53"/>
      <c r="I1795" s="53"/>
      <c r="J1795" s="53"/>
      <c r="K1795" s="53"/>
      <c r="L1795" s="53"/>
    </row>
    <row r="1796" spans="7:12" x14ac:dyDescent="0.2">
      <c r="G1796" s="53"/>
      <c r="H1796" s="53"/>
      <c r="I1796" s="53"/>
      <c r="J1796" s="53"/>
      <c r="K1796" s="53"/>
      <c r="L1796" s="53"/>
    </row>
    <row r="1797" spans="7:12" x14ac:dyDescent="0.2">
      <c r="G1797" s="53"/>
      <c r="H1797" s="53"/>
      <c r="I1797" s="53"/>
      <c r="J1797" s="53"/>
      <c r="K1797" s="53"/>
      <c r="L1797" s="53"/>
    </row>
    <row r="1798" spans="7:12" x14ac:dyDescent="0.2">
      <c r="G1798" s="53"/>
      <c r="H1798" s="53"/>
      <c r="I1798" s="53"/>
      <c r="J1798" s="53"/>
      <c r="K1798" s="53"/>
      <c r="L1798" s="53"/>
    </row>
    <row r="1799" spans="7:12" x14ac:dyDescent="0.2">
      <c r="G1799" s="53"/>
      <c r="H1799" s="53"/>
      <c r="I1799" s="53"/>
      <c r="J1799" s="53"/>
      <c r="K1799" s="53"/>
      <c r="L1799" s="53"/>
    </row>
    <row r="1800" spans="7:12" x14ac:dyDescent="0.2">
      <c r="G1800" s="53"/>
      <c r="H1800" s="53"/>
      <c r="I1800" s="53"/>
      <c r="J1800" s="53"/>
      <c r="K1800" s="53"/>
      <c r="L1800" s="53"/>
    </row>
    <row r="1801" spans="7:12" x14ac:dyDescent="0.2">
      <c r="G1801" s="53"/>
      <c r="H1801" s="53"/>
      <c r="I1801" s="53"/>
      <c r="J1801" s="53"/>
      <c r="K1801" s="53"/>
      <c r="L1801" s="53"/>
    </row>
    <row r="1802" spans="7:12" x14ac:dyDescent="0.2">
      <c r="G1802" s="53"/>
      <c r="H1802" s="53"/>
      <c r="I1802" s="53"/>
      <c r="J1802" s="53"/>
      <c r="K1802" s="53"/>
      <c r="L1802" s="53"/>
    </row>
    <row r="1803" spans="7:12" x14ac:dyDescent="0.2">
      <c r="G1803" s="53"/>
      <c r="H1803" s="53"/>
      <c r="I1803" s="53"/>
      <c r="J1803" s="53"/>
      <c r="K1803" s="53"/>
      <c r="L1803" s="53"/>
    </row>
    <row r="1804" spans="7:12" x14ac:dyDescent="0.2">
      <c r="G1804" s="53"/>
      <c r="H1804" s="53"/>
      <c r="I1804" s="53"/>
      <c r="J1804" s="53"/>
      <c r="K1804" s="53"/>
      <c r="L1804" s="53"/>
    </row>
    <row r="1805" spans="7:12" x14ac:dyDescent="0.2">
      <c r="G1805" s="53"/>
      <c r="H1805" s="53"/>
      <c r="I1805" s="53"/>
      <c r="J1805" s="53"/>
      <c r="K1805" s="53"/>
      <c r="L1805" s="53"/>
    </row>
    <row r="1806" spans="7:12" x14ac:dyDescent="0.2">
      <c r="G1806" s="53"/>
      <c r="H1806" s="53"/>
      <c r="I1806" s="53"/>
      <c r="J1806" s="53"/>
      <c r="K1806" s="53"/>
      <c r="L1806" s="53"/>
    </row>
    <row r="1807" spans="7:12" x14ac:dyDescent="0.2">
      <c r="G1807" s="53"/>
      <c r="H1807" s="53"/>
      <c r="I1807" s="53"/>
      <c r="J1807" s="53"/>
      <c r="K1807" s="53"/>
      <c r="L1807" s="53"/>
    </row>
    <row r="1808" spans="7:12" x14ac:dyDescent="0.2">
      <c r="G1808" s="53"/>
      <c r="H1808" s="53"/>
      <c r="I1808" s="53"/>
      <c r="J1808" s="53"/>
      <c r="K1808" s="53"/>
      <c r="L1808" s="53"/>
    </row>
    <row r="1809" spans="7:12" x14ac:dyDescent="0.2">
      <c r="G1809" s="53"/>
      <c r="H1809" s="53"/>
      <c r="I1809" s="53"/>
      <c r="J1809" s="53"/>
      <c r="K1809" s="53"/>
      <c r="L1809" s="53"/>
    </row>
    <row r="1810" spans="7:12" x14ac:dyDescent="0.2">
      <c r="G1810" s="53"/>
      <c r="H1810" s="53"/>
      <c r="I1810" s="53"/>
      <c r="J1810" s="53"/>
      <c r="K1810" s="53"/>
      <c r="L1810" s="53"/>
    </row>
    <row r="1811" spans="7:12" x14ac:dyDescent="0.2">
      <c r="G1811" s="53"/>
      <c r="H1811" s="53"/>
      <c r="I1811" s="53"/>
      <c r="J1811" s="53"/>
      <c r="K1811" s="53"/>
      <c r="L1811" s="53"/>
    </row>
    <row r="1812" spans="7:12" x14ac:dyDescent="0.2">
      <c r="G1812" s="53"/>
      <c r="H1812" s="53"/>
      <c r="I1812" s="53"/>
      <c r="J1812" s="53"/>
      <c r="K1812" s="53"/>
      <c r="L1812" s="53"/>
    </row>
    <row r="1813" spans="7:12" x14ac:dyDescent="0.2">
      <c r="G1813" s="53"/>
      <c r="H1813" s="53"/>
      <c r="I1813" s="53"/>
      <c r="J1813" s="53"/>
      <c r="K1813" s="53"/>
      <c r="L1813" s="53"/>
    </row>
    <row r="1814" spans="7:12" x14ac:dyDescent="0.2">
      <c r="G1814" s="53"/>
      <c r="H1814" s="53"/>
      <c r="I1814" s="53"/>
      <c r="J1814" s="53"/>
      <c r="K1814" s="53"/>
      <c r="L1814" s="53"/>
    </row>
    <row r="1815" spans="7:12" x14ac:dyDescent="0.2">
      <c r="G1815" s="53"/>
      <c r="H1815" s="53"/>
      <c r="I1815" s="53"/>
      <c r="J1815" s="53"/>
      <c r="K1815" s="53"/>
      <c r="L1815" s="53"/>
    </row>
    <row r="1816" spans="7:12" x14ac:dyDescent="0.2">
      <c r="G1816" s="53"/>
      <c r="H1816" s="53"/>
      <c r="I1816" s="53"/>
      <c r="J1816" s="53"/>
      <c r="K1816" s="53"/>
      <c r="L1816" s="53"/>
    </row>
    <row r="1817" spans="7:12" x14ac:dyDescent="0.2">
      <c r="G1817" s="53"/>
      <c r="H1817" s="53"/>
      <c r="I1817" s="53"/>
      <c r="J1817" s="53"/>
      <c r="K1817" s="53"/>
      <c r="L1817" s="53"/>
    </row>
    <row r="1818" spans="7:12" x14ac:dyDescent="0.2">
      <c r="G1818" s="53"/>
      <c r="H1818" s="53"/>
      <c r="I1818" s="53"/>
      <c r="J1818" s="53"/>
      <c r="K1818" s="53"/>
      <c r="L1818" s="53"/>
    </row>
    <row r="1819" spans="7:12" x14ac:dyDescent="0.2">
      <c r="G1819" s="53"/>
      <c r="H1819" s="53"/>
      <c r="I1819" s="53"/>
      <c r="J1819" s="53"/>
      <c r="K1819" s="53"/>
      <c r="L1819" s="53"/>
    </row>
    <row r="1820" spans="7:12" x14ac:dyDescent="0.2">
      <c r="G1820" s="53"/>
      <c r="H1820" s="53"/>
      <c r="I1820" s="53"/>
      <c r="J1820" s="53"/>
      <c r="K1820" s="53"/>
      <c r="L1820" s="53"/>
    </row>
    <row r="1821" spans="7:12" x14ac:dyDescent="0.2">
      <c r="G1821" s="53"/>
      <c r="H1821" s="53"/>
      <c r="I1821" s="53"/>
      <c r="J1821" s="53"/>
      <c r="K1821" s="53"/>
      <c r="L1821" s="53"/>
    </row>
    <row r="1822" spans="7:12" x14ac:dyDescent="0.2">
      <c r="G1822" s="53"/>
      <c r="H1822" s="53"/>
      <c r="I1822" s="53"/>
      <c r="J1822" s="53"/>
      <c r="K1822" s="53"/>
      <c r="L1822" s="53"/>
    </row>
    <row r="1823" spans="7:12" x14ac:dyDescent="0.2">
      <c r="G1823" s="53"/>
      <c r="H1823" s="53"/>
      <c r="I1823" s="53"/>
      <c r="J1823" s="53"/>
      <c r="K1823" s="53"/>
      <c r="L1823" s="53"/>
    </row>
    <row r="1824" spans="7:12" x14ac:dyDescent="0.2">
      <c r="G1824" s="53"/>
      <c r="H1824" s="53"/>
      <c r="I1824" s="53"/>
      <c r="J1824" s="53"/>
      <c r="K1824" s="53"/>
      <c r="L1824" s="53"/>
    </row>
    <row r="1825" spans="7:12" x14ac:dyDescent="0.2">
      <c r="G1825" s="53"/>
      <c r="H1825" s="53"/>
      <c r="I1825" s="53"/>
      <c r="J1825" s="53"/>
      <c r="K1825" s="53"/>
      <c r="L1825" s="53"/>
    </row>
    <row r="1826" spans="7:12" x14ac:dyDescent="0.2">
      <c r="G1826" s="53"/>
      <c r="H1826" s="53"/>
      <c r="I1826" s="53"/>
      <c r="J1826" s="53"/>
      <c r="K1826" s="53"/>
      <c r="L1826" s="53"/>
    </row>
    <row r="1827" spans="7:12" x14ac:dyDescent="0.2">
      <c r="G1827" s="53"/>
      <c r="H1827" s="53"/>
      <c r="I1827" s="53"/>
      <c r="J1827" s="53"/>
      <c r="K1827" s="53"/>
      <c r="L1827" s="53"/>
    </row>
    <row r="1828" spans="7:12" x14ac:dyDescent="0.2">
      <c r="G1828" s="53"/>
      <c r="H1828" s="53"/>
      <c r="I1828" s="53"/>
      <c r="J1828" s="53"/>
      <c r="K1828" s="53"/>
      <c r="L1828" s="53"/>
    </row>
    <row r="1829" spans="7:12" x14ac:dyDescent="0.2">
      <c r="G1829" s="53"/>
      <c r="H1829" s="53"/>
      <c r="I1829" s="53"/>
      <c r="J1829" s="53"/>
      <c r="K1829" s="53"/>
      <c r="L1829" s="53"/>
    </row>
    <row r="1830" spans="7:12" x14ac:dyDescent="0.2">
      <c r="G1830" s="53"/>
      <c r="H1830" s="53"/>
      <c r="I1830" s="53"/>
      <c r="J1830" s="53"/>
      <c r="K1830" s="53"/>
      <c r="L1830" s="53"/>
    </row>
    <row r="1831" spans="7:12" x14ac:dyDescent="0.2">
      <c r="G1831" s="53"/>
      <c r="H1831" s="53"/>
      <c r="I1831" s="53"/>
      <c r="J1831" s="53"/>
      <c r="K1831" s="53"/>
      <c r="L1831" s="53"/>
    </row>
    <row r="1832" spans="7:12" x14ac:dyDescent="0.2">
      <c r="G1832" s="53"/>
      <c r="H1832" s="53"/>
      <c r="I1832" s="53"/>
      <c r="J1832" s="53"/>
      <c r="K1832" s="53"/>
      <c r="L1832" s="53"/>
    </row>
    <row r="1833" spans="7:12" x14ac:dyDescent="0.2">
      <c r="G1833" s="53"/>
      <c r="H1833" s="53"/>
      <c r="I1833" s="53"/>
      <c r="J1833" s="53"/>
      <c r="K1833" s="53"/>
      <c r="L1833" s="53"/>
    </row>
    <row r="1834" spans="7:12" x14ac:dyDescent="0.2">
      <c r="G1834" s="53"/>
      <c r="H1834" s="53"/>
      <c r="I1834" s="53"/>
      <c r="J1834" s="53"/>
      <c r="K1834" s="53"/>
      <c r="L1834" s="53"/>
    </row>
    <row r="1835" spans="7:12" x14ac:dyDescent="0.2">
      <c r="G1835" s="53"/>
      <c r="H1835" s="53"/>
      <c r="I1835" s="53"/>
      <c r="J1835" s="53"/>
      <c r="K1835" s="53"/>
      <c r="L1835" s="53"/>
    </row>
    <row r="1836" spans="7:12" x14ac:dyDescent="0.2">
      <c r="G1836" s="53"/>
      <c r="H1836" s="53"/>
      <c r="I1836" s="53"/>
      <c r="J1836" s="53"/>
      <c r="K1836" s="53"/>
      <c r="L1836" s="53"/>
    </row>
    <row r="1837" spans="7:12" x14ac:dyDescent="0.2">
      <c r="G1837" s="53"/>
      <c r="H1837" s="53"/>
      <c r="I1837" s="53"/>
      <c r="J1837" s="53"/>
      <c r="K1837" s="53"/>
      <c r="L1837" s="53"/>
    </row>
    <row r="1838" spans="7:12" x14ac:dyDescent="0.2">
      <c r="G1838" s="53"/>
      <c r="H1838" s="53"/>
      <c r="I1838" s="53"/>
      <c r="J1838" s="53"/>
      <c r="K1838" s="53"/>
      <c r="L1838" s="53"/>
    </row>
    <row r="1839" spans="7:12" x14ac:dyDescent="0.2">
      <c r="G1839" s="53"/>
      <c r="H1839" s="53"/>
      <c r="I1839" s="53"/>
      <c r="J1839" s="53"/>
      <c r="K1839" s="53"/>
      <c r="L1839" s="53"/>
    </row>
    <row r="1840" spans="7:12" x14ac:dyDescent="0.2">
      <c r="G1840" s="53"/>
      <c r="H1840" s="53"/>
      <c r="I1840" s="53"/>
      <c r="J1840" s="53"/>
      <c r="K1840" s="53"/>
      <c r="L1840" s="53"/>
    </row>
    <row r="1841" spans="7:12" x14ac:dyDescent="0.2">
      <c r="G1841" s="53"/>
      <c r="H1841" s="53"/>
      <c r="I1841" s="53"/>
      <c r="J1841" s="53"/>
      <c r="K1841" s="53"/>
      <c r="L1841" s="53"/>
    </row>
    <row r="1842" spans="7:12" x14ac:dyDescent="0.2">
      <c r="G1842" s="53"/>
      <c r="H1842" s="53"/>
      <c r="I1842" s="53"/>
      <c r="J1842" s="53"/>
      <c r="K1842" s="53"/>
      <c r="L1842" s="53"/>
    </row>
    <row r="1843" spans="7:12" x14ac:dyDescent="0.2">
      <c r="G1843" s="53"/>
      <c r="H1843" s="53"/>
      <c r="I1843" s="53"/>
      <c r="J1843" s="53"/>
      <c r="K1843" s="53"/>
      <c r="L1843" s="53"/>
    </row>
    <row r="1844" spans="7:12" x14ac:dyDescent="0.2">
      <c r="G1844" s="53"/>
      <c r="H1844" s="53"/>
      <c r="I1844" s="53"/>
      <c r="J1844" s="53"/>
      <c r="K1844" s="53"/>
      <c r="L1844" s="53"/>
    </row>
    <row r="1845" spans="7:12" x14ac:dyDescent="0.2">
      <c r="G1845" s="53"/>
      <c r="H1845" s="53"/>
      <c r="I1845" s="53"/>
      <c r="J1845" s="53"/>
      <c r="K1845" s="53"/>
      <c r="L1845" s="53"/>
    </row>
    <row r="1846" spans="7:12" x14ac:dyDescent="0.2">
      <c r="G1846" s="53"/>
      <c r="H1846" s="53"/>
      <c r="I1846" s="53"/>
      <c r="J1846" s="53"/>
      <c r="K1846" s="53"/>
      <c r="L1846" s="53"/>
    </row>
    <row r="1847" spans="7:12" x14ac:dyDescent="0.2">
      <c r="G1847" s="53"/>
      <c r="H1847" s="53"/>
      <c r="I1847" s="53"/>
      <c r="J1847" s="53"/>
      <c r="K1847" s="53"/>
      <c r="L1847" s="53"/>
    </row>
    <row r="1848" spans="7:12" x14ac:dyDescent="0.2">
      <c r="G1848" s="53"/>
      <c r="H1848" s="53"/>
      <c r="I1848" s="53"/>
      <c r="J1848" s="53"/>
      <c r="K1848" s="53"/>
      <c r="L1848" s="53"/>
    </row>
    <row r="1849" spans="7:12" x14ac:dyDescent="0.2">
      <c r="G1849" s="53"/>
      <c r="H1849" s="53"/>
      <c r="I1849" s="53"/>
      <c r="J1849" s="53"/>
      <c r="K1849" s="53"/>
      <c r="L1849" s="53"/>
    </row>
    <row r="1850" spans="7:12" x14ac:dyDescent="0.2">
      <c r="G1850" s="53"/>
      <c r="H1850" s="53"/>
      <c r="I1850" s="53"/>
      <c r="J1850" s="53"/>
      <c r="K1850" s="53"/>
      <c r="L1850" s="53"/>
    </row>
    <row r="1851" spans="7:12" x14ac:dyDescent="0.2">
      <c r="G1851" s="53"/>
      <c r="H1851" s="53"/>
      <c r="I1851" s="53"/>
      <c r="J1851" s="53"/>
      <c r="K1851" s="53"/>
      <c r="L1851" s="53"/>
    </row>
    <row r="1852" spans="7:12" x14ac:dyDescent="0.2">
      <c r="G1852" s="53"/>
      <c r="H1852" s="53"/>
      <c r="I1852" s="53"/>
      <c r="J1852" s="53"/>
      <c r="K1852" s="53"/>
      <c r="L1852" s="53"/>
    </row>
    <row r="1853" spans="7:12" x14ac:dyDescent="0.2">
      <c r="G1853" s="53"/>
      <c r="H1853" s="53"/>
      <c r="I1853" s="53"/>
      <c r="J1853" s="53"/>
      <c r="K1853" s="53"/>
      <c r="L1853" s="53"/>
    </row>
    <row r="1854" spans="7:12" x14ac:dyDescent="0.2">
      <c r="G1854" s="53"/>
      <c r="H1854" s="53"/>
      <c r="I1854" s="53"/>
      <c r="J1854" s="53"/>
      <c r="K1854" s="53"/>
      <c r="L1854" s="53"/>
    </row>
    <row r="1855" spans="7:12" x14ac:dyDescent="0.2">
      <c r="G1855" s="53"/>
      <c r="H1855" s="53"/>
      <c r="I1855" s="53"/>
      <c r="J1855" s="53"/>
      <c r="K1855" s="53"/>
      <c r="L1855" s="53"/>
    </row>
    <row r="1856" spans="7:12" x14ac:dyDescent="0.2">
      <c r="G1856" s="53"/>
      <c r="H1856" s="53"/>
      <c r="I1856" s="53"/>
      <c r="J1856" s="53"/>
      <c r="K1856" s="53"/>
      <c r="L1856" s="53"/>
    </row>
    <row r="1857" spans="7:12" x14ac:dyDescent="0.2">
      <c r="G1857" s="53"/>
      <c r="H1857" s="53"/>
      <c r="I1857" s="53"/>
      <c r="J1857" s="53"/>
      <c r="K1857" s="53"/>
      <c r="L1857" s="53"/>
    </row>
    <row r="1858" spans="7:12" x14ac:dyDescent="0.2">
      <c r="G1858" s="53"/>
      <c r="H1858" s="53"/>
      <c r="I1858" s="53"/>
      <c r="J1858" s="53"/>
      <c r="K1858" s="53"/>
      <c r="L1858" s="53"/>
    </row>
    <row r="1859" spans="7:12" x14ac:dyDescent="0.2">
      <c r="G1859" s="53"/>
      <c r="H1859" s="53"/>
      <c r="I1859" s="53"/>
      <c r="J1859" s="53"/>
      <c r="K1859" s="53"/>
      <c r="L1859" s="53"/>
    </row>
    <row r="1860" spans="7:12" x14ac:dyDescent="0.2">
      <c r="G1860" s="53"/>
      <c r="H1860" s="53"/>
      <c r="I1860" s="53"/>
      <c r="J1860" s="53"/>
      <c r="K1860" s="53"/>
      <c r="L1860" s="53"/>
    </row>
    <row r="1861" spans="7:12" x14ac:dyDescent="0.2">
      <c r="G1861" s="53"/>
      <c r="H1861" s="53"/>
      <c r="I1861" s="53"/>
      <c r="J1861" s="53"/>
      <c r="K1861" s="53"/>
      <c r="L1861" s="53"/>
    </row>
    <row r="1862" spans="7:12" x14ac:dyDescent="0.2">
      <c r="G1862" s="53"/>
      <c r="H1862" s="53"/>
      <c r="I1862" s="53"/>
      <c r="J1862" s="53"/>
      <c r="K1862" s="53"/>
      <c r="L1862" s="53"/>
    </row>
    <row r="1863" spans="7:12" x14ac:dyDescent="0.2">
      <c r="G1863" s="53"/>
      <c r="H1863" s="53"/>
      <c r="I1863" s="53"/>
      <c r="J1863" s="53"/>
      <c r="K1863" s="53"/>
      <c r="L1863" s="53"/>
    </row>
    <row r="1864" spans="7:12" x14ac:dyDescent="0.2">
      <c r="G1864" s="53"/>
      <c r="H1864" s="53"/>
      <c r="I1864" s="53"/>
      <c r="J1864" s="53"/>
      <c r="K1864" s="53"/>
      <c r="L1864" s="53"/>
    </row>
    <row r="1865" spans="7:12" x14ac:dyDescent="0.2">
      <c r="G1865" s="53"/>
      <c r="H1865" s="53"/>
      <c r="I1865" s="53"/>
      <c r="J1865" s="53"/>
      <c r="K1865" s="53"/>
      <c r="L1865" s="53"/>
    </row>
    <row r="1866" spans="7:12" x14ac:dyDescent="0.2">
      <c r="G1866" s="53"/>
      <c r="H1866" s="53"/>
      <c r="I1866" s="53"/>
      <c r="J1866" s="53"/>
      <c r="K1866" s="53"/>
      <c r="L1866" s="53"/>
    </row>
    <row r="1867" spans="7:12" x14ac:dyDescent="0.2">
      <c r="G1867" s="53"/>
      <c r="H1867" s="53"/>
      <c r="I1867" s="53"/>
      <c r="J1867" s="53"/>
      <c r="K1867" s="53"/>
      <c r="L1867" s="53"/>
    </row>
    <row r="1868" spans="7:12" x14ac:dyDescent="0.2">
      <c r="G1868" s="53"/>
      <c r="H1868" s="53"/>
      <c r="I1868" s="53"/>
      <c r="J1868" s="53"/>
      <c r="K1868" s="53"/>
      <c r="L1868" s="53"/>
    </row>
    <row r="1869" spans="7:12" x14ac:dyDescent="0.2">
      <c r="G1869" s="53"/>
      <c r="H1869" s="53"/>
      <c r="I1869" s="53"/>
      <c r="J1869" s="53"/>
      <c r="K1869" s="53"/>
      <c r="L1869" s="53"/>
    </row>
    <row r="1870" spans="7:12" x14ac:dyDescent="0.2">
      <c r="G1870" s="53"/>
      <c r="H1870" s="53"/>
      <c r="I1870" s="53"/>
      <c r="J1870" s="53"/>
      <c r="K1870" s="53"/>
      <c r="L1870" s="53"/>
    </row>
    <row r="1871" spans="7:12" x14ac:dyDescent="0.2">
      <c r="G1871" s="53"/>
      <c r="H1871" s="53"/>
      <c r="I1871" s="53"/>
      <c r="J1871" s="53"/>
      <c r="K1871" s="53"/>
      <c r="L1871" s="53"/>
    </row>
    <row r="1872" spans="7:12" x14ac:dyDescent="0.2">
      <c r="G1872" s="53"/>
      <c r="H1872" s="53"/>
      <c r="I1872" s="53"/>
      <c r="J1872" s="53"/>
      <c r="K1872" s="53"/>
      <c r="L1872" s="53"/>
    </row>
    <row r="1873" spans="7:12" x14ac:dyDescent="0.2">
      <c r="G1873" s="53"/>
      <c r="H1873" s="53"/>
      <c r="I1873" s="53"/>
      <c r="J1873" s="53"/>
      <c r="K1873" s="53"/>
      <c r="L1873" s="53"/>
    </row>
    <row r="1874" spans="7:12" x14ac:dyDescent="0.2">
      <c r="G1874" s="53"/>
      <c r="H1874" s="53"/>
      <c r="I1874" s="53"/>
      <c r="J1874" s="53"/>
      <c r="K1874" s="53"/>
      <c r="L1874" s="53"/>
    </row>
    <row r="1875" spans="7:12" x14ac:dyDescent="0.2">
      <c r="G1875" s="53"/>
      <c r="H1875" s="53"/>
      <c r="I1875" s="53"/>
      <c r="J1875" s="53"/>
      <c r="K1875" s="53"/>
      <c r="L1875" s="53"/>
    </row>
    <row r="1876" spans="7:12" x14ac:dyDescent="0.2">
      <c r="G1876" s="53"/>
      <c r="H1876" s="53"/>
      <c r="I1876" s="53"/>
      <c r="J1876" s="53"/>
      <c r="K1876" s="53"/>
      <c r="L1876" s="53"/>
    </row>
    <row r="1877" spans="7:12" x14ac:dyDescent="0.2">
      <c r="G1877" s="53"/>
      <c r="H1877" s="53"/>
      <c r="I1877" s="53"/>
      <c r="J1877" s="53"/>
      <c r="K1877" s="53"/>
      <c r="L1877" s="53"/>
    </row>
    <row r="1878" spans="7:12" x14ac:dyDescent="0.2">
      <c r="G1878" s="53"/>
      <c r="H1878" s="53"/>
      <c r="I1878" s="53"/>
      <c r="J1878" s="53"/>
      <c r="K1878" s="53"/>
      <c r="L1878" s="53"/>
    </row>
    <row r="1879" spans="7:12" x14ac:dyDescent="0.2">
      <c r="G1879" s="53"/>
      <c r="H1879" s="53"/>
      <c r="I1879" s="53"/>
      <c r="J1879" s="53"/>
      <c r="K1879" s="53"/>
      <c r="L1879" s="53"/>
    </row>
    <row r="1880" spans="7:12" x14ac:dyDescent="0.2">
      <c r="G1880" s="53"/>
      <c r="H1880" s="53"/>
      <c r="I1880" s="53"/>
      <c r="J1880" s="53"/>
      <c r="K1880" s="53"/>
      <c r="L1880" s="53"/>
    </row>
    <row r="1881" spans="7:12" x14ac:dyDescent="0.2">
      <c r="G1881" s="53"/>
      <c r="H1881" s="53"/>
      <c r="I1881" s="53"/>
      <c r="J1881" s="53"/>
      <c r="K1881" s="53"/>
      <c r="L1881" s="53"/>
    </row>
    <row r="1882" spans="7:12" x14ac:dyDescent="0.2">
      <c r="G1882" s="53"/>
      <c r="H1882" s="53"/>
      <c r="I1882" s="53"/>
      <c r="J1882" s="53"/>
      <c r="K1882" s="53"/>
      <c r="L1882" s="53"/>
    </row>
    <row r="1883" spans="7:12" x14ac:dyDescent="0.2">
      <c r="G1883" s="53"/>
      <c r="H1883" s="53"/>
      <c r="I1883" s="53"/>
      <c r="J1883" s="53"/>
      <c r="K1883" s="53"/>
      <c r="L1883" s="53"/>
    </row>
    <row r="1884" spans="7:12" x14ac:dyDescent="0.2">
      <c r="G1884" s="53"/>
      <c r="H1884" s="53"/>
      <c r="I1884" s="53"/>
      <c r="J1884" s="53"/>
      <c r="K1884" s="53"/>
      <c r="L1884" s="53"/>
    </row>
    <row r="1885" spans="7:12" x14ac:dyDescent="0.2">
      <c r="G1885" s="53"/>
      <c r="H1885" s="53"/>
      <c r="I1885" s="53"/>
      <c r="J1885" s="53"/>
      <c r="K1885" s="53"/>
      <c r="L1885" s="53"/>
    </row>
    <row r="1886" spans="7:12" x14ac:dyDescent="0.2">
      <c r="G1886" s="53"/>
      <c r="H1886" s="53"/>
      <c r="I1886" s="53"/>
      <c r="J1886" s="53"/>
      <c r="K1886" s="53"/>
      <c r="L1886" s="53"/>
    </row>
    <row r="1887" spans="7:12" x14ac:dyDescent="0.2">
      <c r="G1887" s="53"/>
      <c r="H1887" s="53"/>
      <c r="I1887" s="53"/>
      <c r="J1887" s="53"/>
      <c r="K1887" s="53"/>
      <c r="L1887" s="53"/>
    </row>
    <row r="1888" spans="7:12" x14ac:dyDescent="0.2">
      <c r="G1888" s="53"/>
      <c r="H1888" s="53"/>
      <c r="I1888" s="53"/>
      <c r="J1888" s="53"/>
      <c r="K1888" s="53"/>
      <c r="L1888" s="53"/>
    </row>
    <row r="1889" spans="7:12" x14ac:dyDescent="0.2">
      <c r="G1889" s="53"/>
      <c r="H1889" s="53"/>
      <c r="I1889" s="53"/>
      <c r="J1889" s="53"/>
      <c r="K1889" s="53"/>
      <c r="L1889" s="53"/>
    </row>
    <row r="1890" spans="7:12" x14ac:dyDescent="0.2">
      <c r="G1890" s="53"/>
      <c r="H1890" s="53"/>
      <c r="I1890" s="53"/>
      <c r="J1890" s="53"/>
      <c r="K1890" s="53"/>
      <c r="L1890" s="53"/>
    </row>
    <row r="1891" spans="7:12" x14ac:dyDescent="0.2">
      <c r="G1891" s="53"/>
      <c r="H1891" s="53"/>
      <c r="I1891" s="53"/>
      <c r="J1891" s="53"/>
      <c r="K1891" s="53"/>
      <c r="L1891" s="53"/>
    </row>
    <row r="1892" spans="7:12" x14ac:dyDescent="0.2">
      <c r="G1892" s="53"/>
      <c r="H1892" s="53"/>
      <c r="I1892" s="53"/>
      <c r="J1892" s="53"/>
      <c r="K1892" s="53"/>
      <c r="L1892" s="53"/>
    </row>
    <row r="1893" spans="7:12" x14ac:dyDescent="0.2">
      <c r="G1893" s="53"/>
      <c r="H1893" s="53"/>
      <c r="I1893" s="53"/>
      <c r="J1893" s="53"/>
      <c r="K1893" s="53"/>
      <c r="L1893" s="53"/>
    </row>
    <row r="1894" spans="7:12" x14ac:dyDescent="0.2">
      <c r="G1894" s="53"/>
      <c r="H1894" s="53"/>
      <c r="I1894" s="53"/>
      <c r="J1894" s="53"/>
      <c r="K1894" s="53"/>
      <c r="L1894" s="53"/>
    </row>
    <row r="1895" spans="7:12" x14ac:dyDescent="0.2">
      <c r="G1895" s="53"/>
      <c r="H1895" s="53"/>
      <c r="I1895" s="53"/>
      <c r="J1895" s="53"/>
      <c r="K1895" s="53"/>
      <c r="L1895" s="53"/>
    </row>
    <row r="1896" spans="7:12" x14ac:dyDescent="0.2">
      <c r="G1896" s="53"/>
      <c r="H1896" s="53"/>
      <c r="I1896" s="53"/>
      <c r="J1896" s="53"/>
      <c r="K1896" s="53"/>
      <c r="L1896" s="53"/>
    </row>
    <row r="1897" spans="7:12" x14ac:dyDescent="0.2">
      <c r="G1897" s="53"/>
      <c r="H1897" s="53"/>
      <c r="I1897" s="53"/>
      <c r="J1897" s="53"/>
      <c r="K1897" s="53"/>
      <c r="L1897" s="53"/>
    </row>
    <row r="1898" spans="7:12" x14ac:dyDescent="0.2">
      <c r="G1898" s="53"/>
      <c r="H1898" s="53"/>
      <c r="I1898" s="53"/>
      <c r="J1898" s="53"/>
      <c r="K1898" s="53"/>
      <c r="L1898" s="53"/>
    </row>
    <row r="1899" spans="7:12" x14ac:dyDescent="0.2">
      <c r="G1899" s="53"/>
      <c r="H1899" s="53"/>
      <c r="I1899" s="53"/>
      <c r="J1899" s="53"/>
      <c r="K1899" s="53"/>
      <c r="L1899" s="53"/>
    </row>
    <row r="1900" spans="7:12" x14ac:dyDescent="0.2">
      <c r="G1900" s="53"/>
      <c r="H1900" s="53"/>
      <c r="I1900" s="53"/>
      <c r="J1900" s="53"/>
      <c r="K1900" s="53"/>
      <c r="L1900" s="53"/>
    </row>
    <row r="1901" spans="7:12" x14ac:dyDescent="0.2">
      <c r="G1901" s="53"/>
      <c r="H1901" s="53"/>
      <c r="I1901" s="53"/>
      <c r="J1901" s="53"/>
      <c r="K1901" s="53"/>
      <c r="L1901" s="53"/>
    </row>
    <row r="1902" spans="7:12" x14ac:dyDescent="0.2">
      <c r="G1902" s="53"/>
      <c r="H1902" s="53"/>
      <c r="I1902" s="53"/>
      <c r="J1902" s="53"/>
      <c r="K1902" s="53"/>
      <c r="L1902" s="53"/>
    </row>
    <row r="1903" spans="7:12" x14ac:dyDescent="0.2">
      <c r="G1903" s="53"/>
      <c r="H1903" s="53"/>
      <c r="I1903" s="53"/>
      <c r="J1903" s="53"/>
      <c r="K1903" s="53"/>
      <c r="L1903" s="53"/>
    </row>
    <row r="1904" spans="7:12" x14ac:dyDescent="0.2">
      <c r="G1904" s="53"/>
      <c r="H1904" s="53"/>
      <c r="I1904" s="53"/>
      <c r="J1904" s="53"/>
      <c r="K1904" s="53"/>
      <c r="L1904" s="53"/>
    </row>
    <row r="1905" spans="7:12" x14ac:dyDescent="0.2">
      <c r="G1905" s="53"/>
      <c r="H1905" s="53"/>
      <c r="I1905" s="53"/>
      <c r="J1905" s="53"/>
      <c r="K1905" s="53"/>
      <c r="L1905" s="53"/>
    </row>
    <row r="1906" spans="7:12" x14ac:dyDescent="0.2">
      <c r="G1906" s="53"/>
      <c r="H1906" s="53"/>
      <c r="I1906" s="53"/>
      <c r="J1906" s="53"/>
      <c r="K1906" s="53"/>
      <c r="L1906" s="53"/>
    </row>
    <row r="1907" spans="7:12" x14ac:dyDescent="0.2">
      <c r="G1907" s="53"/>
      <c r="H1907" s="53"/>
      <c r="I1907" s="53"/>
      <c r="J1907" s="53"/>
      <c r="K1907" s="53"/>
      <c r="L1907" s="53"/>
    </row>
    <row r="1908" spans="7:12" x14ac:dyDescent="0.2">
      <c r="G1908" s="53"/>
      <c r="H1908" s="53"/>
      <c r="I1908" s="53"/>
      <c r="J1908" s="53"/>
      <c r="K1908" s="53"/>
      <c r="L1908" s="53"/>
    </row>
    <row r="1909" spans="7:12" x14ac:dyDescent="0.2">
      <c r="G1909" s="53"/>
      <c r="H1909" s="53"/>
      <c r="I1909" s="53"/>
      <c r="J1909" s="53"/>
      <c r="K1909" s="53"/>
      <c r="L1909" s="53"/>
    </row>
    <row r="1910" spans="7:12" x14ac:dyDescent="0.2">
      <c r="G1910" s="53"/>
      <c r="H1910" s="53"/>
      <c r="I1910" s="53"/>
      <c r="J1910" s="53"/>
      <c r="K1910" s="53"/>
      <c r="L1910" s="53"/>
    </row>
    <row r="1911" spans="7:12" x14ac:dyDescent="0.2">
      <c r="G1911" s="53"/>
      <c r="H1911" s="53"/>
      <c r="I1911" s="53"/>
      <c r="J1911" s="53"/>
      <c r="K1911" s="53"/>
      <c r="L1911" s="53"/>
    </row>
    <row r="1912" spans="7:12" x14ac:dyDescent="0.2">
      <c r="G1912" s="53"/>
      <c r="H1912" s="53"/>
      <c r="I1912" s="53"/>
      <c r="J1912" s="53"/>
      <c r="K1912" s="53"/>
      <c r="L1912" s="53"/>
    </row>
    <row r="1913" spans="7:12" x14ac:dyDescent="0.2">
      <c r="G1913" s="53"/>
      <c r="H1913" s="53"/>
      <c r="I1913" s="53"/>
      <c r="J1913" s="53"/>
      <c r="K1913" s="53"/>
      <c r="L1913" s="53"/>
    </row>
    <row r="1914" spans="7:12" x14ac:dyDescent="0.2">
      <c r="G1914" s="53"/>
      <c r="H1914" s="53"/>
      <c r="I1914" s="53"/>
      <c r="J1914" s="53"/>
      <c r="K1914" s="53"/>
      <c r="L1914" s="53"/>
    </row>
    <row r="1915" spans="7:12" x14ac:dyDescent="0.2">
      <c r="G1915" s="53"/>
      <c r="H1915" s="53"/>
      <c r="I1915" s="53"/>
      <c r="J1915" s="53"/>
      <c r="K1915" s="53"/>
      <c r="L1915" s="53"/>
    </row>
    <row r="1916" spans="7:12" x14ac:dyDescent="0.2">
      <c r="G1916" s="53"/>
      <c r="H1916" s="53"/>
      <c r="I1916" s="53"/>
      <c r="J1916" s="53"/>
      <c r="K1916" s="53"/>
      <c r="L1916" s="53"/>
    </row>
    <row r="1917" spans="7:12" x14ac:dyDescent="0.2">
      <c r="G1917" s="53"/>
      <c r="H1917" s="53"/>
      <c r="I1917" s="53"/>
      <c r="J1917" s="53"/>
      <c r="K1917" s="53"/>
      <c r="L1917" s="53"/>
    </row>
    <row r="1918" spans="7:12" x14ac:dyDescent="0.2">
      <c r="G1918" s="53"/>
      <c r="H1918" s="53"/>
      <c r="I1918" s="53"/>
      <c r="J1918" s="53"/>
      <c r="K1918" s="53"/>
      <c r="L1918" s="53"/>
    </row>
    <row r="1919" spans="7:12" x14ac:dyDescent="0.2">
      <c r="G1919" s="53"/>
      <c r="H1919" s="53"/>
      <c r="I1919" s="53"/>
      <c r="J1919" s="53"/>
      <c r="K1919" s="53"/>
      <c r="L1919" s="53"/>
    </row>
    <row r="1920" spans="7:12" x14ac:dyDescent="0.2">
      <c r="G1920" s="53"/>
      <c r="H1920" s="53"/>
      <c r="I1920" s="53"/>
      <c r="J1920" s="53"/>
      <c r="K1920" s="53"/>
      <c r="L1920" s="53"/>
    </row>
    <row r="1921" spans="7:12" x14ac:dyDescent="0.2">
      <c r="G1921" s="53"/>
      <c r="H1921" s="53"/>
      <c r="I1921" s="53"/>
      <c r="J1921" s="53"/>
      <c r="K1921" s="53"/>
      <c r="L1921" s="53"/>
    </row>
    <row r="1922" spans="7:12" x14ac:dyDescent="0.2">
      <c r="G1922" s="53"/>
      <c r="H1922" s="53"/>
      <c r="I1922" s="53"/>
      <c r="J1922" s="53"/>
      <c r="K1922" s="53"/>
      <c r="L1922" s="53"/>
    </row>
    <row r="1923" spans="7:12" x14ac:dyDescent="0.2">
      <c r="G1923" s="53"/>
      <c r="H1923" s="53"/>
      <c r="I1923" s="53"/>
      <c r="J1923" s="53"/>
      <c r="K1923" s="53"/>
      <c r="L1923" s="53"/>
    </row>
    <row r="1924" spans="7:12" x14ac:dyDescent="0.2">
      <c r="G1924" s="53"/>
      <c r="H1924" s="53"/>
      <c r="I1924" s="53"/>
      <c r="J1924" s="53"/>
      <c r="K1924" s="53"/>
      <c r="L1924" s="53"/>
    </row>
    <row r="1925" spans="7:12" x14ac:dyDescent="0.2">
      <c r="G1925" s="53"/>
      <c r="H1925" s="53"/>
      <c r="I1925" s="53"/>
      <c r="J1925" s="53"/>
      <c r="K1925" s="53"/>
      <c r="L1925" s="53"/>
    </row>
    <row r="1926" spans="7:12" x14ac:dyDescent="0.2">
      <c r="G1926" s="53"/>
      <c r="H1926" s="53"/>
      <c r="I1926" s="53"/>
      <c r="J1926" s="53"/>
      <c r="K1926" s="53"/>
      <c r="L1926" s="53"/>
    </row>
    <row r="1927" spans="7:12" x14ac:dyDescent="0.2">
      <c r="G1927" s="53"/>
      <c r="H1927" s="53"/>
      <c r="I1927" s="53"/>
      <c r="J1927" s="53"/>
      <c r="K1927" s="53"/>
      <c r="L1927" s="53"/>
    </row>
    <row r="1928" spans="7:12" x14ac:dyDescent="0.2">
      <c r="G1928" s="53"/>
      <c r="H1928" s="53"/>
      <c r="I1928" s="53"/>
      <c r="J1928" s="53"/>
      <c r="K1928" s="53"/>
      <c r="L1928" s="53"/>
    </row>
    <row r="1929" spans="7:12" x14ac:dyDescent="0.2">
      <c r="G1929" s="53"/>
      <c r="H1929" s="53"/>
      <c r="I1929" s="53"/>
      <c r="J1929" s="53"/>
      <c r="K1929" s="53"/>
      <c r="L1929" s="53"/>
    </row>
    <row r="1930" spans="7:12" x14ac:dyDescent="0.2">
      <c r="G1930" s="53"/>
      <c r="H1930" s="53"/>
      <c r="I1930" s="53"/>
      <c r="J1930" s="53"/>
      <c r="K1930" s="53"/>
      <c r="L1930" s="53"/>
    </row>
    <row r="1931" spans="7:12" x14ac:dyDescent="0.2">
      <c r="G1931" s="53"/>
      <c r="H1931" s="53"/>
      <c r="I1931" s="53"/>
      <c r="J1931" s="53"/>
      <c r="K1931" s="53"/>
      <c r="L1931" s="53"/>
    </row>
    <row r="1932" spans="7:12" x14ac:dyDescent="0.2">
      <c r="G1932" s="53"/>
      <c r="H1932" s="53"/>
      <c r="I1932" s="53"/>
      <c r="J1932" s="53"/>
      <c r="K1932" s="53"/>
      <c r="L1932" s="53"/>
    </row>
    <row r="1933" spans="7:12" x14ac:dyDescent="0.2">
      <c r="G1933" s="53"/>
      <c r="H1933" s="53"/>
      <c r="I1933" s="53"/>
      <c r="J1933" s="53"/>
      <c r="K1933" s="53"/>
      <c r="L1933" s="53"/>
    </row>
    <row r="1934" spans="7:12" x14ac:dyDescent="0.2">
      <c r="G1934" s="53"/>
      <c r="H1934" s="53"/>
      <c r="I1934" s="53"/>
      <c r="J1934" s="53"/>
      <c r="K1934" s="53"/>
      <c r="L1934" s="53"/>
    </row>
    <row r="1935" spans="7:12" x14ac:dyDescent="0.2">
      <c r="G1935" s="53"/>
      <c r="H1935" s="53"/>
      <c r="I1935" s="53"/>
      <c r="J1935" s="53"/>
      <c r="K1935" s="53"/>
      <c r="L1935" s="53"/>
    </row>
    <row r="1936" spans="7:12" x14ac:dyDescent="0.2">
      <c r="G1936" s="53"/>
      <c r="H1936" s="53"/>
      <c r="I1936" s="53"/>
      <c r="J1936" s="53"/>
      <c r="K1936" s="53"/>
      <c r="L1936" s="53"/>
    </row>
    <row r="1937" spans="7:12" x14ac:dyDescent="0.2">
      <c r="G1937" s="53"/>
      <c r="H1937" s="53"/>
      <c r="I1937" s="53"/>
      <c r="J1937" s="53"/>
      <c r="K1937" s="53"/>
      <c r="L1937" s="53"/>
    </row>
    <row r="1938" spans="7:12" x14ac:dyDescent="0.2">
      <c r="G1938" s="53"/>
      <c r="H1938" s="53"/>
      <c r="I1938" s="53"/>
      <c r="J1938" s="53"/>
      <c r="K1938" s="53"/>
      <c r="L1938" s="53"/>
    </row>
    <row r="1939" spans="7:12" x14ac:dyDescent="0.2">
      <c r="G1939" s="53"/>
      <c r="H1939" s="53"/>
      <c r="I1939" s="53"/>
      <c r="J1939" s="53"/>
      <c r="K1939" s="53"/>
      <c r="L1939" s="53"/>
    </row>
    <row r="1940" spans="7:12" x14ac:dyDescent="0.2">
      <c r="G1940" s="53"/>
      <c r="H1940" s="53"/>
      <c r="I1940" s="53"/>
      <c r="J1940" s="53"/>
      <c r="K1940" s="53"/>
      <c r="L1940" s="53"/>
    </row>
    <row r="1941" spans="7:12" x14ac:dyDescent="0.2">
      <c r="G1941" s="53"/>
      <c r="H1941" s="53"/>
      <c r="I1941" s="53"/>
      <c r="J1941" s="53"/>
      <c r="K1941" s="53"/>
      <c r="L1941" s="53"/>
    </row>
    <row r="1942" spans="7:12" x14ac:dyDescent="0.2">
      <c r="G1942" s="53"/>
      <c r="H1942" s="53"/>
      <c r="I1942" s="53"/>
      <c r="J1942" s="53"/>
      <c r="K1942" s="53"/>
      <c r="L1942" s="53"/>
    </row>
    <row r="1943" spans="7:12" x14ac:dyDescent="0.2">
      <c r="G1943" s="53"/>
      <c r="H1943" s="53"/>
      <c r="I1943" s="53"/>
      <c r="J1943" s="53"/>
      <c r="K1943" s="53"/>
      <c r="L1943" s="53"/>
    </row>
    <row r="1944" spans="7:12" x14ac:dyDescent="0.2">
      <c r="G1944" s="53"/>
      <c r="H1944" s="53"/>
      <c r="I1944" s="53"/>
      <c r="J1944" s="53"/>
      <c r="K1944" s="53"/>
      <c r="L1944" s="53"/>
    </row>
    <row r="1945" spans="7:12" x14ac:dyDescent="0.2">
      <c r="G1945" s="53"/>
      <c r="H1945" s="53"/>
      <c r="I1945" s="53"/>
      <c r="J1945" s="53"/>
      <c r="K1945" s="53"/>
      <c r="L1945" s="53"/>
    </row>
    <row r="1946" spans="7:12" x14ac:dyDescent="0.2">
      <c r="G1946" s="53"/>
      <c r="H1946" s="53"/>
      <c r="I1946" s="53"/>
      <c r="J1946" s="53"/>
      <c r="K1946" s="53"/>
      <c r="L1946" s="53"/>
    </row>
    <row r="1947" spans="7:12" x14ac:dyDescent="0.2">
      <c r="G1947" s="53"/>
      <c r="H1947" s="53"/>
      <c r="I1947" s="53"/>
      <c r="J1947" s="53"/>
      <c r="K1947" s="53"/>
      <c r="L1947" s="53"/>
    </row>
    <row r="1948" spans="7:12" x14ac:dyDescent="0.2">
      <c r="G1948" s="53"/>
      <c r="H1948" s="53"/>
      <c r="I1948" s="53"/>
      <c r="J1948" s="53"/>
      <c r="K1948" s="53"/>
      <c r="L1948" s="53"/>
    </row>
    <row r="1949" spans="7:12" x14ac:dyDescent="0.2">
      <c r="G1949" s="53"/>
      <c r="H1949" s="53"/>
      <c r="I1949" s="53"/>
      <c r="J1949" s="53"/>
      <c r="K1949" s="53"/>
      <c r="L1949" s="53"/>
    </row>
    <row r="1950" spans="7:12" x14ac:dyDescent="0.2">
      <c r="G1950" s="53"/>
      <c r="H1950" s="53"/>
      <c r="I1950" s="53"/>
      <c r="J1950" s="53"/>
      <c r="K1950" s="53"/>
      <c r="L1950" s="53"/>
    </row>
    <row r="1951" spans="7:12" x14ac:dyDescent="0.2">
      <c r="G1951" s="53"/>
      <c r="H1951" s="53"/>
      <c r="I1951" s="53"/>
      <c r="J1951" s="53"/>
      <c r="K1951" s="53"/>
      <c r="L1951" s="53"/>
    </row>
    <row r="1952" spans="7:12" x14ac:dyDescent="0.2">
      <c r="G1952" s="53"/>
      <c r="H1952" s="53"/>
      <c r="I1952" s="53"/>
      <c r="J1952" s="53"/>
      <c r="K1952" s="53"/>
      <c r="L1952" s="53"/>
    </row>
    <row r="1953" spans="7:12" x14ac:dyDescent="0.2">
      <c r="G1953" s="53"/>
      <c r="H1953" s="53"/>
      <c r="I1953" s="53"/>
      <c r="J1953" s="53"/>
      <c r="K1953" s="53"/>
      <c r="L1953" s="53"/>
    </row>
    <row r="1954" spans="7:12" x14ac:dyDescent="0.2">
      <c r="G1954" s="53"/>
      <c r="H1954" s="53"/>
      <c r="I1954" s="53"/>
      <c r="J1954" s="53"/>
      <c r="K1954" s="53"/>
      <c r="L1954" s="53"/>
    </row>
    <row r="1955" spans="7:12" x14ac:dyDescent="0.2">
      <c r="G1955" s="53"/>
      <c r="H1955" s="53"/>
      <c r="I1955" s="53"/>
      <c r="J1955" s="53"/>
      <c r="K1955" s="53"/>
      <c r="L1955" s="53"/>
    </row>
    <row r="1956" spans="7:12" x14ac:dyDescent="0.2">
      <c r="G1956" s="53"/>
      <c r="H1956" s="53"/>
      <c r="I1956" s="53"/>
      <c r="J1956" s="53"/>
      <c r="K1956" s="53"/>
      <c r="L1956" s="53"/>
    </row>
    <row r="1957" spans="7:12" x14ac:dyDescent="0.2">
      <c r="G1957" s="53"/>
      <c r="H1957" s="53"/>
      <c r="I1957" s="53"/>
      <c r="J1957" s="53"/>
      <c r="K1957" s="53"/>
      <c r="L1957" s="53"/>
    </row>
    <row r="1958" spans="7:12" x14ac:dyDescent="0.2">
      <c r="G1958" s="53"/>
      <c r="H1958" s="53"/>
      <c r="I1958" s="53"/>
      <c r="J1958" s="53"/>
      <c r="K1958" s="53"/>
      <c r="L1958" s="53"/>
    </row>
    <row r="1959" spans="7:12" x14ac:dyDescent="0.2">
      <c r="G1959" s="53"/>
      <c r="H1959" s="53"/>
      <c r="I1959" s="53"/>
      <c r="J1959" s="53"/>
      <c r="K1959" s="53"/>
      <c r="L1959" s="53"/>
    </row>
    <row r="1960" spans="7:12" x14ac:dyDescent="0.2">
      <c r="G1960" s="53"/>
      <c r="H1960" s="53"/>
      <c r="I1960" s="53"/>
      <c r="J1960" s="53"/>
      <c r="K1960" s="53"/>
      <c r="L1960" s="53"/>
    </row>
    <row r="1961" spans="7:12" x14ac:dyDescent="0.2">
      <c r="G1961" s="53"/>
      <c r="H1961" s="53"/>
      <c r="I1961" s="53"/>
      <c r="J1961" s="53"/>
      <c r="K1961" s="53"/>
      <c r="L1961" s="53"/>
    </row>
    <row r="1962" spans="7:12" x14ac:dyDescent="0.2">
      <c r="G1962" s="53"/>
      <c r="H1962" s="53"/>
      <c r="I1962" s="53"/>
      <c r="J1962" s="53"/>
      <c r="K1962" s="53"/>
      <c r="L1962" s="53"/>
    </row>
    <row r="1963" spans="7:12" x14ac:dyDescent="0.2">
      <c r="G1963" s="53"/>
      <c r="H1963" s="53"/>
      <c r="I1963" s="53"/>
      <c r="J1963" s="53"/>
      <c r="K1963" s="53"/>
      <c r="L1963" s="53"/>
    </row>
    <row r="1964" spans="7:12" x14ac:dyDescent="0.2">
      <c r="G1964" s="53"/>
      <c r="H1964" s="53"/>
      <c r="I1964" s="53"/>
      <c r="J1964" s="53"/>
      <c r="K1964" s="53"/>
      <c r="L1964" s="53"/>
    </row>
    <row r="1965" spans="7:12" x14ac:dyDescent="0.2">
      <c r="G1965" s="53"/>
      <c r="H1965" s="53"/>
      <c r="I1965" s="53"/>
      <c r="J1965" s="53"/>
      <c r="K1965" s="53"/>
      <c r="L1965" s="53"/>
    </row>
    <row r="1966" spans="7:12" x14ac:dyDescent="0.2">
      <c r="G1966" s="53"/>
      <c r="H1966" s="53"/>
      <c r="I1966" s="53"/>
      <c r="J1966" s="53"/>
      <c r="K1966" s="53"/>
      <c r="L1966" s="53"/>
    </row>
    <row r="1967" spans="7:12" x14ac:dyDescent="0.2">
      <c r="G1967" s="53"/>
      <c r="H1967" s="53"/>
      <c r="I1967" s="53"/>
      <c r="J1967" s="53"/>
      <c r="K1967" s="53"/>
      <c r="L1967" s="53"/>
    </row>
    <row r="1968" spans="7:12" x14ac:dyDescent="0.2">
      <c r="G1968" s="53"/>
      <c r="H1968" s="53"/>
      <c r="I1968" s="53"/>
      <c r="J1968" s="53"/>
      <c r="K1968" s="53"/>
      <c r="L1968" s="53"/>
    </row>
    <row r="1969" spans="7:12" x14ac:dyDescent="0.2">
      <c r="G1969" s="53"/>
      <c r="H1969" s="53"/>
      <c r="I1969" s="53"/>
      <c r="J1969" s="53"/>
      <c r="K1969" s="53"/>
      <c r="L1969" s="53"/>
    </row>
    <row r="1970" spans="7:12" x14ac:dyDescent="0.2">
      <c r="G1970" s="53"/>
      <c r="H1970" s="53"/>
      <c r="I1970" s="53"/>
      <c r="J1970" s="53"/>
      <c r="K1970" s="53"/>
      <c r="L1970" s="53"/>
    </row>
    <row r="1971" spans="7:12" x14ac:dyDescent="0.2">
      <c r="G1971" s="53"/>
      <c r="H1971" s="53"/>
      <c r="I1971" s="53"/>
      <c r="J1971" s="53"/>
      <c r="K1971" s="53"/>
      <c r="L1971" s="53"/>
    </row>
    <row r="1972" spans="7:12" x14ac:dyDescent="0.2">
      <c r="G1972" s="53"/>
      <c r="H1972" s="53"/>
      <c r="I1972" s="53"/>
      <c r="J1972" s="53"/>
      <c r="K1972" s="53"/>
      <c r="L1972" s="53"/>
    </row>
    <row r="1973" spans="7:12" x14ac:dyDescent="0.2">
      <c r="G1973" s="53"/>
      <c r="H1973" s="53"/>
      <c r="I1973" s="53"/>
      <c r="J1973" s="53"/>
      <c r="K1973" s="53"/>
      <c r="L1973" s="53"/>
    </row>
    <row r="1974" spans="7:12" x14ac:dyDescent="0.2">
      <c r="G1974" s="53"/>
      <c r="H1974" s="53"/>
      <c r="I1974" s="53"/>
      <c r="J1974" s="53"/>
      <c r="K1974" s="53"/>
      <c r="L1974" s="53"/>
    </row>
    <row r="1975" spans="7:12" x14ac:dyDescent="0.2">
      <c r="G1975" s="53"/>
      <c r="H1975" s="53"/>
      <c r="I1975" s="53"/>
      <c r="J1975" s="53"/>
      <c r="K1975" s="53"/>
      <c r="L1975" s="53"/>
    </row>
    <row r="1976" spans="7:12" x14ac:dyDescent="0.2">
      <c r="G1976" s="53"/>
      <c r="H1976" s="53"/>
      <c r="I1976" s="53"/>
      <c r="J1976" s="53"/>
      <c r="K1976" s="53"/>
      <c r="L1976" s="53"/>
    </row>
    <row r="1977" spans="7:12" x14ac:dyDescent="0.2">
      <c r="G1977" s="53"/>
      <c r="H1977" s="53"/>
      <c r="I1977" s="53"/>
      <c r="J1977" s="53"/>
      <c r="K1977" s="53"/>
      <c r="L1977" s="53"/>
    </row>
    <row r="1978" spans="7:12" x14ac:dyDescent="0.2">
      <c r="G1978" s="53"/>
      <c r="H1978" s="53"/>
      <c r="I1978" s="53"/>
      <c r="J1978" s="53"/>
      <c r="K1978" s="53"/>
      <c r="L1978" s="53"/>
    </row>
    <row r="1979" spans="7:12" x14ac:dyDescent="0.2">
      <c r="G1979" s="53"/>
      <c r="H1979" s="53"/>
      <c r="I1979" s="53"/>
      <c r="J1979" s="53"/>
      <c r="K1979" s="53"/>
      <c r="L1979" s="53"/>
    </row>
    <row r="1980" spans="7:12" x14ac:dyDescent="0.2">
      <c r="G1980" s="53"/>
      <c r="H1980" s="53"/>
      <c r="I1980" s="53"/>
      <c r="J1980" s="53"/>
      <c r="K1980" s="53"/>
      <c r="L1980" s="53"/>
    </row>
    <row r="1981" spans="7:12" x14ac:dyDescent="0.2">
      <c r="G1981" s="53"/>
      <c r="H1981" s="53"/>
      <c r="I1981" s="53"/>
      <c r="J1981" s="53"/>
      <c r="K1981" s="53"/>
      <c r="L1981" s="53"/>
    </row>
    <row r="1982" spans="7:12" x14ac:dyDescent="0.2">
      <c r="G1982" s="53"/>
      <c r="H1982" s="53"/>
      <c r="I1982" s="53"/>
      <c r="J1982" s="53"/>
      <c r="K1982" s="53"/>
      <c r="L1982" s="53"/>
    </row>
    <row r="1983" spans="7:12" x14ac:dyDescent="0.2">
      <c r="G1983" s="53"/>
      <c r="H1983" s="53"/>
      <c r="I1983" s="53"/>
      <c r="J1983" s="53"/>
      <c r="K1983" s="53"/>
      <c r="L1983" s="53"/>
    </row>
    <row r="1984" spans="7:12" x14ac:dyDescent="0.2">
      <c r="G1984" s="53"/>
      <c r="H1984" s="53"/>
      <c r="I1984" s="53"/>
      <c r="J1984" s="53"/>
      <c r="K1984" s="53"/>
      <c r="L1984" s="53"/>
    </row>
    <row r="1985" spans="7:12" x14ac:dyDescent="0.2">
      <c r="G1985" s="53"/>
      <c r="H1985" s="53"/>
      <c r="I1985" s="53"/>
      <c r="J1985" s="53"/>
      <c r="K1985" s="53"/>
      <c r="L1985" s="53"/>
    </row>
    <row r="1986" spans="7:12" x14ac:dyDescent="0.2">
      <c r="G1986" s="53"/>
      <c r="H1986" s="53"/>
      <c r="I1986" s="53"/>
      <c r="J1986" s="53"/>
      <c r="K1986" s="53"/>
      <c r="L1986" s="53"/>
    </row>
    <row r="1987" spans="7:12" x14ac:dyDescent="0.2">
      <c r="G1987" s="53"/>
      <c r="H1987" s="53"/>
      <c r="I1987" s="53"/>
      <c r="J1987" s="53"/>
      <c r="K1987" s="53"/>
      <c r="L1987" s="53"/>
    </row>
    <row r="1988" spans="7:12" x14ac:dyDescent="0.2">
      <c r="G1988" s="53"/>
      <c r="H1988" s="53"/>
      <c r="I1988" s="53"/>
      <c r="J1988" s="53"/>
      <c r="K1988" s="53"/>
      <c r="L1988" s="53"/>
    </row>
    <row r="1989" spans="7:12" x14ac:dyDescent="0.2">
      <c r="G1989" s="53"/>
      <c r="H1989" s="53"/>
      <c r="I1989" s="53"/>
      <c r="J1989" s="53"/>
      <c r="K1989" s="53"/>
      <c r="L1989" s="53"/>
    </row>
    <row r="1990" spans="7:12" x14ac:dyDescent="0.2">
      <c r="G1990" s="53"/>
      <c r="H1990" s="53"/>
      <c r="I1990" s="53"/>
      <c r="J1990" s="53"/>
      <c r="K1990" s="53"/>
      <c r="L1990" s="53"/>
    </row>
    <row r="1991" spans="7:12" x14ac:dyDescent="0.2">
      <c r="G1991" s="53"/>
      <c r="H1991" s="53"/>
      <c r="I1991" s="53"/>
      <c r="J1991" s="53"/>
      <c r="K1991" s="53"/>
      <c r="L1991" s="53"/>
    </row>
    <row r="1992" spans="7:12" x14ac:dyDescent="0.2">
      <c r="G1992" s="53"/>
      <c r="H1992" s="53"/>
      <c r="I1992" s="53"/>
      <c r="J1992" s="53"/>
      <c r="K1992" s="53"/>
      <c r="L1992" s="53"/>
    </row>
    <row r="1993" spans="7:12" x14ac:dyDescent="0.2">
      <c r="G1993" s="53"/>
      <c r="H1993" s="53"/>
      <c r="I1993" s="53"/>
      <c r="J1993" s="53"/>
      <c r="K1993" s="53"/>
      <c r="L1993" s="53"/>
    </row>
    <row r="1994" spans="7:12" x14ac:dyDescent="0.2">
      <c r="G1994" s="53"/>
      <c r="H1994" s="53"/>
      <c r="I1994" s="53"/>
      <c r="J1994" s="53"/>
      <c r="K1994" s="53"/>
      <c r="L1994" s="53"/>
    </row>
    <row r="1995" spans="7:12" x14ac:dyDescent="0.2">
      <c r="G1995" s="53"/>
      <c r="H1995" s="53"/>
      <c r="I1995" s="53"/>
      <c r="J1995" s="53"/>
      <c r="K1995" s="53"/>
      <c r="L1995" s="53"/>
    </row>
    <row r="1996" spans="7:12" x14ac:dyDescent="0.2">
      <c r="G1996" s="53"/>
      <c r="H1996" s="53"/>
      <c r="I1996" s="53"/>
      <c r="J1996" s="53"/>
      <c r="K1996" s="53"/>
      <c r="L1996" s="53"/>
    </row>
    <row r="1997" spans="7:12" x14ac:dyDescent="0.2">
      <c r="G1997" s="53"/>
      <c r="H1997" s="53"/>
      <c r="I1997" s="53"/>
      <c r="J1997" s="53"/>
      <c r="K1997" s="53"/>
      <c r="L1997" s="53"/>
    </row>
    <row r="1998" spans="7:12" x14ac:dyDescent="0.2">
      <c r="G1998" s="53"/>
      <c r="H1998" s="53"/>
      <c r="I1998" s="53"/>
      <c r="J1998" s="53"/>
      <c r="K1998" s="53"/>
      <c r="L1998" s="53"/>
    </row>
    <row r="1999" spans="7:12" x14ac:dyDescent="0.2">
      <c r="G1999" s="53"/>
      <c r="H1999" s="53"/>
      <c r="I1999" s="53"/>
      <c r="J1999" s="53"/>
      <c r="K1999" s="53"/>
      <c r="L1999" s="53"/>
    </row>
    <row r="2000" spans="7:12" x14ac:dyDescent="0.2">
      <c r="G2000" s="53"/>
      <c r="H2000" s="53"/>
      <c r="I2000" s="53"/>
      <c r="J2000" s="53"/>
      <c r="K2000" s="53"/>
      <c r="L2000" s="53"/>
    </row>
    <row r="2001" spans="7:12" x14ac:dyDescent="0.2">
      <c r="G2001" s="53"/>
      <c r="H2001" s="53"/>
      <c r="I2001" s="53"/>
      <c r="J2001" s="53"/>
      <c r="K2001" s="53"/>
      <c r="L2001" s="53"/>
    </row>
    <row r="2002" spans="7:12" x14ac:dyDescent="0.2">
      <c r="G2002" s="53"/>
      <c r="H2002" s="53"/>
      <c r="I2002" s="53"/>
      <c r="J2002" s="53"/>
      <c r="K2002" s="53"/>
      <c r="L2002" s="53"/>
    </row>
    <row r="2003" spans="7:12" x14ac:dyDescent="0.2">
      <c r="G2003" s="53"/>
      <c r="H2003" s="53"/>
      <c r="I2003" s="53"/>
      <c r="J2003" s="53"/>
      <c r="K2003" s="53"/>
      <c r="L2003" s="53"/>
    </row>
    <row r="2004" spans="7:12" x14ac:dyDescent="0.2">
      <c r="G2004" s="53"/>
      <c r="H2004" s="53"/>
      <c r="I2004" s="53"/>
      <c r="J2004" s="53"/>
      <c r="K2004" s="53"/>
      <c r="L2004" s="53"/>
    </row>
    <row r="2005" spans="7:12" x14ac:dyDescent="0.2">
      <c r="G2005" s="53"/>
      <c r="H2005" s="53"/>
      <c r="I2005" s="53"/>
      <c r="J2005" s="53"/>
      <c r="K2005" s="53"/>
      <c r="L2005" s="53"/>
    </row>
    <row r="2006" spans="7:12" x14ac:dyDescent="0.2">
      <c r="G2006" s="53"/>
      <c r="H2006" s="53"/>
      <c r="I2006" s="53"/>
      <c r="J2006" s="53"/>
      <c r="K2006" s="53"/>
      <c r="L2006" s="53"/>
    </row>
    <row r="2007" spans="7:12" x14ac:dyDescent="0.2">
      <c r="G2007" s="53"/>
      <c r="H2007" s="53"/>
      <c r="I2007" s="53"/>
      <c r="J2007" s="53"/>
      <c r="K2007" s="53"/>
      <c r="L2007" s="53"/>
    </row>
    <row r="2008" spans="7:12" x14ac:dyDescent="0.2">
      <c r="G2008" s="53"/>
      <c r="H2008" s="53"/>
      <c r="I2008" s="53"/>
      <c r="J2008" s="53"/>
      <c r="K2008" s="53"/>
      <c r="L2008" s="53"/>
    </row>
    <row r="2009" spans="7:12" x14ac:dyDescent="0.2">
      <c r="G2009" s="53"/>
      <c r="H2009" s="53"/>
      <c r="I2009" s="53"/>
      <c r="J2009" s="53"/>
      <c r="K2009" s="53"/>
      <c r="L2009" s="53"/>
    </row>
    <row r="2010" spans="7:12" x14ac:dyDescent="0.2">
      <c r="G2010" s="53"/>
      <c r="H2010" s="53"/>
      <c r="I2010" s="53"/>
      <c r="J2010" s="53"/>
      <c r="K2010" s="53"/>
      <c r="L2010" s="53"/>
    </row>
    <row r="2011" spans="7:12" x14ac:dyDescent="0.2">
      <c r="G2011" s="53"/>
      <c r="H2011" s="53"/>
      <c r="I2011" s="53"/>
      <c r="J2011" s="53"/>
      <c r="K2011" s="53"/>
      <c r="L2011" s="53"/>
    </row>
    <row r="2012" spans="7:12" x14ac:dyDescent="0.2">
      <c r="G2012" s="53"/>
      <c r="H2012" s="53"/>
      <c r="I2012" s="53"/>
      <c r="J2012" s="53"/>
      <c r="K2012" s="53"/>
      <c r="L2012" s="53"/>
    </row>
    <row r="2013" spans="7:12" x14ac:dyDescent="0.2">
      <c r="G2013" s="53"/>
      <c r="H2013" s="53"/>
      <c r="I2013" s="53"/>
      <c r="J2013" s="53"/>
      <c r="K2013" s="53"/>
      <c r="L2013" s="53"/>
    </row>
    <row r="2014" spans="7:12" x14ac:dyDescent="0.2">
      <c r="G2014" s="53"/>
      <c r="H2014" s="53"/>
      <c r="I2014" s="53"/>
      <c r="J2014" s="53"/>
      <c r="K2014" s="53"/>
      <c r="L2014" s="53"/>
    </row>
    <row r="2015" spans="7:12" x14ac:dyDescent="0.2">
      <c r="G2015" s="53"/>
      <c r="H2015" s="53"/>
      <c r="I2015" s="53"/>
      <c r="J2015" s="53"/>
      <c r="K2015" s="53"/>
      <c r="L2015" s="53"/>
    </row>
    <row r="2016" spans="7:12" x14ac:dyDescent="0.2">
      <c r="G2016" s="53"/>
      <c r="H2016" s="53"/>
      <c r="I2016" s="53"/>
      <c r="J2016" s="53"/>
      <c r="K2016" s="53"/>
      <c r="L2016" s="53"/>
    </row>
    <row r="2017" spans="7:12" x14ac:dyDescent="0.2">
      <c r="G2017" s="53"/>
      <c r="H2017" s="53"/>
      <c r="I2017" s="53"/>
      <c r="J2017" s="53"/>
      <c r="K2017" s="53"/>
      <c r="L2017" s="53"/>
    </row>
    <row r="2018" spans="7:12" x14ac:dyDescent="0.2">
      <c r="G2018" s="53"/>
      <c r="H2018" s="53"/>
      <c r="I2018" s="53"/>
      <c r="J2018" s="53"/>
      <c r="K2018" s="53"/>
      <c r="L2018" s="53"/>
    </row>
    <row r="2019" spans="7:12" x14ac:dyDescent="0.2">
      <c r="G2019" s="53"/>
      <c r="H2019" s="53"/>
      <c r="I2019" s="53"/>
      <c r="J2019" s="53"/>
      <c r="K2019" s="53"/>
      <c r="L2019" s="53"/>
    </row>
    <row r="2020" spans="7:12" x14ac:dyDescent="0.2">
      <c r="G2020" s="53"/>
      <c r="H2020" s="53"/>
      <c r="I2020" s="53"/>
      <c r="J2020" s="53"/>
      <c r="K2020" s="53"/>
      <c r="L2020" s="53"/>
    </row>
    <row r="2021" spans="7:12" x14ac:dyDescent="0.2">
      <c r="G2021" s="53"/>
      <c r="H2021" s="53"/>
      <c r="I2021" s="53"/>
      <c r="J2021" s="53"/>
      <c r="K2021" s="53"/>
      <c r="L2021" s="53"/>
    </row>
    <row r="2022" spans="7:12" x14ac:dyDescent="0.2">
      <c r="G2022" s="53"/>
      <c r="H2022" s="53"/>
      <c r="I2022" s="53"/>
      <c r="J2022" s="53"/>
      <c r="K2022" s="53"/>
      <c r="L2022" s="53"/>
    </row>
    <row r="2023" spans="7:12" x14ac:dyDescent="0.2">
      <c r="G2023" s="53"/>
      <c r="H2023" s="53"/>
      <c r="I2023" s="53"/>
      <c r="J2023" s="53"/>
      <c r="K2023" s="53"/>
      <c r="L2023" s="53"/>
    </row>
    <row r="2024" spans="7:12" x14ac:dyDescent="0.2">
      <c r="G2024" s="53"/>
      <c r="H2024" s="53"/>
      <c r="I2024" s="53"/>
      <c r="J2024" s="53"/>
      <c r="K2024" s="53"/>
      <c r="L2024" s="53"/>
    </row>
    <row r="2025" spans="7:12" x14ac:dyDescent="0.2">
      <c r="G2025" s="53"/>
      <c r="H2025" s="53"/>
      <c r="I2025" s="53"/>
      <c r="J2025" s="53"/>
      <c r="K2025" s="53"/>
      <c r="L2025" s="53"/>
    </row>
    <row r="2026" spans="7:12" x14ac:dyDescent="0.2">
      <c r="G2026" s="53"/>
      <c r="H2026" s="53"/>
      <c r="I2026" s="53"/>
      <c r="J2026" s="53"/>
      <c r="K2026" s="53"/>
      <c r="L2026" s="53"/>
    </row>
    <row r="2027" spans="7:12" x14ac:dyDescent="0.2">
      <c r="G2027" s="53"/>
      <c r="H2027" s="53"/>
      <c r="I2027" s="53"/>
      <c r="J2027" s="53"/>
      <c r="K2027" s="53"/>
      <c r="L2027" s="53"/>
    </row>
    <row r="2028" spans="7:12" x14ac:dyDescent="0.2">
      <c r="G2028" s="53"/>
      <c r="H2028" s="53"/>
      <c r="I2028" s="53"/>
      <c r="J2028" s="53"/>
      <c r="K2028" s="53"/>
      <c r="L2028" s="53"/>
    </row>
    <row r="2029" spans="7:12" x14ac:dyDescent="0.2">
      <c r="G2029" s="53"/>
      <c r="H2029" s="53"/>
      <c r="I2029" s="53"/>
      <c r="J2029" s="53"/>
      <c r="K2029" s="53"/>
      <c r="L2029" s="53"/>
    </row>
    <row r="2030" spans="7:12" x14ac:dyDescent="0.2">
      <c r="G2030" s="53"/>
      <c r="H2030" s="53"/>
      <c r="I2030" s="53"/>
      <c r="J2030" s="53"/>
      <c r="K2030" s="53"/>
      <c r="L2030" s="53"/>
    </row>
    <row r="2031" spans="7:12" x14ac:dyDescent="0.2">
      <c r="G2031" s="53"/>
      <c r="H2031" s="53"/>
      <c r="I2031" s="53"/>
      <c r="J2031" s="53"/>
      <c r="K2031" s="53"/>
      <c r="L2031" s="53"/>
    </row>
    <row r="2032" spans="7:12" x14ac:dyDescent="0.2">
      <c r="G2032" s="53"/>
      <c r="H2032" s="53"/>
      <c r="I2032" s="53"/>
      <c r="J2032" s="53"/>
      <c r="K2032" s="53"/>
      <c r="L2032" s="53"/>
    </row>
    <row r="2033" spans="7:12" x14ac:dyDescent="0.2">
      <c r="G2033" s="53"/>
      <c r="H2033" s="53"/>
      <c r="I2033" s="53"/>
      <c r="J2033" s="53"/>
      <c r="K2033" s="53"/>
      <c r="L2033" s="53"/>
    </row>
    <row r="2034" spans="7:12" x14ac:dyDescent="0.2">
      <c r="G2034" s="53"/>
      <c r="H2034" s="53"/>
      <c r="I2034" s="53"/>
      <c r="J2034" s="53"/>
      <c r="K2034" s="53"/>
      <c r="L2034" s="53"/>
    </row>
    <row r="2035" spans="7:12" x14ac:dyDescent="0.2">
      <c r="G2035" s="53"/>
      <c r="H2035" s="53"/>
      <c r="I2035" s="53"/>
      <c r="J2035" s="53"/>
      <c r="K2035" s="53"/>
      <c r="L2035" s="53"/>
    </row>
    <row r="2036" spans="7:12" x14ac:dyDescent="0.2">
      <c r="G2036" s="53"/>
      <c r="H2036" s="53"/>
      <c r="I2036" s="53"/>
      <c r="J2036" s="53"/>
      <c r="K2036" s="53"/>
      <c r="L2036" s="53"/>
    </row>
    <row r="2037" spans="7:12" x14ac:dyDescent="0.2">
      <c r="G2037" s="53"/>
      <c r="H2037" s="53"/>
      <c r="I2037" s="53"/>
      <c r="J2037" s="53"/>
      <c r="K2037" s="53"/>
      <c r="L2037" s="53"/>
    </row>
    <row r="2038" spans="7:12" x14ac:dyDescent="0.2">
      <c r="G2038" s="53"/>
      <c r="H2038" s="53"/>
      <c r="I2038" s="53"/>
      <c r="J2038" s="53"/>
      <c r="K2038" s="53"/>
      <c r="L2038" s="53"/>
    </row>
    <row r="2039" spans="7:12" x14ac:dyDescent="0.2">
      <c r="G2039" s="53"/>
      <c r="H2039" s="53"/>
      <c r="I2039" s="53"/>
      <c r="J2039" s="53"/>
      <c r="K2039" s="53"/>
      <c r="L2039" s="53"/>
    </row>
    <row r="2040" spans="7:12" x14ac:dyDescent="0.2">
      <c r="G2040" s="53"/>
      <c r="H2040" s="53"/>
      <c r="I2040" s="53"/>
      <c r="J2040" s="53"/>
      <c r="K2040" s="53"/>
      <c r="L2040" s="53"/>
    </row>
    <row r="2041" spans="7:12" x14ac:dyDescent="0.2">
      <c r="G2041" s="53"/>
      <c r="H2041" s="53"/>
      <c r="I2041" s="53"/>
      <c r="J2041" s="53"/>
      <c r="K2041" s="53"/>
      <c r="L2041" s="53"/>
    </row>
    <row r="2042" spans="7:12" x14ac:dyDescent="0.2">
      <c r="G2042" s="53"/>
      <c r="H2042" s="53"/>
      <c r="I2042" s="53"/>
      <c r="J2042" s="53"/>
      <c r="K2042" s="53"/>
      <c r="L2042" s="53"/>
    </row>
    <row r="2043" spans="7:12" x14ac:dyDescent="0.2">
      <c r="G2043" s="53"/>
      <c r="H2043" s="53"/>
      <c r="I2043" s="53"/>
      <c r="J2043" s="53"/>
      <c r="K2043" s="53"/>
      <c r="L2043" s="53"/>
    </row>
    <row r="2044" spans="7:12" x14ac:dyDescent="0.2">
      <c r="G2044" s="53"/>
      <c r="H2044" s="53"/>
      <c r="I2044" s="53"/>
      <c r="J2044" s="53"/>
      <c r="K2044" s="53"/>
      <c r="L2044" s="53"/>
    </row>
    <row r="2045" spans="7:12" x14ac:dyDescent="0.2">
      <c r="G2045" s="53"/>
      <c r="H2045" s="53"/>
      <c r="I2045" s="53"/>
      <c r="J2045" s="53"/>
      <c r="K2045" s="53"/>
      <c r="L2045" s="53"/>
    </row>
    <row r="2046" spans="7:12" x14ac:dyDescent="0.2">
      <c r="G2046" s="53"/>
      <c r="H2046" s="53"/>
      <c r="I2046" s="53"/>
      <c r="J2046" s="53"/>
      <c r="K2046" s="53"/>
      <c r="L2046" s="53"/>
    </row>
    <row r="2047" spans="7:12" x14ac:dyDescent="0.2">
      <c r="G2047" s="53"/>
      <c r="H2047" s="53"/>
      <c r="I2047" s="53"/>
      <c r="J2047" s="53"/>
      <c r="K2047" s="53"/>
      <c r="L2047" s="53"/>
    </row>
    <row r="2048" spans="7:12" x14ac:dyDescent="0.2">
      <c r="G2048" s="53"/>
      <c r="H2048" s="53"/>
      <c r="I2048" s="53"/>
      <c r="J2048" s="53"/>
      <c r="K2048" s="53"/>
      <c r="L2048" s="53"/>
    </row>
    <row r="2049" spans="7:12" x14ac:dyDescent="0.2">
      <c r="G2049" s="53"/>
      <c r="H2049" s="53"/>
      <c r="I2049" s="53"/>
      <c r="J2049" s="53"/>
      <c r="K2049" s="53"/>
      <c r="L2049" s="53"/>
    </row>
    <row r="2050" spans="7:12" x14ac:dyDescent="0.2">
      <c r="G2050" s="53"/>
      <c r="H2050" s="53"/>
      <c r="I2050" s="53"/>
      <c r="J2050" s="53"/>
      <c r="K2050" s="53"/>
      <c r="L2050" s="53"/>
    </row>
    <row r="2051" spans="7:12" x14ac:dyDescent="0.2">
      <c r="G2051" s="53"/>
      <c r="H2051" s="53"/>
      <c r="I2051" s="53"/>
      <c r="J2051" s="53"/>
      <c r="K2051" s="53"/>
      <c r="L2051" s="53"/>
    </row>
    <row r="2052" spans="7:12" x14ac:dyDescent="0.2">
      <c r="G2052" s="53"/>
      <c r="H2052" s="53"/>
      <c r="I2052" s="53"/>
      <c r="J2052" s="53"/>
      <c r="K2052" s="53"/>
      <c r="L2052" s="53"/>
    </row>
    <row r="2053" spans="7:12" x14ac:dyDescent="0.2">
      <c r="G2053" s="53"/>
      <c r="H2053" s="53"/>
      <c r="I2053" s="53"/>
      <c r="J2053" s="53"/>
      <c r="K2053" s="53"/>
      <c r="L2053" s="53"/>
    </row>
    <row r="2054" spans="7:12" x14ac:dyDescent="0.2">
      <c r="G2054" s="53"/>
      <c r="H2054" s="53"/>
      <c r="I2054" s="53"/>
      <c r="J2054" s="53"/>
      <c r="K2054" s="53"/>
      <c r="L2054" s="53"/>
    </row>
    <row r="2055" spans="7:12" x14ac:dyDescent="0.2">
      <c r="G2055" s="53"/>
      <c r="H2055" s="53"/>
      <c r="I2055" s="53"/>
      <c r="J2055" s="53"/>
      <c r="K2055" s="53"/>
      <c r="L2055" s="53"/>
    </row>
    <row r="2056" spans="7:12" x14ac:dyDescent="0.2">
      <c r="G2056" s="53"/>
      <c r="H2056" s="53"/>
      <c r="I2056" s="53"/>
      <c r="J2056" s="53"/>
      <c r="K2056" s="53"/>
      <c r="L2056" s="53"/>
    </row>
    <row r="2057" spans="7:12" x14ac:dyDescent="0.2">
      <c r="G2057" s="53"/>
      <c r="H2057" s="53"/>
      <c r="I2057" s="53"/>
      <c r="J2057" s="53"/>
      <c r="K2057" s="53"/>
      <c r="L2057" s="53"/>
    </row>
    <row r="2058" spans="7:12" x14ac:dyDescent="0.2">
      <c r="G2058" s="53"/>
      <c r="H2058" s="53"/>
      <c r="I2058" s="53"/>
      <c r="J2058" s="53"/>
      <c r="K2058" s="53"/>
      <c r="L2058" s="53"/>
    </row>
    <row r="2059" spans="7:12" x14ac:dyDescent="0.2">
      <c r="G2059" s="53"/>
      <c r="H2059" s="53"/>
      <c r="I2059" s="53"/>
      <c r="J2059" s="53"/>
      <c r="K2059" s="53"/>
      <c r="L2059" s="53"/>
    </row>
    <row r="2060" spans="7:12" x14ac:dyDescent="0.2">
      <c r="G2060" s="53"/>
      <c r="H2060" s="53"/>
      <c r="I2060" s="53"/>
      <c r="J2060" s="53"/>
      <c r="K2060" s="53"/>
      <c r="L2060" s="53"/>
    </row>
    <row r="2061" spans="7:12" x14ac:dyDescent="0.2">
      <c r="G2061" s="53"/>
      <c r="H2061" s="53"/>
      <c r="I2061" s="53"/>
      <c r="J2061" s="53"/>
      <c r="K2061" s="53"/>
      <c r="L2061" s="53"/>
    </row>
    <row r="2062" spans="7:12" x14ac:dyDescent="0.2">
      <c r="G2062" s="53"/>
      <c r="H2062" s="53"/>
      <c r="I2062" s="53"/>
      <c r="J2062" s="53"/>
      <c r="K2062" s="53"/>
      <c r="L2062" s="53"/>
    </row>
    <row r="2063" spans="7:12" x14ac:dyDescent="0.2">
      <c r="G2063" s="53"/>
      <c r="H2063" s="53"/>
      <c r="I2063" s="53"/>
      <c r="J2063" s="53"/>
      <c r="K2063" s="53"/>
      <c r="L2063" s="53"/>
    </row>
    <row r="2064" spans="7:12" x14ac:dyDescent="0.2">
      <c r="G2064" s="53"/>
      <c r="H2064" s="53"/>
      <c r="I2064" s="53"/>
      <c r="J2064" s="53"/>
      <c r="K2064" s="53"/>
      <c r="L2064" s="53"/>
    </row>
    <row r="2065" spans="7:12" x14ac:dyDescent="0.2">
      <c r="G2065" s="53"/>
      <c r="H2065" s="53"/>
      <c r="I2065" s="53"/>
      <c r="J2065" s="53"/>
      <c r="K2065" s="53"/>
      <c r="L2065" s="53"/>
    </row>
    <row r="2066" spans="7:12" x14ac:dyDescent="0.2">
      <c r="G2066" s="53"/>
      <c r="H2066" s="53"/>
      <c r="I2066" s="53"/>
      <c r="J2066" s="53"/>
      <c r="K2066" s="53"/>
      <c r="L2066" s="53"/>
    </row>
    <row r="2067" spans="7:12" x14ac:dyDescent="0.2">
      <c r="G2067" s="53"/>
      <c r="H2067" s="53"/>
      <c r="I2067" s="53"/>
      <c r="J2067" s="53"/>
      <c r="K2067" s="53"/>
      <c r="L2067" s="53"/>
    </row>
    <row r="2068" spans="7:12" x14ac:dyDescent="0.2">
      <c r="G2068" s="53"/>
      <c r="H2068" s="53"/>
      <c r="I2068" s="53"/>
      <c r="J2068" s="53"/>
      <c r="K2068" s="53"/>
      <c r="L2068" s="53"/>
    </row>
    <row r="2069" spans="7:12" x14ac:dyDescent="0.2">
      <c r="G2069" s="53"/>
      <c r="H2069" s="53"/>
      <c r="I2069" s="53"/>
      <c r="J2069" s="53"/>
      <c r="K2069" s="53"/>
      <c r="L2069" s="53"/>
    </row>
    <row r="2070" spans="7:12" x14ac:dyDescent="0.2">
      <c r="G2070" s="53"/>
      <c r="H2070" s="53"/>
      <c r="I2070" s="53"/>
      <c r="J2070" s="53"/>
      <c r="K2070" s="53"/>
      <c r="L2070" s="53"/>
    </row>
    <row r="2071" spans="7:12" x14ac:dyDescent="0.2">
      <c r="G2071" s="53"/>
      <c r="H2071" s="53"/>
      <c r="I2071" s="53"/>
      <c r="J2071" s="53"/>
      <c r="K2071" s="53"/>
      <c r="L2071" s="53"/>
    </row>
    <row r="2072" spans="7:12" x14ac:dyDescent="0.2">
      <c r="G2072" s="53"/>
      <c r="H2072" s="53"/>
      <c r="I2072" s="53"/>
      <c r="J2072" s="53"/>
      <c r="K2072" s="53"/>
      <c r="L2072" s="53"/>
    </row>
    <row r="2073" spans="7:12" x14ac:dyDescent="0.2">
      <c r="G2073" s="53"/>
      <c r="H2073" s="53"/>
      <c r="I2073" s="53"/>
      <c r="J2073" s="53"/>
      <c r="K2073" s="53"/>
      <c r="L2073" s="53"/>
    </row>
    <row r="2074" spans="7:12" x14ac:dyDescent="0.2">
      <c r="G2074" s="53"/>
      <c r="H2074" s="53"/>
      <c r="I2074" s="53"/>
      <c r="J2074" s="53"/>
      <c r="K2074" s="53"/>
      <c r="L2074" s="53"/>
    </row>
    <row r="2075" spans="7:12" x14ac:dyDescent="0.2">
      <c r="G2075" s="53"/>
      <c r="H2075" s="53"/>
      <c r="I2075" s="53"/>
      <c r="J2075" s="53"/>
      <c r="K2075" s="53"/>
      <c r="L2075" s="53"/>
    </row>
    <row r="2076" spans="7:12" x14ac:dyDescent="0.2">
      <c r="G2076" s="53"/>
      <c r="H2076" s="53"/>
      <c r="I2076" s="53"/>
      <c r="J2076" s="53"/>
      <c r="K2076" s="53"/>
      <c r="L2076" s="53"/>
    </row>
    <row r="2077" spans="7:12" x14ac:dyDescent="0.2">
      <c r="G2077" s="53"/>
      <c r="H2077" s="53"/>
      <c r="I2077" s="53"/>
      <c r="J2077" s="53"/>
      <c r="K2077" s="53"/>
      <c r="L2077" s="53"/>
    </row>
    <row r="2078" spans="7:12" x14ac:dyDescent="0.2">
      <c r="G2078" s="53"/>
      <c r="H2078" s="53"/>
      <c r="I2078" s="53"/>
      <c r="J2078" s="53"/>
      <c r="K2078" s="53"/>
      <c r="L2078" s="53"/>
    </row>
    <row r="2079" spans="7:12" x14ac:dyDescent="0.2">
      <c r="G2079" s="53"/>
      <c r="H2079" s="53"/>
      <c r="I2079" s="53"/>
      <c r="J2079" s="53"/>
      <c r="K2079" s="53"/>
      <c r="L2079" s="53"/>
    </row>
    <row r="2080" spans="7:12" x14ac:dyDescent="0.2">
      <c r="G2080" s="53"/>
      <c r="H2080" s="53"/>
      <c r="I2080" s="53"/>
      <c r="J2080" s="53"/>
      <c r="K2080" s="53"/>
      <c r="L2080" s="53"/>
    </row>
    <row r="2081" spans="7:12" x14ac:dyDescent="0.2">
      <c r="G2081" s="53"/>
      <c r="H2081" s="53"/>
      <c r="I2081" s="53"/>
      <c r="J2081" s="53"/>
      <c r="K2081" s="53"/>
      <c r="L2081" s="53"/>
    </row>
    <row r="2082" spans="7:12" x14ac:dyDescent="0.2">
      <c r="G2082" s="53"/>
      <c r="H2082" s="53"/>
      <c r="I2082" s="53"/>
      <c r="J2082" s="53"/>
      <c r="K2082" s="53"/>
      <c r="L2082" s="53"/>
    </row>
    <row r="2083" spans="7:12" x14ac:dyDescent="0.2">
      <c r="G2083" s="53"/>
      <c r="H2083" s="53"/>
      <c r="I2083" s="53"/>
      <c r="J2083" s="53"/>
      <c r="K2083" s="53"/>
      <c r="L2083" s="53"/>
    </row>
    <row r="2084" spans="7:12" x14ac:dyDescent="0.2">
      <c r="G2084" s="53"/>
      <c r="H2084" s="53"/>
      <c r="I2084" s="53"/>
      <c r="J2084" s="53"/>
      <c r="K2084" s="53"/>
      <c r="L2084" s="53"/>
    </row>
    <row r="2085" spans="7:12" x14ac:dyDescent="0.2">
      <c r="G2085" s="53"/>
      <c r="H2085" s="53"/>
      <c r="I2085" s="53"/>
      <c r="J2085" s="53"/>
      <c r="K2085" s="53"/>
      <c r="L2085" s="53"/>
    </row>
    <row r="2086" spans="7:12" x14ac:dyDescent="0.2">
      <c r="G2086" s="53"/>
      <c r="H2086" s="53"/>
      <c r="I2086" s="53"/>
      <c r="J2086" s="53"/>
      <c r="K2086" s="53"/>
      <c r="L2086" s="53"/>
    </row>
    <row r="2087" spans="7:12" x14ac:dyDescent="0.2">
      <c r="G2087" s="53"/>
      <c r="H2087" s="53"/>
      <c r="I2087" s="53"/>
      <c r="J2087" s="53"/>
      <c r="K2087" s="53"/>
      <c r="L2087" s="53"/>
    </row>
    <row r="2088" spans="7:12" x14ac:dyDescent="0.2">
      <c r="G2088" s="53"/>
      <c r="H2088" s="53"/>
      <c r="I2088" s="53"/>
      <c r="J2088" s="53"/>
      <c r="K2088" s="53"/>
      <c r="L2088" s="53"/>
    </row>
    <row r="2089" spans="7:12" x14ac:dyDescent="0.2">
      <c r="G2089" s="53"/>
      <c r="H2089" s="53"/>
      <c r="I2089" s="53"/>
      <c r="J2089" s="53"/>
      <c r="K2089" s="53"/>
      <c r="L2089" s="53"/>
    </row>
    <row r="2090" spans="7:12" x14ac:dyDescent="0.2">
      <c r="G2090" s="53"/>
      <c r="H2090" s="53"/>
      <c r="I2090" s="53"/>
      <c r="J2090" s="53"/>
      <c r="K2090" s="53"/>
      <c r="L2090" s="53"/>
    </row>
    <row r="2091" spans="7:12" x14ac:dyDescent="0.2">
      <c r="G2091" s="53"/>
      <c r="H2091" s="53"/>
      <c r="I2091" s="53"/>
      <c r="J2091" s="53"/>
      <c r="K2091" s="53"/>
      <c r="L2091" s="53"/>
    </row>
    <row r="2092" spans="7:12" x14ac:dyDescent="0.2">
      <c r="G2092" s="53"/>
      <c r="H2092" s="53"/>
      <c r="I2092" s="53"/>
      <c r="J2092" s="53"/>
      <c r="K2092" s="53"/>
      <c r="L2092" s="53"/>
    </row>
    <row r="2093" spans="7:12" x14ac:dyDescent="0.2">
      <c r="G2093" s="53"/>
      <c r="H2093" s="53"/>
      <c r="I2093" s="53"/>
      <c r="J2093" s="53"/>
      <c r="K2093" s="53"/>
      <c r="L2093" s="53"/>
    </row>
    <row r="2094" spans="7:12" x14ac:dyDescent="0.2">
      <c r="G2094" s="53"/>
      <c r="H2094" s="53"/>
      <c r="I2094" s="53"/>
      <c r="J2094" s="53"/>
      <c r="K2094" s="53"/>
      <c r="L2094" s="53"/>
    </row>
    <row r="2095" spans="7:12" x14ac:dyDescent="0.2">
      <c r="G2095" s="53"/>
      <c r="H2095" s="53"/>
      <c r="I2095" s="53"/>
      <c r="J2095" s="53"/>
      <c r="K2095" s="53"/>
      <c r="L2095" s="53"/>
    </row>
    <row r="2096" spans="7:12" x14ac:dyDescent="0.2">
      <c r="G2096" s="53"/>
      <c r="H2096" s="53"/>
      <c r="I2096" s="53"/>
      <c r="J2096" s="53"/>
      <c r="K2096" s="53"/>
      <c r="L2096" s="53"/>
    </row>
    <row r="2097" spans="7:12" x14ac:dyDescent="0.2">
      <c r="G2097" s="53"/>
      <c r="H2097" s="53"/>
      <c r="I2097" s="53"/>
      <c r="J2097" s="53"/>
      <c r="K2097" s="53"/>
      <c r="L2097" s="53"/>
    </row>
    <row r="2098" spans="7:12" x14ac:dyDescent="0.2">
      <c r="G2098" s="53"/>
      <c r="H2098" s="53"/>
      <c r="I2098" s="53"/>
      <c r="J2098" s="53"/>
      <c r="K2098" s="53"/>
      <c r="L2098" s="53"/>
    </row>
    <row r="2099" spans="7:12" x14ac:dyDescent="0.2">
      <c r="G2099" s="53"/>
      <c r="H2099" s="53"/>
      <c r="I2099" s="53"/>
      <c r="J2099" s="53"/>
      <c r="K2099" s="53"/>
      <c r="L2099" s="53"/>
    </row>
    <row r="2100" spans="7:12" x14ac:dyDescent="0.2">
      <c r="G2100" s="53"/>
      <c r="H2100" s="53"/>
      <c r="I2100" s="53"/>
      <c r="J2100" s="53"/>
      <c r="K2100" s="53"/>
      <c r="L2100" s="53"/>
    </row>
    <row r="2101" spans="7:12" x14ac:dyDescent="0.2">
      <c r="G2101" s="53"/>
      <c r="H2101" s="53"/>
      <c r="I2101" s="53"/>
      <c r="J2101" s="53"/>
      <c r="K2101" s="53"/>
      <c r="L2101" s="53"/>
    </row>
    <row r="2102" spans="7:12" x14ac:dyDescent="0.2">
      <c r="G2102" s="53"/>
      <c r="H2102" s="53"/>
      <c r="I2102" s="53"/>
      <c r="J2102" s="53"/>
      <c r="K2102" s="53"/>
      <c r="L2102" s="53"/>
    </row>
    <row r="2103" spans="7:12" x14ac:dyDescent="0.2">
      <c r="G2103" s="53"/>
      <c r="H2103" s="53"/>
      <c r="I2103" s="53"/>
      <c r="J2103" s="53"/>
      <c r="K2103" s="53"/>
      <c r="L2103" s="53"/>
    </row>
    <row r="2104" spans="7:12" x14ac:dyDescent="0.2">
      <c r="G2104" s="53"/>
      <c r="H2104" s="53"/>
      <c r="I2104" s="53"/>
      <c r="J2104" s="53"/>
      <c r="K2104" s="53"/>
      <c r="L2104" s="53"/>
    </row>
    <row r="2105" spans="7:12" x14ac:dyDescent="0.2">
      <c r="G2105" s="53"/>
      <c r="H2105" s="53"/>
      <c r="I2105" s="53"/>
      <c r="J2105" s="53"/>
      <c r="K2105" s="53"/>
      <c r="L2105" s="53"/>
    </row>
    <row r="2106" spans="7:12" x14ac:dyDescent="0.2">
      <c r="G2106" s="53"/>
      <c r="H2106" s="53"/>
      <c r="I2106" s="53"/>
      <c r="J2106" s="53"/>
      <c r="K2106" s="53"/>
      <c r="L2106" s="53"/>
    </row>
    <row r="2107" spans="7:12" x14ac:dyDescent="0.2">
      <c r="G2107" s="53"/>
      <c r="H2107" s="53"/>
      <c r="I2107" s="53"/>
      <c r="J2107" s="53"/>
      <c r="K2107" s="53"/>
      <c r="L2107" s="53"/>
    </row>
    <row r="2108" spans="7:12" x14ac:dyDescent="0.2">
      <c r="G2108" s="53"/>
      <c r="H2108" s="53"/>
      <c r="I2108" s="53"/>
      <c r="J2108" s="53"/>
      <c r="K2108" s="53"/>
      <c r="L2108" s="53"/>
    </row>
    <row r="2109" spans="7:12" x14ac:dyDescent="0.2">
      <c r="G2109" s="53"/>
      <c r="H2109" s="53"/>
      <c r="I2109" s="53"/>
      <c r="J2109" s="53"/>
      <c r="K2109" s="53"/>
      <c r="L2109" s="53"/>
    </row>
    <row r="2110" spans="7:12" x14ac:dyDescent="0.2">
      <c r="G2110" s="53"/>
      <c r="H2110" s="53"/>
      <c r="I2110" s="53"/>
      <c r="J2110" s="53"/>
      <c r="K2110" s="53"/>
      <c r="L2110" s="53"/>
    </row>
    <row r="2111" spans="7:12" x14ac:dyDescent="0.2">
      <c r="G2111" s="53"/>
      <c r="H2111" s="53"/>
      <c r="I2111" s="53"/>
      <c r="J2111" s="53"/>
      <c r="K2111" s="53"/>
      <c r="L2111" s="53"/>
    </row>
    <row r="2112" spans="7:12" x14ac:dyDescent="0.2">
      <c r="G2112" s="53"/>
      <c r="H2112" s="53"/>
      <c r="I2112" s="53"/>
      <c r="J2112" s="53"/>
      <c r="K2112" s="53"/>
      <c r="L2112" s="53"/>
    </row>
    <row r="2113" spans="7:12" x14ac:dyDescent="0.2">
      <c r="G2113" s="53"/>
      <c r="H2113" s="53"/>
      <c r="I2113" s="53"/>
      <c r="J2113" s="53"/>
      <c r="K2113" s="53"/>
      <c r="L2113" s="53"/>
    </row>
    <row r="2114" spans="7:12" x14ac:dyDescent="0.2">
      <c r="G2114" s="53"/>
      <c r="H2114" s="53"/>
      <c r="I2114" s="53"/>
      <c r="J2114" s="53"/>
      <c r="K2114" s="53"/>
      <c r="L2114" s="53"/>
    </row>
    <row r="2115" spans="7:12" x14ac:dyDescent="0.2">
      <c r="G2115" s="53"/>
      <c r="H2115" s="53"/>
      <c r="I2115" s="53"/>
      <c r="J2115" s="53"/>
      <c r="K2115" s="53"/>
      <c r="L2115" s="53"/>
    </row>
    <row r="2116" spans="7:12" x14ac:dyDescent="0.2">
      <c r="G2116" s="53"/>
      <c r="H2116" s="53"/>
      <c r="I2116" s="53"/>
      <c r="J2116" s="53"/>
      <c r="K2116" s="53"/>
      <c r="L2116" s="53"/>
    </row>
    <row r="2117" spans="7:12" x14ac:dyDescent="0.2">
      <c r="G2117" s="53"/>
      <c r="H2117" s="53"/>
      <c r="I2117" s="53"/>
      <c r="J2117" s="53"/>
      <c r="K2117" s="53"/>
      <c r="L2117" s="53"/>
    </row>
    <row r="2118" spans="7:12" x14ac:dyDescent="0.2">
      <c r="G2118" s="53"/>
      <c r="H2118" s="53"/>
      <c r="I2118" s="53"/>
      <c r="J2118" s="53"/>
      <c r="K2118" s="53"/>
      <c r="L2118" s="53"/>
    </row>
    <row r="2119" spans="7:12" x14ac:dyDescent="0.2">
      <c r="G2119" s="53"/>
      <c r="H2119" s="53"/>
      <c r="I2119" s="53"/>
      <c r="J2119" s="53"/>
      <c r="K2119" s="53"/>
      <c r="L2119" s="53"/>
    </row>
    <row r="2120" spans="7:12" x14ac:dyDescent="0.2">
      <c r="G2120" s="53"/>
      <c r="H2120" s="53"/>
      <c r="I2120" s="53"/>
      <c r="J2120" s="53"/>
      <c r="K2120" s="53"/>
      <c r="L2120" s="53"/>
    </row>
    <row r="2121" spans="7:12" x14ac:dyDescent="0.2">
      <c r="G2121" s="53"/>
      <c r="H2121" s="53"/>
      <c r="I2121" s="53"/>
      <c r="J2121" s="53"/>
      <c r="K2121" s="53"/>
      <c r="L2121" s="53"/>
    </row>
    <row r="2122" spans="7:12" x14ac:dyDescent="0.2">
      <c r="G2122" s="53"/>
      <c r="H2122" s="53"/>
      <c r="I2122" s="53"/>
      <c r="J2122" s="53"/>
      <c r="K2122" s="53"/>
      <c r="L2122" s="53"/>
    </row>
    <row r="2123" spans="7:12" x14ac:dyDescent="0.2">
      <c r="G2123" s="53"/>
      <c r="H2123" s="53"/>
      <c r="I2123" s="53"/>
      <c r="J2123" s="53"/>
      <c r="K2123" s="53"/>
      <c r="L2123" s="53"/>
    </row>
    <row r="2124" spans="7:12" x14ac:dyDescent="0.2">
      <c r="G2124" s="53"/>
      <c r="H2124" s="53"/>
      <c r="I2124" s="53"/>
      <c r="J2124" s="53"/>
      <c r="K2124" s="53"/>
      <c r="L2124" s="53"/>
    </row>
    <row r="2125" spans="7:12" x14ac:dyDescent="0.2">
      <c r="G2125" s="53"/>
      <c r="H2125" s="53"/>
      <c r="I2125" s="53"/>
      <c r="J2125" s="53"/>
      <c r="K2125" s="53"/>
      <c r="L2125" s="53"/>
    </row>
    <row r="2126" spans="7:12" x14ac:dyDescent="0.2">
      <c r="G2126" s="53"/>
      <c r="H2126" s="53"/>
      <c r="I2126" s="53"/>
      <c r="J2126" s="53"/>
      <c r="K2126" s="53"/>
      <c r="L2126" s="53"/>
    </row>
    <row r="2127" spans="7:12" x14ac:dyDescent="0.2">
      <c r="G2127" s="53"/>
      <c r="H2127" s="53"/>
      <c r="I2127" s="53"/>
      <c r="J2127" s="53"/>
      <c r="K2127" s="53"/>
      <c r="L2127" s="53"/>
    </row>
    <row r="2128" spans="7:12" x14ac:dyDescent="0.2">
      <c r="G2128" s="53"/>
      <c r="H2128" s="53"/>
      <c r="I2128" s="53"/>
      <c r="J2128" s="53"/>
      <c r="K2128" s="53"/>
      <c r="L2128" s="53"/>
    </row>
    <row r="2129" spans="7:12" x14ac:dyDescent="0.2">
      <c r="G2129" s="53"/>
      <c r="H2129" s="53"/>
      <c r="I2129" s="53"/>
      <c r="J2129" s="53"/>
      <c r="K2129" s="53"/>
      <c r="L2129" s="53"/>
    </row>
    <row r="2130" spans="7:12" x14ac:dyDescent="0.2">
      <c r="G2130" s="53"/>
      <c r="H2130" s="53"/>
      <c r="I2130" s="53"/>
      <c r="J2130" s="53"/>
      <c r="K2130" s="53"/>
      <c r="L2130" s="53"/>
    </row>
    <row r="2131" spans="7:12" x14ac:dyDescent="0.2">
      <c r="G2131" s="53"/>
      <c r="H2131" s="53"/>
      <c r="I2131" s="53"/>
      <c r="J2131" s="53"/>
      <c r="K2131" s="53"/>
      <c r="L2131" s="53"/>
    </row>
    <row r="2132" spans="7:12" x14ac:dyDescent="0.2">
      <c r="G2132" s="53"/>
      <c r="H2132" s="53"/>
      <c r="I2132" s="53"/>
      <c r="J2132" s="53"/>
      <c r="K2132" s="53"/>
      <c r="L2132" s="53"/>
    </row>
    <row r="2133" spans="7:12" x14ac:dyDescent="0.2">
      <c r="G2133" s="53"/>
      <c r="H2133" s="53"/>
      <c r="I2133" s="53"/>
      <c r="J2133" s="53"/>
      <c r="K2133" s="53"/>
      <c r="L2133" s="53"/>
    </row>
    <row r="2134" spans="7:12" x14ac:dyDescent="0.2">
      <c r="G2134" s="53"/>
      <c r="H2134" s="53"/>
      <c r="I2134" s="53"/>
      <c r="J2134" s="53"/>
      <c r="K2134" s="53"/>
      <c r="L2134" s="53"/>
    </row>
    <row r="2135" spans="7:12" x14ac:dyDescent="0.2">
      <c r="G2135" s="53"/>
      <c r="H2135" s="53"/>
      <c r="I2135" s="53"/>
      <c r="J2135" s="53"/>
      <c r="K2135" s="53"/>
      <c r="L2135" s="53"/>
    </row>
    <row r="2136" spans="7:12" x14ac:dyDescent="0.2">
      <c r="G2136" s="53"/>
      <c r="H2136" s="53"/>
      <c r="I2136" s="53"/>
      <c r="J2136" s="53"/>
      <c r="K2136" s="53"/>
      <c r="L2136" s="53"/>
    </row>
    <row r="2137" spans="7:12" x14ac:dyDescent="0.2">
      <c r="G2137" s="53"/>
      <c r="H2137" s="53"/>
      <c r="I2137" s="53"/>
      <c r="J2137" s="53"/>
      <c r="K2137" s="53"/>
      <c r="L2137" s="53"/>
    </row>
    <row r="2138" spans="7:12" x14ac:dyDescent="0.2">
      <c r="G2138" s="53"/>
      <c r="H2138" s="53"/>
      <c r="I2138" s="53"/>
      <c r="J2138" s="53"/>
      <c r="K2138" s="53"/>
      <c r="L2138" s="53"/>
    </row>
    <row r="2139" spans="7:12" x14ac:dyDescent="0.2">
      <c r="G2139" s="53"/>
      <c r="H2139" s="53"/>
      <c r="I2139" s="53"/>
      <c r="J2139" s="53"/>
      <c r="K2139" s="53"/>
      <c r="L2139" s="53"/>
    </row>
    <row r="2140" spans="7:12" x14ac:dyDescent="0.2">
      <c r="G2140" s="53"/>
      <c r="H2140" s="53"/>
      <c r="I2140" s="53"/>
      <c r="J2140" s="53"/>
      <c r="K2140" s="53"/>
      <c r="L2140" s="53"/>
    </row>
    <row r="2141" spans="7:12" x14ac:dyDescent="0.2">
      <c r="G2141" s="53"/>
      <c r="H2141" s="53"/>
      <c r="I2141" s="53"/>
      <c r="J2141" s="53"/>
      <c r="K2141" s="53"/>
      <c r="L2141" s="53"/>
    </row>
    <row r="2142" spans="7:12" x14ac:dyDescent="0.2">
      <c r="G2142" s="53"/>
      <c r="H2142" s="53"/>
      <c r="I2142" s="53"/>
      <c r="J2142" s="53"/>
      <c r="K2142" s="53"/>
      <c r="L2142" s="53"/>
    </row>
    <row r="2143" spans="7:12" x14ac:dyDescent="0.2">
      <c r="G2143" s="53"/>
      <c r="H2143" s="53"/>
      <c r="I2143" s="53"/>
      <c r="J2143" s="53"/>
      <c r="K2143" s="53"/>
      <c r="L2143" s="53"/>
    </row>
    <row r="2144" spans="7:12" x14ac:dyDescent="0.2">
      <c r="G2144" s="53"/>
      <c r="H2144" s="53"/>
      <c r="I2144" s="53"/>
      <c r="J2144" s="53"/>
      <c r="K2144" s="53"/>
      <c r="L2144" s="53"/>
    </row>
    <row r="2145" spans="7:12" x14ac:dyDescent="0.2">
      <c r="G2145" s="53"/>
      <c r="H2145" s="53"/>
      <c r="I2145" s="53"/>
      <c r="J2145" s="53"/>
      <c r="K2145" s="53"/>
      <c r="L2145" s="53"/>
    </row>
    <row r="2146" spans="7:12" x14ac:dyDescent="0.2">
      <c r="G2146" s="53"/>
      <c r="H2146" s="53"/>
      <c r="I2146" s="53"/>
      <c r="J2146" s="53"/>
      <c r="K2146" s="53"/>
      <c r="L2146" s="53"/>
    </row>
    <row r="2147" spans="7:12" x14ac:dyDescent="0.2">
      <c r="G2147" s="53"/>
      <c r="H2147" s="53"/>
      <c r="I2147" s="53"/>
      <c r="J2147" s="53"/>
      <c r="K2147" s="53"/>
      <c r="L2147" s="53"/>
    </row>
    <row r="2148" spans="7:12" x14ac:dyDescent="0.2">
      <c r="G2148" s="53"/>
      <c r="H2148" s="53"/>
      <c r="I2148" s="53"/>
      <c r="J2148" s="53"/>
      <c r="K2148" s="53"/>
      <c r="L2148" s="53"/>
    </row>
    <row r="2149" spans="7:12" x14ac:dyDescent="0.2">
      <c r="G2149" s="53"/>
      <c r="H2149" s="53"/>
      <c r="I2149" s="53"/>
      <c r="J2149" s="53"/>
      <c r="K2149" s="53"/>
      <c r="L2149" s="53"/>
    </row>
    <row r="2150" spans="7:12" x14ac:dyDescent="0.2">
      <c r="G2150" s="53"/>
      <c r="H2150" s="53"/>
      <c r="I2150" s="53"/>
      <c r="J2150" s="53"/>
      <c r="K2150" s="53"/>
      <c r="L2150" s="53"/>
    </row>
    <row r="2151" spans="7:12" x14ac:dyDescent="0.2">
      <c r="G2151" s="53"/>
      <c r="H2151" s="53"/>
      <c r="I2151" s="53"/>
      <c r="J2151" s="53"/>
      <c r="K2151" s="53"/>
      <c r="L2151" s="53"/>
    </row>
    <row r="2152" spans="7:12" x14ac:dyDescent="0.2">
      <c r="G2152" s="53"/>
      <c r="H2152" s="53"/>
      <c r="I2152" s="53"/>
      <c r="J2152" s="53"/>
      <c r="K2152" s="53"/>
      <c r="L2152" s="53"/>
    </row>
    <row r="2153" spans="7:12" x14ac:dyDescent="0.2">
      <c r="G2153" s="53"/>
      <c r="H2153" s="53"/>
      <c r="I2153" s="53"/>
      <c r="J2153" s="53"/>
      <c r="K2153" s="53"/>
      <c r="L2153" s="53"/>
    </row>
    <row r="2154" spans="7:12" x14ac:dyDescent="0.2">
      <c r="G2154" s="53"/>
      <c r="H2154" s="53"/>
      <c r="I2154" s="53"/>
      <c r="J2154" s="53"/>
      <c r="K2154" s="53"/>
      <c r="L2154" s="53"/>
    </row>
    <row r="2155" spans="7:12" x14ac:dyDescent="0.2">
      <c r="G2155" s="53"/>
      <c r="H2155" s="53"/>
      <c r="I2155" s="53"/>
      <c r="J2155" s="53"/>
      <c r="K2155" s="53"/>
      <c r="L2155" s="53"/>
    </row>
    <row r="2156" spans="7:12" x14ac:dyDescent="0.2">
      <c r="G2156" s="53"/>
      <c r="H2156" s="53"/>
      <c r="I2156" s="53"/>
      <c r="J2156" s="53"/>
      <c r="K2156" s="53"/>
      <c r="L2156" s="53"/>
    </row>
    <row r="2157" spans="7:12" x14ac:dyDescent="0.2">
      <c r="G2157" s="53"/>
      <c r="H2157" s="53"/>
      <c r="I2157" s="53"/>
      <c r="J2157" s="53"/>
      <c r="K2157" s="53"/>
      <c r="L2157" s="53"/>
    </row>
    <row r="2158" spans="7:12" x14ac:dyDescent="0.2">
      <c r="G2158" s="53"/>
      <c r="H2158" s="53"/>
      <c r="I2158" s="53"/>
      <c r="J2158" s="53"/>
      <c r="K2158" s="53"/>
      <c r="L2158" s="53"/>
    </row>
    <row r="2159" spans="7:12" x14ac:dyDescent="0.2">
      <c r="G2159" s="53"/>
      <c r="H2159" s="53"/>
      <c r="I2159" s="53"/>
      <c r="J2159" s="53"/>
      <c r="K2159" s="53"/>
      <c r="L2159" s="53"/>
    </row>
    <row r="2160" spans="7:12" x14ac:dyDescent="0.2">
      <c r="G2160" s="53"/>
      <c r="H2160" s="53"/>
      <c r="I2160" s="53"/>
      <c r="J2160" s="53"/>
      <c r="K2160" s="53"/>
      <c r="L2160" s="53"/>
    </row>
    <row r="2161" spans="7:12" x14ac:dyDescent="0.2">
      <c r="G2161" s="53"/>
      <c r="H2161" s="53"/>
      <c r="I2161" s="53"/>
      <c r="J2161" s="53"/>
      <c r="K2161" s="53"/>
      <c r="L2161" s="53"/>
    </row>
    <row r="2162" spans="7:12" x14ac:dyDescent="0.2">
      <c r="G2162" s="53"/>
      <c r="H2162" s="53"/>
      <c r="I2162" s="53"/>
      <c r="J2162" s="53"/>
      <c r="K2162" s="53"/>
      <c r="L2162" s="53"/>
    </row>
    <row r="2163" spans="7:12" x14ac:dyDescent="0.2">
      <c r="G2163" s="53"/>
      <c r="H2163" s="53"/>
      <c r="I2163" s="53"/>
      <c r="J2163" s="53"/>
      <c r="K2163" s="53"/>
      <c r="L2163" s="53"/>
    </row>
    <row r="2164" spans="7:12" x14ac:dyDescent="0.2">
      <c r="G2164" s="53"/>
      <c r="H2164" s="53"/>
      <c r="I2164" s="53"/>
      <c r="J2164" s="53"/>
      <c r="K2164" s="53"/>
      <c r="L2164" s="53"/>
    </row>
    <row r="2165" spans="7:12" x14ac:dyDescent="0.2">
      <c r="G2165" s="53"/>
      <c r="H2165" s="53"/>
      <c r="I2165" s="53"/>
      <c r="J2165" s="53"/>
      <c r="K2165" s="53"/>
      <c r="L2165" s="53"/>
    </row>
    <row r="2166" spans="7:12" x14ac:dyDescent="0.2">
      <c r="G2166" s="53"/>
      <c r="H2166" s="53"/>
      <c r="I2166" s="53"/>
      <c r="J2166" s="53"/>
      <c r="K2166" s="53"/>
      <c r="L2166" s="53"/>
    </row>
    <row r="2167" spans="7:12" x14ac:dyDescent="0.2">
      <c r="G2167" s="53"/>
      <c r="H2167" s="53"/>
      <c r="I2167" s="53"/>
      <c r="J2167" s="53"/>
      <c r="K2167" s="53"/>
      <c r="L2167" s="53"/>
    </row>
    <row r="2168" spans="7:12" x14ac:dyDescent="0.2">
      <c r="G2168" s="53"/>
      <c r="H2168" s="53"/>
      <c r="I2168" s="53"/>
      <c r="J2168" s="53"/>
      <c r="K2168" s="53"/>
      <c r="L2168" s="53"/>
    </row>
    <row r="2169" spans="7:12" x14ac:dyDescent="0.2">
      <c r="G2169" s="53"/>
      <c r="H2169" s="53"/>
      <c r="I2169" s="53"/>
      <c r="J2169" s="53"/>
      <c r="K2169" s="53"/>
      <c r="L2169" s="53"/>
    </row>
    <row r="2170" spans="7:12" x14ac:dyDescent="0.2">
      <c r="G2170" s="53"/>
      <c r="H2170" s="53"/>
      <c r="I2170" s="53"/>
      <c r="J2170" s="53"/>
      <c r="K2170" s="53"/>
      <c r="L2170" s="53"/>
    </row>
    <row r="2171" spans="7:12" x14ac:dyDescent="0.2">
      <c r="G2171" s="53"/>
      <c r="H2171" s="53"/>
      <c r="I2171" s="53"/>
      <c r="J2171" s="53"/>
      <c r="K2171" s="53"/>
      <c r="L2171" s="53"/>
    </row>
    <row r="2172" spans="7:12" x14ac:dyDescent="0.2">
      <c r="G2172" s="53"/>
      <c r="H2172" s="53"/>
      <c r="I2172" s="53"/>
      <c r="J2172" s="53"/>
      <c r="K2172" s="53"/>
      <c r="L2172" s="53"/>
    </row>
    <row r="2173" spans="7:12" x14ac:dyDescent="0.2">
      <c r="G2173" s="53"/>
      <c r="H2173" s="53"/>
      <c r="I2173" s="53"/>
      <c r="J2173" s="53"/>
      <c r="K2173" s="53"/>
      <c r="L2173" s="53"/>
    </row>
    <row r="2174" spans="7:12" x14ac:dyDescent="0.2">
      <c r="G2174" s="53"/>
      <c r="H2174" s="53"/>
      <c r="I2174" s="53"/>
      <c r="J2174" s="53"/>
      <c r="K2174" s="53"/>
      <c r="L2174" s="53"/>
    </row>
    <row r="2175" spans="7:12" x14ac:dyDescent="0.2">
      <c r="G2175" s="53"/>
      <c r="H2175" s="53"/>
      <c r="I2175" s="53"/>
      <c r="J2175" s="53"/>
      <c r="K2175" s="53"/>
      <c r="L2175" s="53"/>
    </row>
    <row r="2176" spans="7:12" x14ac:dyDescent="0.2">
      <c r="G2176" s="53"/>
      <c r="H2176" s="53"/>
      <c r="I2176" s="53"/>
      <c r="J2176" s="53"/>
      <c r="K2176" s="53"/>
      <c r="L2176" s="53"/>
    </row>
    <row r="2177" spans="7:12" x14ac:dyDescent="0.2">
      <c r="G2177" s="53"/>
      <c r="H2177" s="53"/>
      <c r="I2177" s="53"/>
      <c r="J2177" s="53"/>
      <c r="K2177" s="53"/>
      <c r="L2177" s="53"/>
    </row>
    <row r="2178" spans="7:12" x14ac:dyDescent="0.2">
      <c r="G2178" s="53"/>
      <c r="H2178" s="53"/>
      <c r="I2178" s="53"/>
      <c r="J2178" s="53"/>
      <c r="K2178" s="53"/>
      <c r="L2178" s="53"/>
    </row>
    <row r="2179" spans="7:12" x14ac:dyDescent="0.2">
      <c r="G2179" s="53"/>
      <c r="H2179" s="53"/>
      <c r="I2179" s="53"/>
      <c r="J2179" s="53"/>
      <c r="K2179" s="53"/>
      <c r="L2179" s="53"/>
    </row>
    <row r="2180" spans="7:12" x14ac:dyDescent="0.2">
      <c r="G2180" s="53"/>
      <c r="H2180" s="53"/>
      <c r="I2180" s="53"/>
      <c r="J2180" s="53"/>
      <c r="K2180" s="53"/>
      <c r="L2180" s="53"/>
    </row>
    <row r="2181" spans="7:12" x14ac:dyDescent="0.2">
      <c r="G2181" s="53"/>
      <c r="H2181" s="53"/>
      <c r="I2181" s="53"/>
      <c r="J2181" s="53"/>
      <c r="K2181" s="53"/>
      <c r="L2181" s="53"/>
    </row>
    <row r="2182" spans="7:12" x14ac:dyDescent="0.2">
      <c r="G2182" s="53"/>
      <c r="H2182" s="53"/>
      <c r="I2182" s="53"/>
      <c r="J2182" s="53"/>
      <c r="K2182" s="53"/>
      <c r="L2182" s="53"/>
    </row>
    <row r="2183" spans="7:12" x14ac:dyDescent="0.2">
      <c r="G2183" s="53"/>
      <c r="H2183" s="53"/>
      <c r="I2183" s="53"/>
      <c r="J2183" s="53"/>
      <c r="K2183" s="53"/>
      <c r="L2183" s="53"/>
    </row>
    <row r="2184" spans="7:12" x14ac:dyDescent="0.2">
      <c r="G2184" s="53"/>
      <c r="H2184" s="53"/>
      <c r="I2184" s="53"/>
      <c r="J2184" s="53"/>
      <c r="K2184" s="53"/>
      <c r="L2184" s="53"/>
    </row>
    <row r="2185" spans="7:12" x14ac:dyDescent="0.2">
      <c r="G2185" s="53"/>
      <c r="H2185" s="53"/>
      <c r="I2185" s="53"/>
      <c r="J2185" s="53"/>
      <c r="K2185" s="53"/>
      <c r="L2185" s="53"/>
    </row>
    <row r="2186" spans="7:12" x14ac:dyDescent="0.2">
      <c r="G2186" s="53"/>
      <c r="H2186" s="53"/>
      <c r="I2186" s="53"/>
      <c r="J2186" s="53"/>
      <c r="K2186" s="53"/>
      <c r="L2186" s="53"/>
    </row>
    <row r="2187" spans="7:12" x14ac:dyDescent="0.2">
      <c r="G2187" s="53"/>
      <c r="H2187" s="53"/>
      <c r="I2187" s="53"/>
      <c r="J2187" s="53"/>
      <c r="K2187" s="53"/>
      <c r="L2187" s="53"/>
    </row>
    <row r="2188" spans="7:12" x14ac:dyDescent="0.2">
      <c r="G2188" s="53"/>
      <c r="H2188" s="53"/>
      <c r="I2188" s="53"/>
      <c r="J2188" s="53"/>
      <c r="K2188" s="53"/>
      <c r="L2188" s="53"/>
    </row>
    <row r="2189" spans="7:12" x14ac:dyDescent="0.2">
      <c r="G2189" s="53"/>
      <c r="H2189" s="53"/>
      <c r="I2189" s="53"/>
      <c r="J2189" s="53"/>
      <c r="K2189" s="53"/>
      <c r="L2189" s="53"/>
    </row>
    <row r="2190" spans="7:12" x14ac:dyDescent="0.2">
      <c r="G2190" s="53"/>
      <c r="H2190" s="53"/>
      <c r="I2190" s="53"/>
      <c r="J2190" s="53"/>
      <c r="K2190" s="53"/>
      <c r="L2190" s="53"/>
    </row>
    <row r="2191" spans="7:12" x14ac:dyDescent="0.2">
      <c r="G2191" s="53"/>
      <c r="H2191" s="53"/>
      <c r="I2191" s="53"/>
      <c r="J2191" s="53"/>
      <c r="K2191" s="53"/>
      <c r="L2191" s="53"/>
    </row>
    <row r="2192" spans="7:12" x14ac:dyDescent="0.2">
      <c r="G2192" s="53"/>
      <c r="H2192" s="53"/>
      <c r="I2192" s="53"/>
      <c r="J2192" s="53"/>
      <c r="K2192" s="53"/>
      <c r="L2192" s="53"/>
    </row>
    <row r="2193" spans="7:12" x14ac:dyDescent="0.2">
      <c r="G2193" s="53"/>
      <c r="H2193" s="53"/>
      <c r="I2193" s="53"/>
      <c r="J2193" s="53"/>
      <c r="K2193" s="53"/>
      <c r="L2193" s="53"/>
    </row>
    <row r="2194" spans="7:12" x14ac:dyDescent="0.2">
      <c r="G2194" s="53"/>
      <c r="H2194" s="53"/>
      <c r="I2194" s="53"/>
      <c r="J2194" s="53"/>
      <c r="K2194" s="53"/>
      <c r="L2194" s="53"/>
    </row>
    <row r="2195" spans="7:12" x14ac:dyDescent="0.2">
      <c r="G2195" s="53"/>
      <c r="H2195" s="53"/>
      <c r="I2195" s="53"/>
      <c r="J2195" s="53"/>
      <c r="K2195" s="53"/>
      <c r="L2195" s="53"/>
    </row>
    <row r="2196" spans="7:12" x14ac:dyDescent="0.2">
      <c r="G2196" s="53"/>
      <c r="H2196" s="53"/>
      <c r="I2196" s="53"/>
      <c r="J2196" s="53"/>
      <c r="K2196" s="53"/>
      <c r="L2196" s="53"/>
    </row>
    <row r="2197" spans="7:12" x14ac:dyDescent="0.2">
      <c r="G2197" s="53"/>
      <c r="H2197" s="53"/>
      <c r="I2197" s="53"/>
      <c r="J2197" s="53"/>
      <c r="K2197" s="53"/>
      <c r="L2197" s="53"/>
    </row>
    <row r="2198" spans="7:12" x14ac:dyDescent="0.2">
      <c r="G2198" s="53"/>
      <c r="H2198" s="53"/>
      <c r="I2198" s="53"/>
      <c r="J2198" s="53"/>
      <c r="K2198" s="53"/>
      <c r="L2198" s="53"/>
    </row>
    <row r="2199" spans="7:12" x14ac:dyDescent="0.2">
      <c r="G2199" s="53"/>
      <c r="H2199" s="53"/>
      <c r="I2199" s="53"/>
      <c r="J2199" s="53"/>
      <c r="K2199" s="53"/>
      <c r="L2199" s="53"/>
    </row>
    <row r="2200" spans="7:12" x14ac:dyDescent="0.2">
      <c r="G2200" s="53"/>
      <c r="H2200" s="53"/>
      <c r="I2200" s="53"/>
      <c r="J2200" s="53"/>
      <c r="K2200" s="53"/>
      <c r="L2200" s="53"/>
    </row>
    <row r="2201" spans="7:12" x14ac:dyDescent="0.2">
      <c r="G2201" s="53"/>
      <c r="H2201" s="53"/>
      <c r="I2201" s="53"/>
      <c r="J2201" s="53"/>
      <c r="K2201" s="53"/>
      <c r="L2201" s="53"/>
    </row>
    <row r="2202" spans="7:12" x14ac:dyDescent="0.2">
      <c r="G2202" s="53"/>
      <c r="H2202" s="53"/>
      <c r="I2202" s="53"/>
      <c r="J2202" s="53"/>
      <c r="K2202" s="53"/>
      <c r="L2202" s="53"/>
    </row>
    <row r="2203" spans="7:12" x14ac:dyDescent="0.2">
      <c r="G2203" s="53"/>
      <c r="H2203" s="53"/>
      <c r="I2203" s="53"/>
      <c r="J2203" s="53"/>
      <c r="K2203" s="53"/>
      <c r="L2203" s="53"/>
    </row>
    <row r="2204" spans="7:12" x14ac:dyDescent="0.2">
      <c r="G2204" s="53"/>
      <c r="H2204" s="53"/>
      <c r="I2204" s="53"/>
      <c r="J2204" s="53"/>
      <c r="K2204" s="53"/>
      <c r="L2204" s="53"/>
    </row>
    <row r="2205" spans="7:12" x14ac:dyDescent="0.2">
      <c r="G2205" s="53"/>
      <c r="H2205" s="53"/>
      <c r="I2205" s="53"/>
      <c r="J2205" s="53"/>
      <c r="K2205" s="53"/>
      <c r="L2205" s="53"/>
    </row>
    <row r="2206" spans="7:12" x14ac:dyDescent="0.2">
      <c r="G2206" s="53"/>
      <c r="H2206" s="53"/>
      <c r="I2206" s="53"/>
      <c r="J2206" s="53"/>
      <c r="K2206" s="53"/>
      <c r="L2206" s="53"/>
    </row>
    <row r="2207" spans="7:12" x14ac:dyDescent="0.2">
      <c r="G2207" s="53"/>
      <c r="H2207" s="53"/>
      <c r="I2207" s="53"/>
      <c r="J2207" s="53"/>
      <c r="K2207" s="53"/>
      <c r="L2207" s="53"/>
    </row>
    <row r="2208" spans="7:12" x14ac:dyDescent="0.2">
      <c r="G2208" s="53"/>
      <c r="H2208" s="53"/>
      <c r="I2208" s="53"/>
      <c r="J2208" s="53"/>
      <c r="K2208" s="53"/>
      <c r="L2208" s="53"/>
    </row>
    <row r="2209" spans="7:12" x14ac:dyDescent="0.2">
      <c r="G2209" s="53"/>
      <c r="H2209" s="53"/>
      <c r="I2209" s="53"/>
      <c r="J2209" s="53"/>
      <c r="K2209" s="53"/>
      <c r="L2209" s="53"/>
    </row>
    <row r="2210" spans="7:12" x14ac:dyDescent="0.2">
      <c r="G2210" s="53"/>
      <c r="H2210" s="53"/>
      <c r="I2210" s="53"/>
      <c r="J2210" s="53"/>
      <c r="K2210" s="53"/>
      <c r="L2210" s="53"/>
    </row>
    <row r="2211" spans="7:12" x14ac:dyDescent="0.2">
      <c r="G2211" s="53"/>
      <c r="H2211" s="53"/>
      <c r="I2211" s="53"/>
      <c r="J2211" s="53"/>
      <c r="K2211" s="53"/>
      <c r="L2211" s="53"/>
    </row>
    <row r="2212" spans="7:12" x14ac:dyDescent="0.2">
      <c r="G2212" s="53"/>
      <c r="H2212" s="53"/>
      <c r="I2212" s="53"/>
      <c r="J2212" s="53"/>
      <c r="K2212" s="53"/>
      <c r="L2212" s="53"/>
    </row>
    <row r="2213" spans="7:12" x14ac:dyDescent="0.2">
      <c r="G2213" s="53"/>
      <c r="H2213" s="53"/>
      <c r="I2213" s="53"/>
      <c r="J2213" s="53"/>
      <c r="K2213" s="53"/>
      <c r="L2213" s="53"/>
    </row>
    <row r="2214" spans="7:12" x14ac:dyDescent="0.2">
      <c r="G2214" s="53"/>
      <c r="H2214" s="53"/>
      <c r="I2214" s="53"/>
      <c r="J2214" s="53"/>
      <c r="K2214" s="53"/>
      <c r="L2214" s="53"/>
    </row>
    <row r="2215" spans="7:12" x14ac:dyDescent="0.2">
      <c r="G2215" s="53"/>
      <c r="H2215" s="53"/>
      <c r="I2215" s="53"/>
      <c r="J2215" s="53"/>
      <c r="K2215" s="53"/>
      <c r="L2215" s="53"/>
    </row>
    <row r="2216" spans="7:12" x14ac:dyDescent="0.2">
      <c r="G2216" s="53"/>
      <c r="H2216" s="53"/>
      <c r="I2216" s="53"/>
      <c r="J2216" s="53"/>
      <c r="K2216" s="53"/>
      <c r="L2216" s="53"/>
    </row>
    <row r="2217" spans="7:12" x14ac:dyDescent="0.2">
      <c r="G2217" s="53"/>
      <c r="H2217" s="53"/>
      <c r="I2217" s="53"/>
      <c r="J2217" s="53"/>
      <c r="K2217" s="53"/>
      <c r="L2217" s="53"/>
    </row>
    <row r="2218" spans="7:12" x14ac:dyDescent="0.2">
      <c r="G2218" s="53"/>
      <c r="H2218" s="53"/>
      <c r="I2218" s="53"/>
      <c r="J2218" s="53"/>
      <c r="K2218" s="53"/>
      <c r="L2218" s="53"/>
    </row>
    <row r="2219" spans="7:12" x14ac:dyDescent="0.2">
      <c r="G2219" s="53"/>
      <c r="H2219" s="53"/>
      <c r="I2219" s="53"/>
      <c r="J2219" s="53"/>
      <c r="K2219" s="53"/>
      <c r="L2219" s="53"/>
    </row>
    <row r="2220" spans="7:12" x14ac:dyDescent="0.2">
      <c r="G2220" s="53"/>
      <c r="H2220" s="53"/>
      <c r="I2220" s="53"/>
      <c r="J2220" s="53"/>
      <c r="K2220" s="53"/>
      <c r="L2220" s="53"/>
    </row>
    <row r="2221" spans="7:12" x14ac:dyDescent="0.2">
      <c r="G2221" s="53"/>
      <c r="H2221" s="53"/>
      <c r="I2221" s="53"/>
      <c r="J2221" s="53"/>
      <c r="K2221" s="53"/>
      <c r="L2221" s="53"/>
    </row>
    <row r="2222" spans="7:12" x14ac:dyDescent="0.2">
      <c r="G2222" s="53"/>
      <c r="H2222" s="53"/>
      <c r="I2222" s="53"/>
      <c r="J2222" s="53"/>
      <c r="K2222" s="53"/>
      <c r="L2222" s="53"/>
    </row>
    <row r="2223" spans="7:12" x14ac:dyDescent="0.2">
      <c r="G2223" s="53"/>
      <c r="H2223" s="53"/>
      <c r="I2223" s="53"/>
      <c r="J2223" s="53"/>
      <c r="K2223" s="53"/>
      <c r="L2223" s="53"/>
    </row>
    <row r="2224" spans="7:12" x14ac:dyDescent="0.2">
      <c r="G2224" s="53"/>
      <c r="H2224" s="53"/>
      <c r="I2224" s="53"/>
      <c r="J2224" s="53"/>
      <c r="K2224" s="53"/>
      <c r="L2224" s="53"/>
    </row>
    <row r="2225" spans="7:12" x14ac:dyDescent="0.2">
      <c r="G2225" s="53"/>
      <c r="H2225" s="53"/>
      <c r="I2225" s="53"/>
      <c r="J2225" s="53"/>
      <c r="K2225" s="53"/>
      <c r="L2225" s="53"/>
    </row>
    <row r="2226" spans="7:12" x14ac:dyDescent="0.2">
      <c r="G2226" s="53"/>
      <c r="H2226" s="53"/>
      <c r="I2226" s="53"/>
      <c r="J2226" s="53"/>
      <c r="K2226" s="53"/>
      <c r="L2226" s="53"/>
    </row>
    <row r="2227" spans="7:12" x14ac:dyDescent="0.2">
      <c r="G2227" s="53"/>
      <c r="H2227" s="53"/>
      <c r="I2227" s="53"/>
      <c r="J2227" s="53"/>
      <c r="K2227" s="53"/>
      <c r="L2227" s="53"/>
    </row>
    <row r="2228" spans="7:12" x14ac:dyDescent="0.2">
      <c r="G2228" s="53"/>
      <c r="H2228" s="53"/>
      <c r="I2228" s="53"/>
      <c r="J2228" s="53"/>
      <c r="K2228" s="53"/>
      <c r="L2228" s="53"/>
    </row>
    <row r="2229" spans="7:12" x14ac:dyDescent="0.2">
      <c r="G2229" s="53"/>
      <c r="H2229" s="53"/>
      <c r="I2229" s="53"/>
      <c r="J2229" s="53"/>
      <c r="K2229" s="53"/>
      <c r="L2229" s="53"/>
    </row>
    <row r="2230" spans="7:12" x14ac:dyDescent="0.2">
      <c r="G2230" s="53"/>
      <c r="H2230" s="53"/>
      <c r="I2230" s="53"/>
      <c r="J2230" s="53"/>
      <c r="K2230" s="53"/>
      <c r="L2230" s="53"/>
    </row>
    <row r="2231" spans="7:12" x14ac:dyDescent="0.2">
      <c r="G2231" s="53"/>
      <c r="H2231" s="53"/>
      <c r="I2231" s="53"/>
      <c r="J2231" s="53"/>
      <c r="K2231" s="53"/>
      <c r="L2231" s="53"/>
    </row>
    <row r="2232" spans="7:12" x14ac:dyDescent="0.2">
      <c r="G2232" s="53"/>
      <c r="H2232" s="53"/>
      <c r="I2232" s="53"/>
      <c r="J2232" s="53"/>
      <c r="K2232" s="53"/>
      <c r="L2232" s="53"/>
    </row>
    <row r="2233" spans="7:12" x14ac:dyDescent="0.2">
      <c r="G2233" s="53"/>
      <c r="H2233" s="53"/>
      <c r="I2233" s="53"/>
      <c r="J2233" s="53"/>
      <c r="K2233" s="53"/>
      <c r="L2233" s="53"/>
    </row>
    <row r="2234" spans="7:12" x14ac:dyDescent="0.2">
      <c r="G2234" s="53"/>
      <c r="H2234" s="53"/>
      <c r="I2234" s="53"/>
      <c r="J2234" s="53"/>
      <c r="K2234" s="53"/>
      <c r="L2234" s="53"/>
    </row>
    <row r="2235" spans="7:12" x14ac:dyDescent="0.2">
      <c r="G2235" s="53"/>
      <c r="H2235" s="53"/>
      <c r="I2235" s="53"/>
      <c r="J2235" s="53"/>
      <c r="K2235" s="53"/>
      <c r="L2235" s="53"/>
    </row>
    <row r="2236" spans="7:12" x14ac:dyDescent="0.2">
      <c r="G2236" s="53"/>
      <c r="H2236" s="53"/>
      <c r="I2236" s="53"/>
      <c r="J2236" s="53"/>
      <c r="K2236" s="53"/>
      <c r="L2236" s="53"/>
    </row>
    <row r="2237" spans="7:12" x14ac:dyDescent="0.2">
      <c r="G2237" s="53"/>
      <c r="H2237" s="53"/>
      <c r="I2237" s="53"/>
      <c r="J2237" s="53"/>
      <c r="K2237" s="53"/>
      <c r="L2237" s="53"/>
    </row>
    <row r="2238" spans="7:12" x14ac:dyDescent="0.2">
      <c r="G2238" s="53"/>
      <c r="H2238" s="53"/>
      <c r="I2238" s="53"/>
      <c r="J2238" s="53"/>
      <c r="K2238" s="53"/>
      <c r="L2238" s="53"/>
    </row>
    <row r="2239" spans="7:12" x14ac:dyDescent="0.2">
      <c r="G2239" s="53"/>
      <c r="H2239" s="53"/>
      <c r="I2239" s="53"/>
      <c r="J2239" s="53"/>
      <c r="K2239" s="53"/>
      <c r="L2239" s="53"/>
    </row>
    <row r="2240" spans="7:12" x14ac:dyDescent="0.2">
      <c r="G2240" s="53"/>
      <c r="H2240" s="53"/>
      <c r="I2240" s="53"/>
      <c r="J2240" s="53"/>
      <c r="K2240" s="53"/>
      <c r="L2240" s="53"/>
    </row>
    <row r="2241" spans="7:12" x14ac:dyDescent="0.2">
      <c r="G2241" s="53"/>
      <c r="H2241" s="53"/>
      <c r="I2241" s="53"/>
      <c r="J2241" s="53"/>
      <c r="K2241" s="53"/>
      <c r="L2241" s="53"/>
    </row>
    <row r="2242" spans="7:12" x14ac:dyDescent="0.2">
      <c r="G2242" s="53"/>
      <c r="H2242" s="53"/>
      <c r="I2242" s="53"/>
      <c r="J2242" s="53"/>
      <c r="K2242" s="53"/>
      <c r="L2242" s="53"/>
    </row>
    <row r="2243" spans="7:12" x14ac:dyDescent="0.2">
      <c r="G2243" s="53"/>
      <c r="H2243" s="53"/>
      <c r="I2243" s="53"/>
      <c r="J2243" s="53"/>
      <c r="K2243" s="53"/>
      <c r="L2243" s="53"/>
    </row>
    <row r="2244" spans="7:12" x14ac:dyDescent="0.2">
      <c r="G2244" s="53"/>
      <c r="H2244" s="53"/>
      <c r="I2244" s="53"/>
      <c r="J2244" s="53"/>
      <c r="K2244" s="53"/>
      <c r="L2244" s="53"/>
    </row>
    <row r="2245" spans="7:12" x14ac:dyDescent="0.2">
      <c r="G2245" s="53"/>
      <c r="H2245" s="53"/>
      <c r="I2245" s="53"/>
      <c r="J2245" s="53"/>
      <c r="K2245" s="53"/>
      <c r="L2245" s="53"/>
    </row>
    <row r="2246" spans="7:12" x14ac:dyDescent="0.2">
      <c r="G2246" s="53"/>
      <c r="H2246" s="53"/>
      <c r="I2246" s="53"/>
      <c r="J2246" s="53"/>
      <c r="K2246" s="53"/>
      <c r="L2246" s="53"/>
    </row>
    <row r="2247" spans="7:12" x14ac:dyDescent="0.2">
      <c r="G2247" s="53"/>
      <c r="H2247" s="53"/>
      <c r="I2247" s="53"/>
      <c r="J2247" s="53"/>
      <c r="K2247" s="53"/>
      <c r="L2247" s="53"/>
    </row>
    <row r="2248" spans="7:12" x14ac:dyDescent="0.2">
      <c r="G2248" s="53"/>
      <c r="H2248" s="53"/>
      <c r="I2248" s="53"/>
      <c r="J2248" s="53"/>
      <c r="K2248" s="53"/>
      <c r="L2248" s="53"/>
    </row>
    <row r="2249" spans="7:12" x14ac:dyDescent="0.2">
      <c r="G2249" s="53"/>
      <c r="H2249" s="53"/>
      <c r="I2249" s="53"/>
      <c r="J2249" s="53"/>
      <c r="K2249" s="53"/>
      <c r="L2249" s="53"/>
    </row>
    <row r="2250" spans="7:12" x14ac:dyDescent="0.2">
      <c r="G2250" s="53"/>
      <c r="H2250" s="53"/>
      <c r="I2250" s="53"/>
      <c r="J2250" s="53"/>
      <c r="K2250" s="53"/>
      <c r="L2250" s="53"/>
    </row>
    <row r="2251" spans="7:12" x14ac:dyDescent="0.2">
      <c r="G2251" s="53"/>
      <c r="H2251" s="53"/>
      <c r="I2251" s="53"/>
      <c r="J2251" s="53"/>
      <c r="K2251" s="53"/>
      <c r="L2251" s="53"/>
    </row>
    <row r="2252" spans="7:12" x14ac:dyDescent="0.2">
      <c r="G2252" s="53"/>
      <c r="H2252" s="53"/>
      <c r="I2252" s="53"/>
      <c r="J2252" s="53"/>
      <c r="K2252" s="53"/>
      <c r="L2252" s="53"/>
    </row>
    <row r="2253" spans="7:12" x14ac:dyDescent="0.2">
      <c r="G2253" s="53"/>
      <c r="H2253" s="53"/>
      <c r="I2253" s="53"/>
      <c r="J2253" s="53"/>
      <c r="K2253" s="53"/>
      <c r="L2253" s="53"/>
    </row>
    <row r="2254" spans="7:12" x14ac:dyDescent="0.2">
      <c r="G2254" s="53"/>
      <c r="H2254" s="53"/>
      <c r="I2254" s="53"/>
      <c r="J2254" s="53"/>
      <c r="K2254" s="53"/>
      <c r="L2254" s="53"/>
    </row>
    <row r="2255" spans="7:12" x14ac:dyDescent="0.2">
      <c r="G2255" s="53"/>
      <c r="H2255" s="53"/>
      <c r="I2255" s="53"/>
      <c r="J2255" s="53"/>
      <c r="K2255" s="53"/>
      <c r="L2255" s="53"/>
    </row>
    <row r="2256" spans="7:12" x14ac:dyDescent="0.2">
      <c r="G2256" s="53"/>
      <c r="H2256" s="53"/>
      <c r="I2256" s="53"/>
      <c r="J2256" s="53"/>
      <c r="K2256" s="53"/>
      <c r="L2256" s="53"/>
    </row>
    <row r="2257" spans="7:12" x14ac:dyDescent="0.2">
      <c r="G2257" s="53"/>
      <c r="H2257" s="53"/>
      <c r="I2257" s="53"/>
      <c r="J2257" s="53"/>
      <c r="K2257" s="53"/>
      <c r="L2257" s="53"/>
    </row>
    <row r="2258" spans="7:12" x14ac:dyDescent="0.2">
      <c r="G2258" s="53"/>
      <c r="H2258" s="53"/>
      <c r="I2258" s="53"/>
      <c r="J2258" s="53"/>
      <c r="K2258" s="53"/>
      <c r="L2258" s="53"/>
    </row>
    <row r="2259" spans="7:12" x14ac:dyDescent="0.2">
      <c r="G2259" s="53"/>
      <c r="H2259" s="53"/>
      <c r="I2259" s="53"/>
      <c r="J2259" s="53"/>
      <c r="K2259" s="53"/>
      <c r="L2259" s="53"/>
    </row>
    <row r="2260" spans="7:12" x14ac:dyDescent="0.2">
      <c r="G2260" s="53"/>
      <c r="H2260" s="53"/>
      <c r="I2260" s="53"/>
      <c r="J2260" s="53"/>
      <c r="K2260" s="53"/>
      <c r="L2260" s="53"/>
    </row>
    <row r="2261" spans="7:12" x14ac:dyDescent="0.2">
      <c r="G2261" s="53"/>
      <c r="H2261" s="53"/>
      <c r="I2261" s="53"/>
      <c r="J2261" s="53"/>
      <c r="K2261" s="53"/>
      <c r="L2261" s="53"/>
    </row>
    <row r="2262" spans="7:12" x14ac:dyDescent="0.2">
      <c r="G2262" s="53"/>
      <c r="H2262" s="53"/>
      <c r="I2262" s="53"/>
      <c r="J2262" s="53"/>
      <c r="K2262" s="53"/>
      <c r="L2262" s="53"/>
    </row>
    <row r="2263" spans="7:12" x14ac:dyDescent="0.2">
      <c r="G2263" s="53"/>
      <c r="H2263" s="53"/>
      <c r="I2263" s="53"/>
      <c r="J2263" s="53"/>
      <c r="K2263" s="53"/>
      <c r="L2263" s="53"/>
    </row>
    <row r="2264" spans="7:12" x14ac:dyDescent="0.2">
      <c r="G2264" s="53"/>
      <c r="H2264" s="53"/>
      <c r="I2264" s="53"/>
      <c r="J2264" s="53"/>
      <c r="K2264" s="53"/>
      <c r="L2264" s="53"/>
    </row>
    <row r="2265" spans="7:12" x14ac:dyDescent="0.2">
      <c r="G2265" s="53"/>
      <c r="H2265" s="53"/>
      <c r="I2265" s="53"/>
      <c r="J2265" s="53"/>
      <c r="K2265" s="53"/>
      <c r="L2265" s="53"/>
    </row>
    <row r="2266" spans="7:12" x14ac:dyDescent="0.2">
      <c r="G2266" s="53"/>
      <c r="H2266" s="53"/>
      <c r="I2266" s="53"/>
      <c r="J2266" s="53"/>
      <c r="K2266" s="53"/>
      <c r="L2266" s="53"/>
    </row>
    <row r="2267" spans="7:12" x14ac:dyDescent="0.2">
      <c r="G2267" s="53"/>
      <c r="H2267" s="53"/>
      <c r="I2267" s="53"/>
      <c r="J2267" s="53"/>
      <c r="K2267" s="53"/>
      <c r="L2267" s="53"/>
    </row>
    <row r="2268" spans="7:12" x14ac:dyDescent="0.2">
      <c r="G2268" s="53"/>
      <c r="H2268" s="53"/>
      <c r="I2268" s="53"/>
      <c r="J2268" s="53"/>
      <c r="K2268" s="53"/>
      <c r="L2268" s="53"/>
    </row>
    <row r="2269" spans="7:12" x14ac:dyDescent="0.2">
      <c r="G2269" s="53"/>
      <c r="H2269" s="53"/>
      <c r="I2269" s="53"/>
      <c r="J2269" s="53"/>
      <c r="K2269" s="53"/>
      <c r="L2269" s="53"/>
    </row>
    <row r="2270" spans="7:12" x14ac:dyDescent="0.2">
      <c r="G2270" s="53"/>
      <c r="H2270" s="53"/>
      <c r="I2270" s="53"/>
      <c r="J2270" s="53"/>
      <c r="K2270" s="53"/>
      <c r="L2270" s="53"/>
    </row>
    <row r="2271" spans="7:12" x14ac:dyDescent="0.2">
      <c r="G2271" s="53"/>
      <c r="H2271" s="53"/>
      <c r="I2271" s="53"/>
      <c r="J2271" s="53"/>
      <c r="K2271" s="53"/>
      <c r="L2271" s="53"/>
    </row>
    <row r="2272" spans="7:12" x14ac:dyDescent="0.2">
      <c r="G2272" s="53"/>
      <c r="H2272" s="53"/>
      <c r="I2272" s="53"/>
      <c r="J2272" s="53"/>
      <c r="K2272" s="53"/>
      <c r="L2272" s="53"/>
    </row>
    <row r="2273" spans="7:12" x14ac:dyDescent="0.2">
      <c r="G2273" s="53"/>
      <c r="H2273" s="53"/>
      <c r="I2273" s="53"/>
      <c r="J2273" s="53"/>
      <c r="K2273" s="53"/>
      <c r="L2273" s="53"/>
    </row>
    <row r="2274" spans="7:12" x14ac:dyDescent="0.2">
      <c r="G2274" s="53"/>
      <c r="H2274" s="53"/>
      <c r="I2274" s="53"/>
      <c r="J2274" s="53"/>
      <c r="K2274" s="53"/>
      <c r="L2274" s="53"/>
    </row>
    <row r="2275" spans="7:12" x14ac:dyDescent="0.2">
      <c r="G2275" s="53"/>
      <c r="H2275" s="53"/>
      <c r="I2275" s="53"/>
      <c r="J2275" s="53"/>
      <c r="K2275" s="53"/>
      <c r="L2275" s="53"/>
    </row>
    <row r="2276" spans="7:12" x14ac:dyDescent="0.2">
      <c r="G2276" s="53"/>
      <c r="H2276" s="53"/>
      <c r="I2276" s="53"/>
      <c r="J2276" s="53"/>
      <c r="K2276" s="53"/>
      <c r="L2276" s="53"/>
    </row>
    <row r="2277" spans="7:12" x14ac:dyDescent="0.2">
      <c r="G2277" s="53"/>
      <c r="H2277" s="53"/>
      <c r="I2277" s="53"/>
      <c r="J2277" s="53"/>
      <c r="K2277" s="53"/>
      <c r="L2277" s="53"/>
    </row>
    <row r="2278" spans="7:12" x14ac:dyDescent="0.2">
      <c r="G2278" s="53"/>
      <c r="H2278" s="53"/>
      <c r="I2278" s="53"/>
      <c r="J2278" s="53"/>
      <c r="K2278" s="53"/>
      <c r="L2278" s="53"/>
    </row>
    <row r="2279" spans="7:12" x14ac:dyDescent="0.2">
      <c r="G2279" s="53"/>
      <c r="H2279" s="53"/>
      <c r="I2279" s="53"/>
      <c r="J2279" s="53"/>
      <c r="K2279" s="53"/>
      <c r="L2279" s="53"/>
    </row>
    <row r="2280" spans="7:12" x14ac:dyDescent="0.2">
      <c r="G2280" s="53"/>
      <c r="H2280" s="53"/>
      <c r="I2280" s="53"/>
      <c r="J2280" s="53"/>
      <c r="K2280" s="53"/>
      <c r="L2280" s="53"/>
    </row>
    <row r="2281" spans="7:12" x14ac:dyDescent="0.2">
      <c r="G2281" s="53"/>
      <c r="H2281" s="53"/>
      <c r="I2281" s="53"/>
      <c r="J2281" s="53"/>
      <c r="K2281" s="53"/>
      <c r="L2281" s="53"/>
    </row>
    <row r="2282" spans="7:12" x14ac:dyDescent="0.2">
      <c r="G2282" s="53"/>
      <c r="H2282" s="53"/>
      <c r="I2282" s="53"/>
      <c r="J2282" s="53"/>
      <c r="K2282" s="53"/>
      <c r="L2282" s="53"/>
    </row>
    <row r="2283" spans="7:12" x14ac:dyDescent="0.2">
      <c r="G2283" s="53"/>
      <c r="H2283" s="53"/>
      <c r="I2283" s="53"/>
      <c r="J2283" s="53"/>
      <c r="K2283" s="53"/>
      <c r="L2283" s="53"/>
    </row>
    <row r="2284" spans="7:12" x14ac:dyDescent="0.2">
      <c r="G2284" s="53"/>
      <c r="H2284" s="53"/>
      <c r="I2284" s="53"/>
      <c r="J2284" s="53"/>
      <c r="K2284" s="53"/>
      <c r="L2284" s="53"/>
    </row>
    <row r="2285" spans="7:12" x14ac:dyDescent="0.2">
      <c r="G2285" s="53"/>
      <c r="H2285" s="53"/>
      <c r="I2285" s="53"/>
      <c r="J2285" s="53"/>
      <c r="K2285" s="53"/>
      <c r="L2285" s="53"/>
    </row>
    <row r="2286" spans="7:12" x14ac:dyDescent="0.2">
      <c r="G2286" s="53"/>
      <c r="H2286" s="53"/>
      <c r="I2286" s="53"/>
      <c r="J2286" s="53"/>
      <c r="K2286" s="53"/>
      <c r="L2286" s="53"/>
    </row>
    <row r="2287" spans="7:12" x14ac:dyDescent="0.2">
      <c r="G2287" s="53"/>
      <c r="H2287" s="53"/>
      <c r="I2287" s="53"/>
      <c r="J2287" s="53"/>
      <c r="K2287" s="53"/>
      <c r="L2287" s="53"/>
    </row>
    <row r="2288" spans="7:12" x14ac:dyDescent="0.2">
      <c r="G2288" s="53"/>
      <c r="H2288" s="53"/>
      <c r="I2288" s="53"/>
      <c r="J2288" s="53"/>
      <c r="K2288" s="53"/>
      <c r="L2288" s="53"/>
    </row>
    <row r="2289" spans="7:12" x14ac:dyDescent="0.2">
      <c r="G2289" s="53"/>
      <c r="H2289" s="53"/>
      <c r="I2289" s="53"/>
      <c r="J2289" s="53"/>
      <c r="K2289" s="53"/>
      <c r="L2289" s="53"/>
    </row>
    <row r="2290" spans="7:12" x14ac:dyDescent="0.2">
      <c r="G2290" s="53"/>
      <c r="H2290" s="53"/>
      <c r="I2290" s="53"/>
      <c r="J2290" s="53"/>
      <c r="K2290" s="53"/>
      <c r="L2290" s="53"/>
    </row>
    <row r="2291" spans="7:12" x14ac:dyDescent="0.2">
      <c r="G2291" s="53"/>
      <c r="H2291" s="53"/>
      <c r="I2291" s="53"/>
      <c r="J2291" s="53"/>
      <c r="K2291" s="53"/>
      <c r="L2291" s="53"/>
    </row>
    <row r="2292" spans="7:12" x14ac:dyDescent="0.2">
      <c r="G2292" s="53"/>
      <c r="H2292" s="53"/>
      <c r="I2292" s="53"/>
      <c r="J2292" s="53"/>
      <c r="K2292" s="53"/>
      <c r="L2292" s="53"/>
    </row>
    <row r="2293" spans="7:12" x14ac:dyDescent="0.2">
      <c r="G2293" s="53"/>
      <c r="H2293" s="53"/>
      <c r="I2293" s="53"/>
      <c r="J2293" s="53"/>
      <c r="K2293" s="53"/>
      <c r="L2293" s="53"/>
    </row>
    <row r="2294" spans="7:12" x14ac:dyDescent="0.2">
      <c r="G2294" s="53"/>
      <c r="H2294" s="53"/>
      <c r="I2294" s="53"/>
      <c r="J2294" s="53"/>
      <c r="K2294" s="53"/>
      <c r="L2294" s="53"/>
    </row>
    <row r="2295" spans="7:12" x14ac:dyDescent="0.2">
      <c r="G2295" s="53"/>
      <c r="H2295" s="53"/>
      <c r="I2295" s="53"/>
      <c r="J2295" s="53"/>
      <c r="K2295" s="53"/>
      <c r="L2295" s="53"/>
    </row>
    <row r="2296" spans="7:12" x14ac:dyDescent="0.2">
      <c r="G2296" s="53"/>
      <c r="H2296" s="53"/>
      <c r="I2296" s="53"/>
      <c r="J2296" s="53"/>
      <c r="K2296" s="53"/>
      <c r="L2296" s="53"/>
    </row>
    <row r="2297" spans="7:12" x14ac:dyDescent="0.2">
      <c r="G2297" s="53"/>
      <c r="H2297" s="53"/>
      <c r="I2297" s="53"/>
      <c r="J2297" s="53"/>
      <c r="K2297" s="53"/>
      <c r="L2297" s="53"/>
    </row>
    <row r="2298" spans="7:12" x14ac:dyDescent="0.2">
      <c r="G2298" s="53"/>
      <c r="H2298" s="53"/>
      <c r="I2298" s="53"/>
      <c r="J2298" s="53"/>
      <c r="K2298" s="53"/>
      <c r="L2298" s="53"/>
    </row>
    <row r="2299" spans="7:12" x14ac:dyDescent="0.2">
      <c r="G2299" s="53"/>
      <c r="H2299" s="53"/>
      <c r="I2299" s="53"/>
      <c r="J2299" s="53"/>
      <c r="K2299" s="53"/>
      <c r="L2299" s="53"/>
    </row>
    <row r="2300" spans="7:12" x14ac:dyDescent="0.2">
      <c r="G2300" s="53"/>
      <c r="H2300" s="53"/>
      <c r="I2300" s="53"/>
      <c r="J2300" s="53"/>
      <c r="K2300" s="53"/>
      <c r="L2300" s="53"/>
    </row>
    <row r="2301" spans="7:12" x14ac:dyDescent="0.2">
      <c r="G2301" s="53"/>
      <c r="H2301" s="53"/>
      <c r="I2301" s="53"/>
      <c r="J2301" s="53"/>
      <c r="K2301" s="53"/>
      <c r="L2301" s="53"/>
    </row>
    <row r="2302" spans="7:12" x14ac:dyDescent="0.2">
      <c r="G2302" s="53"/>
      <c r="H2302" s="53"/>
      <c r="I2302" s="53"/>
      <c r="J2302" s="53"/>
      <c r="K2302" s="53"/>
      <c r="L2302" s="53"/>
    </row>
    <row r="2303" spans="7:12" x14ac:dyDescent="0.2">
      <c r="G2303" s="53"/>
      <c r="H2303" s="53"/>
      <c r="I2303" s="53"/>
      <c r="J2303" s="53"/>
      <c r="K2303" s="53"/>
      <c r="L2303" s="53"/>
    </row>
    <row r="2304" spans="7:12" x14ac:dyDescent="0.2">
      <c r="G2304" s="53"/>
      <c r="H2304" s="53"/>
      <c r="I2304" s="53"/>
      <c r="J2304" s="53"/>
      <c r="K2304" s="53"/>
      <c r="L2304" s="53"/>
    </row>
    <row r="2305" spans="7:12" x14ac:dyDescent="0.2">
      <c r="G2305" s="53"/>
      <c r="H2305" s="53"/>
      <c r="I2305" s="53"/>
      <c r="J2305" s="53"/>
      <c r="K2305" s="53"/>
      <c r="L2305" s="53"/>
    </row>
    <row r="2306" spans="7:12" x14ac:dyDescent="0.2">
      <c r="G2306" s="53"/>
      <c r="H2306" s="53"/>
      <c r="I2306" s="53"/>
      <c r="J2306" s="53"/>
      <c r="K2306" s="53"/>
      <c r="L2306" s="53"/>
    </row>
    <row r="2307" spans="7:12" x14ac:dyDescent="0.2">
      <c r="G2307" s="53"/>
      <c r="H2307" s="53"/>
      <c r="I2307" s="53"/>
      <c r="J2307" s="53"/>
      <c r="K2307" s="53"/>
      <c r="L2307" s="53"/>
    </row>
    <row r="2308" spans="7:12" x14ac:dyDescent="0.2">
      <c r="G2308" s="53"/>
      <c r="H2308" s="53"/>
      <c r="I2308" s="53"/>
      <c r="J2308" s="53"/>
      <c r="K2308" s="53"/>
      <c r="L2308" s="53"/>
    </row>
    <row r="2309" spans="7:12" x14ac:dyDescent="0.2">
      <c r="G2309" s="53"/>
      <c r="H2309" s="53"/>
      <c r="I2309" s="53"/>
      <c r="J2309" s="53"/>
      <c r="K2309" s="53"/>
      <c r="L2309" s="53"/>
    </row>
    <row r="2310" spans="7:12" x14ac:dyDescent="0.2">
      <c r="G2310" s="53"/>
      <c r="H2310" s="53"/>
      <c r="I2310" s="53"/>
      <c r="J2310" s="53"/>
      <c r="K2310" s="53"/>
      <c r="L2310" s="53"/>
    </row>
    <row r="2311" spans="7:12" x14ac:dyDescent="0.2">
      <c r="G2311" s="53"/>
      <c r="H2311" s="53"/>
      <c r="I2311" s="53"/>
      <c r="J2311" s="53"/>
      <c r="K2311" s="53"/>
      <c r="L2311" s="53"/>
    </row>
    <row r="2312" spans="7:12" x14ac:dyDescent="0.2">
      <c r="G2312" s="53"/>
      <c r="H2312" s="53"/>
      <c r="I2312" s="53"/>
      <c r="J2312" s="53"/>
      <c r="K2312" s="53"/>
      <c r="L2312" s="53"/>
    </row>
    <row r="2313" spans="7:12" x14ac:dyDescent="0.2">
      <c r="G2313" s="53"/>
      <c r="H2313" s="53"/>
      <c r="I2313" s="53"/>
      <c r="J2313" s="53"/>
      <c r="K2313" s="53"/>
      <c r="L2313" s="53"/>
    </row>
    <row r="2314" spans="7:12" x14ac:dyDescent="0.2">
      <c r="G2314" s="53"/>
      <c r="H2314" s="53"/>
      <c r="I2314" s="53"/>
      <c r="J2314" s="53"/>
      <c r="K2314" s="53"/>
      <c r="L2314" s="53"/>
    </row>
    <row r="2315" spans="7:12" x14ac:dyDescent="0.2">
      <c r="G2315" s="53"/>
      <c r="H2315" s="53"/>
      <c r="I2315" s="53"/>
      <c r="J2315" s="53"/>
      <c r="K2315" s="53"/>
      <c r="L2315" s="53"/>
    </row>
    <row r="2316" spans="7:12" x14ac:dyDescent="0.2">
      <c r="G2316" s="53"/>
      <c r="H2316" s="53"/>
      <c r="I2316" s="53"/>
      <c r="J2316" s="53"/>
      <c r="K2316" s="53"/>
      <c r="L2316" s="53"/>
    </row>
    <row r="2317" spans="7:12" x14ac:dyDescent="0.2">
      <c r="G2317" s="53"/>
      <c r="H2317" s="53"/>
      <c r="I2317" s="53"/>
      <c r="J2317" s="53"/>
      <c r="K2317" s="53"/>
      <c r="L2317" s="53"/>
    </row>
    <row r="2318" spans="7:12" x14ac:dyDescent="0.2">
      <c r="G2318" s="53"/>
      <c r="H2318" s="53"/>
      <c r="I2318" s="53"/>
      <c r="J2318" s="53"/>
      <c r="K2318" s="53"/>
      <c r="L2318" s="53"/>
    </row>
    <row r="2319" spans="7:12" x14ac:dyDescent="0.2">
      <c r="G2319" s="53"/>
      <c r="H2319" s="53"/>
      <c r="I2319" s="53"/>
      <c r="J2319" s="53"/>
      <c r="K2319" s="53"/>
      <c r="L2319" s="53"/>
    </row>
    <row r="2320" spans="7:12" x14ac:dyDescent="0.2">
      <c r="G2320" s="53"/>
      <c r="H2320" s="53"/>
      <c r="I2320" s="53"/>
      <c r="J2320" s="53"/>
      <c r="K2320" s="53"/>
      <c r="L2320" s="53"/>
    </row>
    <row r="2321" spans="7:12" x14ac:dyDescent="0.2">
      <c r="G2321" s="53"/>
      <c r="H2321" s="53"/>
      <c r="I2321" s="53"/>
      <c r="J2321" s="53"/>
      <c r="K2321" s="53"/>
      <c r="L2321" s="53"/>
    </row>
    <row r="2322" spans="7:12" x14ac:dyDescent="0.2">
      <c r="G2322" s="53"/>
      <c r="H2322" s="53"/>
      <c r="I2322" s="53"/>
      <c r="J2322" s="53"/>
      <c r="K2322" s="53"/>
      <c r="L2322" s="53"/>
    </row>
    <row r="2323" spans="7:12" x14ac:dyDescent="0.2">
      <c r="G2323" s="53"/>
      <c r="H2323" s="53"/>
      <c r="I2323" s="53"/>
      <c r="J2323" s="53"/>
      <c r="K2323" s="53"/>
      <c r="L2323" s="53"/>
    </row>
    <row r="2324" spans="7:12" x14ac:dyDescent="0.2">
      <c r="G2324" s="53"/>
      <c r="H2324" s="53"/>
      <c r="I2324" s="53"/>
      <c r="J2324" s="53"/>
      <c r="K2324" s="53"/>
      <c r="L2324" s="53"/>
    </row>
    <row r="2325" spans="7:12" x14ac:dyDescent="0.2">
      <c r="G2325" s="53"/>
      <c r="H2325" s="53"/>
      <c r="I2325" s="53"/>
      <c r="J2325" s="53"/>
      <c r="K2325" s="53"/>
      <c r="L2325" s="53"/>
    </row>
    <row r="2326" spans="7:12" x14ac:dyDescent="0.2">
      <c r="G2326" s="53"/>
      <c r="H2326" s="53"/>
      <c r="I2326" s="53"/>
      <c r="J2326" s="53"/>
      <c r="K2326" s="53"/>
      <c r="L2326" s="53"/>
    </row>
    <row r="2327" spans="7:12" x14ac:dyDescent="0.2">
      <c r="G2327" s="53"/>
      <c r="H2327" s="53"/>
      <c r="I2327" s="53"/>
      <c r="J2327" s="53"/>
      <c r="K2327" s="53"/>
      <c r="L2327" s="53"/>
    </row>
    <row r="2328" spans="7:12" x14ac:dyDescent="0.2">
      <c r="G2328" s="53"/>
      <c r="H2328" s="53"/>
      <c r="I2328" s="53"/>
      <c r="J2328" s="53"/>
      <c r="K2328" s="53"/>
      <c r="L2328" s="53"/>
    </row>
    <row r="2329" spans="7:12" x14ac:dyDescent="0.2">
      <c r="G2329" s="53"/>
      <c r="H2329" s="53"/>
      <c r="I2329" s="53"/>
      <c r="J2329" s="53"/>
      <c r="K2329" s="53"/>
      <c r="L2329" s="53"/>
    </row>
    <row r="2330" spans="7:12" x14ac:dyDescent="0.2">
      <c r="G2330" s="53"/>
      <c r="H2330" s="53"/>
      <c r="I2330" s="53"/>
      <c r="J2330" s="53"/>
      <c r="K2330" s="53"/>
      <c r="L2330" s="53"/>
    </row>
    <row r="2331" spans="7:12" x14ac:dyDescent="0.2">
      <c r="G2331" s="53"/>
      <c r="H2331" s="53"/>
      <c r="I2331" s="53"/>
      <c r="J2331" s="53"/>
      <c r="K2331" s="53"/>
      <c r="L2331" s="53"/>
    </row>
    <row r="2332" spans="7:12" x14ac:dyDescent="0.2">
      <c r="G2332" s="53"/>
      <c r="H2332" s="53"/>
      <c r="I2332" s="53"/>
      <c r="J2332" s="53"/>
      <c r="K2332" s="53"/>
      <c r="L2332" s="53"/>
    </row>
    <row r="2333" spans="7:12" x14ac:dyDescent="0.2">
      <c r="G2333" s="53"/>
      <c r="H2333" s="53"/>
      <c r="I2333" s="53"/>
      <c r="J2333" s="53"/>
      <c r="K2333" s="53"/>
      <c r="L2333" s="53"/>
    </row>
    <row r="2334" spans="7:12" x14ac:dyDescent="0.2">
      <c r="G2334" s="53"/>
      <c r="H2334" s="53"/>
      <c r="I2334" s="53"/>
      <c r="J2334" s="53"/>
      <c r="K2334" s="53"/>
      <c r="L2334" s="53"/>
    </row>
    <row r="2335" spans="7:12" x14ac:dyDescent="0.2">
      <c r="G2335" s="53"/>
      <c r="H2335" s="53"/>
      <c r="I2335" s="53"/>
      <c r="J2335" s="53"/>
      <c r="K2335" s="53"/>
      <c r="L2335" s="53"/>
    </row>
    <row r="2336" spans="7:12" x14ac:dyDescent="0.2">
      <c r="G2336" s="53"/>
      <c r="H2336" s="53"/>
      <c r="I2336" s="53"/>
      <c r="J2336" s="53"/>
      <c r="K2336" s="53"/>
      <c r="L2336" s="53"/>
    </row>
    <row r="2337" spans="7:12" x14ac:dyDescent="0.2">
      <c r="G2337" s="53"/>
      <c r="H2337" s="53"/>
      <c r="I2337" s="53"/>
      <c r="J2337" s="53"/>
      <c r="K2337" s="53"/>
      <c r="L2337" s="53"/>
    </row>
    <row r="2338" spans="7:12" x14ac:dyDescent="0.2">
      <c r="G2338" s="53"/>
      <c r="H2338" s="53"/>
      <c r="I2338" s="53"/>
      <c r="J2338" s="53"/>
      <c r="K2338" s="53"/>
      <c r="L2338" s="53"/>
    </row>
    <row r="2339" spans="7:12" x14ac:dyDescent="0.2">
      <c r="G2339" s="53"/>
      <c r="H2339" s="53"/>
      <c r="I2339" s="53"/>
      <c r="J2339" s="53"/>
      <c r="K2339" s="53"/>
      <c r="L2339" s="53"/>
    </row>
    <row r="2340" spans="7:12" x14ac:dyDescent="0.2">
      <c r="G2340" s="53"/>
      <c r="H2340" s="53"/>
      <c r="I2340" s="53"/>
      <c r="J2340" s="53"/>
      <c r="K2340" s="53"/>
      <c r="L2340" s="53"/>
    </row>
    <row r="2341" spans="7:12" x14ac:dyDescent="0.2">
      <c r="G2341" s="53"/>
      <c r="H2341" s="53"/>
      <c r="I2341" s="53"/>
      <c r="J2341" s="53"/>
      <c r="K2341" s="53"/>
      <c r="L2341" s="53"/>
    </row>
    <row r="2342" spans="7:12" x14ac:dyDescent="0.2">
      <c r="G2342" s="53"/>
      <c r="H2342" s="53"/>
      <c r="I2342" s="53"/>
      <c r="J2342" s="53"/>
      <c r="K2342" s="53"/>
      <c r="L2342" s="53"/>
    </row>
    <row r="2343" spans="7:12" x14ac:dyDescent="0.2">
      <c r="G2343" s="53"/>
      <c r="H2343" s="53"/>
      <c r="I2343" s="53"/>
      <c r="J2343" s="53"/>
      <c r="K2343" s="53"/>
      <c r="L2343" s="53"/>
    </row>
    <row r="2344" spans="7:12" x14ac:dyDescent="0.2">
      <c r="G2344" s="53"/>
      <c r="H2344" s="53"/>
      <c r="I2344" s="53"/>
      <c r="J2344" s="53"/>
      <c r="K2344" s="53"/>
      <c r="L2344" s="53"/>
    </row>
    <row r="2345" spans="7:12" x14ac:dyDescent="0.2">
      <c r="G2345" s="53"/>
      <c r="H2345" s="53"/>
      <c r="I2345" s="53"/>
      <c r="J2345" s="53"/>
      <c r="K2345" s="53"/>
      <c r="L2345" s="53"/>
    </row>
    <row r="2346" spans="7:12" x14ac:dyDescent="0.2">
      <c r="G2346" s="53"/>
      <c r="H2346" s="53"/>
      <c r="I2346" s="53"/>
      <c r="J2346" s="53"/>
      <c r="K2346" s="53"/>
      <c r="L2346" s="53"/>
    </row>
    <row r="2347" spans="7:12" x14ac:dyDescent="0.2">
      <c r="G2347" s="53"/>
      <c r="H2347" s="53"/>
      <c r="I2347" s="53"/>
      <c r="J2347" s="53"/>
      <c r="K2347" s="53"/>
      <c r="L2347" s="53"/>
    </row>
    <row r="2348" spans="7:12" x14ac:dyDescent="0.2">
      <c r="G2348" s="53"/>
      <c r="H2348" s="53"/>
      <c r="I2348" s="53"/>
      <c r="J2348" s="53"/>
      <c r="K2348" s="53"/>
      <c r="L2348" s="53"/>
    </row>
    <row r="2349" spans="7:12" x14ac:dyDescent="0.2">
      <c r="G2349" s="53"/>
      <c r="H2349" s="53"/>
      <c r="I2349" s="53"/>
      <c r="J2349" s="53"/>
      <c r="K2349" s="53"/>
      <c r="L2349" s="53"/>
    </row>
    <row r="2350" spans="7:12" x14ac:dyDescent="0.2">
      <c r="G2350" s="53"/>
      <c r="H2350" s="53"/>
      <c r="I2350" s="53"/>
      <c r="J2350" s="53"/>
      <c r="K2350" s="53"/>
      <c r="L2350" s="53"/>
    </row>
    <row r="2351" spans="7:12" x14ac:dyDescent="0.2">
      <c r="G2351" s="53"/>
      <c r="H2351" s="53"/>
      <c r="I2351" s="53"/>
      <c r="J2351" s="53"/>
      <c r="K2351" s="53"/>
      <c r="L2351" s="53"/>
    </row>
    <row r="2352" spans="7:12" x14ac:dyDescent="0.2">
      <c r="G2352" s="53"/>
      <c r="H2352" s="53"/>
      <c r="I2352" s="53"/>
      <c r="J2352" s="53"/>
      <c r="K2352" s="53"/>
      <c r="L2352" s="53"/>
    </row>
    <row r="2353" spans="7:12" x14ac:dyDescent="0.2">
      <c r="G2353" s="53"/>
      <c r="H2353" s="53"/>
      <c r="I2353" s="53"/>
      <c r="J2353" s="53"/>
      <c r="K2353" s="53"/>
      <c r="L2353" s="53"/>
    </row>
    <row r="2354" spans="7:12" x14ac:dyDescent="0.2">
      <c r="G2354" s="53"/>
      <c r="H2354" s="53"/>
      <c r="I2354" s="53"/>
      <c r="J2354" s="53"/>
      <c r="K2354" s="53"/>
      <c r="L2354" s="53"/>
    </row>
    <row r="2355" spans="7:12" x14ac:dyDescent="0.2">
      <c r="G2355" s="53"/>
      <c r="H2355" s="53"/>
      <c r="I2355" s="53"/>
      <c r="J2355" s="53"/>
      <c r="K2355" s="53"/>
      <c r="L2355" s="53"/>
    </row>
    <row r="2356" spans="7:12" x14ac:dyDescent="0.2">
      <c r="G2356" s="53"/>
      <c r="H2356" s="53"/>
      <c r="I2356" s="53"/>
      <c r="J2356" s="53"/>
      <c r="K2356" s="53"/>
      <c r="L2356" s="53"/>
    </row>
    <row r="2357" spans="7:12" x14ac:dyDescent="0.2">
      <c r="G2357" s="53"/>
      <c r="H2357" s="53"/>
      <c r="I2357" s="53"/>
      <c r="J2357" s="53"/>
      <c r="K2357" s="53"/>
      <c r="L2357" s="53"/>
    </row>
    <row r="2358" spans="7:12" x14ac:dyDescent="0.2">
      <c r="G2358" s="53"/>
      <c r="H2358" s="53"/>
      <c r="I2358" s="53"/>
      <c r="J2358" s="53"/>
      <c r="K2358" s="53"/>
      <c r="L2358" s="53"/>
    </row>
    <row r="2359" spans="7:12" x14ac:dyDescent="0.2">
      <c r="G2359" s="53"/>
      <c r="H2359" s="53"/>
      <c r="I2359" s="53"/>
      <c r="J2359" s="53"/>
      <c r="K2359" s="53"/>
      <c r="L2359" s="53"/>
    </row>
    <row r="2360" spans="7:12" x14ac:dyDescent="0.2">
      <c r="G2360" s="53"/>
      <c r="H2360" s="53"/>
      <c r="I2360" s="53"/>
      <c r="J2360" s="53"/>
      <c r="K2360" s="53"/>
      <c r="L2360" s="53"/>
    </row>
    <row r="2361" spans="7:12" x14ac:dyDescent="0.2">
      <c r="G2361" s="53"/>
      <c r="H2361" s="53"/>
      <c r="I2361" s="53"/>
      <c r="J2361" s="53"/>
      <c r="K2361" s="53"/>
      <c r="L2361" s="53"/>
    </row>
    <row r="2362" spans="7:12" x14ac:dyDescent="0.2">
      <c r="G2362" s="53"/>
      <c r="H2362" s="53"/>
      <c r="I2362" s="53"/>
      <c r="J2362" s="53"/>
      <c r="K2362" s="53"/>
      <c r="L2362" s="53"/>
    </row>
    <row r="2363" spans="7:12" x14ac:dyDescent="0.2">
      <c r="G2363" s="53"/>
      <c r="H2363" s="53"/>
      <c r="I2363" s="53"/>
      <c r="J2363" s="53"/>
      <c r="K2363" s="53"/>
      <c r="L2363" s="53"/>
    </row>
    <row r="2364" spans="7:12" x14ac:dyDescent="0.2">
      <c r="G2364" s="53"/>
      <c r="H2364" s="53"/>
      <c r="I2364" s="53"/>
      <c r="J2364" s="53"/>
      <c r="K2364" s="53"/>
      <c r="L2364" s="53"/>
    </row>
    <row r="2365" spans="7:12" x14ac:dyDescent="0.2">
      <c r="G2365" s="53"/>
      <c r="H2365" s="53"/>
      <c r="I2365" s="53"/>
      <c r="J2365" s="53"/>
      <c r="K2365" s="53"/>
      <c r="L2365" s="53"/>
    </row>
    <row r="2366" spans="7:12" x14ac:dyDescent="0.2">
      <c r="G2366" s="53"/>
      <c r="H2366" s="53"/>
      <c r="I2366" s="53"/>
      <c r="J2366" s="53"/>
      <c r="K2366" s="53"/>
      <c r="L2366" s="53"/>
    </row>
    <row r="2367" spans="7:12" x14ac:dyDescent="0.2">
      <c r="G2367" s="53"/>
      <c r="H2367" s="53"/>
      <c r="I2367" s="53"/>
      <c r="J2367" s="53"/>
      <c r="K2367" s="53"/>
      <c r="L2367" s="53"/>
    </row>
    <row r="2368" spans="7:12" x14ac:dyDescent="0.2">
      <c r="G2368" s="53"/>
      <c r="H2368" s="53"/>
      <c r="I2368" s="53"/>
      <c r="J2368" s="53"/>
      <c r="K2368" s="53"/>
      <c r="L2368" s="53"/>
    </row>
    <row r="2369" spans="7:12" x14ac:dyDescent="0.2">
      <c r="G2369" s="53"/>
      <c r="H2369" s="53"/>
      <c r="I2369" s="53"/>
      <c r="J2369" s="53"/>
      <c r="K2369" s="53"/>
      <c r="L2369" s="53"/>
    </row>
    <row r="2370" spans="7:12" x14ac:dyDescent="0.2">
      <c r="G2370" s="53"/>
      <c r="H2370" s="53"/>
      <c r="I2370" s="53"/>
      <c r="J2370" s="53"/>
      <c r="K2370" s="53"/>
      <c r="L2370" s="53"/>
    </row>
    <row r="2371" spans="7:12" x14ac:dyDescent="0.2">
      <c r="G2371" s="53"/>
      <c r="H2371" s="53"/>
      <c r="I2371" s="53"/>
      <c r="J2371" s="53"/>
      <c r="K2371" s="53"/>
      <c r="L2371" s="53"/>
    </row>
    <row r="2372" spans="7:12" x14ac:dyDescent="0.2">
      <c r="G2372" s="53"/>
      <c r="H2372" s="53"/>
      <c r="I2372" s="53"/>
      <c r="J2372" s="53"/>
      <c r="K2372" s="53"/>
      <c r="L2372" s="53"/>
    </row>
    <row r="2373" spans="7:12" x14ac:dyDescent="0.2">
      <c r="G2373" s="53"/>
      <c r="H2373" s="53"/>
      <c r="I2373" s="53"/>
      <c r="J2373" s="53"/>
      <c r="K2373" s="53"/>
      <c r="L2373" s="53"/>
    </row>
    <row r="2374" spans="7:12" x14ac:dyDescent="0.2">
      <c r="G2374" s="53"/>
      <c r="H2374" s="53"/>
      <c r="I2374" s="53"/>
      <c r="J2374" s="53"/>
      <c r="K2374" s="53"/>
      <c r="L2374" s="53"/>
    </row>
    <row r="2375" spans="7:12" x14ac:dyDescent="0.2">
      <c r="G2375" s="53"/>
      <c r="H2375" s="53"/>
      <c r="I2375" s="53"/>
      <c r="J2375" s="53"/>
      <c r="K2375" s="53"/>
      <c r="L2375" s="53"/>
    </row>
    <row r="2376" spans="7:12" x14ac:dyDescent="0.2">
      <c r="G2376" s="53"/>
      <c r="H2376" s="53"/>
      <c r="I2376" s="53"/>
      <c r="J2376" s="53"/>
      <c r="K2376" s="53"/>
      <c r="L2376" s="53"/>
    </row>
    <row r="2377" spans="7:12" x14ac:dyDescent="0.2">
      <c r="G2377" s="53"/>
      <c r="H2377" s="53"/>
      <c r="I2377" s="53"/>
      <c r="J2377" s="53"/>
      <c r="K2377" s="53"/>
      <c r="L2377" s="53"/>
    </row>
    <row r="2378" spans="7:12" x14ac:dyDescent="0.2">
      <c r="G2378" s="53"/>
      <c r="H2378" s="53"/>
      <c r="I2378" s="53"/>
      <c r="J2378" s="53"/>
      <c r="K2378" s="53"/>
      <c r="L2378" s="53"/>
    </row>
    <row r="2379" spans="7:12" x14ac:dyDescent="0.2">
      <c r="G2379" s="53"/>
      <c r="H2379" s="53"/>
      <c r="I2379" s="53"/>
      <c r="J2379" s="53"/>
      <c r="K2379" s="53"/>
      <c r="L2379" s="53"/>
    </row>
    <row r="2380" spans="7:12" x14ac:dyDescent="0.2">
      <c r="G2380" s="53"/>
      <c r="H2380" s="53"/>
      <c r="I2380" s="53"/>
      <c r="J2380" s="53"/>
      <c r="K2380" s="53"/>
      <c r="L2380" s="53"/>
    </row>
    <row r="2381" spans="7:12" x14ac:dyDescent="0.2">
      <c r="G2381" s="53"/>
      <c r="H2381" s="53"/>
      <c r="I2381" s="53"/>
      <c r="J2381" s="53"/>
      <c r="K2381" s="53"/>
      <c r="L2381" s="53"/>
    </row>
    <row r="2382" spans="7:12" x14ac:dyDescent="0.2">
      <c r="G2382" s="53"/>
      <c r="H2382" s="53"/>
      <c r="I2382" s="53"/>
      <c r="J2382" s="53"/>
      <c r="K2382" s="53"/>
      <c r="L2382" s="53"/>
    </row>
    <row r="2383" spans="7:12" x14ac:dyDescent="0.2">
      <c r="G2383" s="53"/>
      <c r="H2383" s="53"/>
      <c r="I2383" s="53"/>
      <c r="J2383" s="53"/>
      <c r="K2383" s="53"/>
      <c r="L2383" s="53"/>
    </row>
    <row r="2384" spans="7:12" x14ac:dyDescent="0.2">
      <c r="G2384" s="53"/>
      <c r="H2384" s="53"/>
      <c r="I2384" s="53"/>
      <c r="J2384" s="53"/>
      <c r="K2384" s="53"/>
      <c r="L2384" s="53"/>
    </row>
    <row r="2385" spans="7:12" x14ac:dyDescent="0.2">
      <c r="G2385" s="53"/>
      <c r="H2385" s="53"/>
      <c r="I2385" s="53"/>
      <c r="J2385" s="53"/>
      <c r="K2385" s="53"/>
      <c r="L2385" s="53"/>
    </row>
    <row r="2386" spans="7:12" x14ac:dyDescent="0.2">
      <c r="G2386" s="53"/>
      <c r="H2386" s="53"/>
      <c r="I2386" s="53"/>
      <c r="J2386" s="53"/>
      <c r="K2386" s="53"/>
      <c r="L2386" s="53"/>
    </row>
    <row r="2387" spans="7:12" x14ac:dyDescent="0.2">
      <c r="G2387" s="53"/>
      <c r="H2387" s="53"/>
      <c r="I2387" s="53"/>
      <c r="J2387" s="53"/>
      <c r="K2387" s="53"/>
      <c r="L2387" s="53"/>
    </row>
    <row r="2388" spans="7:12" x14ac:dyDescent="0.2">
      <c r="G2388" s="53"/>
      <c r="H2388" s="53"/>
      <c r="I2388" s="53"/>
      <c r="J2388" s="53"/>
      <c r="K2388" s="53"/>
      <c r="L2388" s="53"/>
    </row>
    <row r="2389" spans="7:12" x14ac:dyDescent="0.2">
      <c r="G2389" s="53"/>
      <c r="H2389" s="53"/>
      <c r="I2389" s="53"/>
      <c r="J2389" s="53"/>
      <c r="K2389" s="53"/>
      <c r="L2389" s="53"/>
    </row>
    <row r="2390" spans="7:12" x14ac:dyDescent="0.2">
      <c r="G2390" s="53"/>
      <c r="H2390" s="53"/>
      <c r="I2390" s="53"/>
      <c r="J2390" s="53"/>
      <c r="K2390" s="53"/>
      <c r="L2390" s="53"/>
    </row>
    <row r="2391" spans="7:12" x14ac:dyDescent="0.2">
      <c r="G2391" s="53"/>
      <c r="H2391" s="53"/>
      <c r="I2391" s="53"/>
      <c r="J2391" s="53"/>
      <c r="K2391" s="53"/>
      <c r="L2391" s="53"/>
    </row>
    <row r="2392" spans="7:12" x14ac:dyDescent="0.2">
      <c r="G2392" s="53"/>
      <c r="H2392" s="53"/>
      <c r="I2392" s="53"/>
      <c r="J2392" s="53"/>
      <c r="K2392" s="53"/>
      <c r="L2392" s="53"/>
    </row>
    <row r="2393" spans="7:12" x14ac:dyDescent="0.2">
      <c r="G2393" s="53"/>
      <c r="H2393" s="53"/>
      <c r="I2393" s="53"/>
      <c r="J2393" s="53"/>
      <c r="K2393" s="53"/>
      <c r="L2393" s="53"/>
    </row>
    <row r="2394" spans="7:12" x14ac:dyDescent="0.2">
      <c r="G2394" s="53"/>
      <c r="H2394" s="53"/>
      <c r="I2394" s="53"/>
      <c r="J2394" s="53"/>
      <c r="K2394" s="53"/>
      <c r="L2394" s="53"/>
    </row>
    <row r="2395" spans="7:12" x14ac:dyDescent="0.2">
      <c r="G2395" s="53"/>
      <c r="H2395" s="53"/>
      <c r="I2395" s="53"/>
      <c r="J2395" s="53"/>
      <c r="K2395" s="53"/>
      <c r="L2395" s="53"/>
    </row>
    <row r="2396" spans="7:12" x14ac:dyDescent="0.2">
      <c r="G2396" s="53"/>
      <c r="H2396" s="53"/>
      <c r="I2396" s="53"/>
      <c r="J2396" s="53"/>
      <c r="K2396" s="53"/>
      <c r="L2396" s="53"/>
    </row>
    <row r="2397" spans="7:12" x14ac:dyDescent="0.2">
      <c r="G2397" s="53"/>
      <c r="H2397" s="53"/>
      <c r="I2397" s="53"/>
      <c r="J2397" s="53"/>
      <c r="K2397" s="53"/>
      <c r="L2397" s="53"/>
    </row>
    <row r="2398" spans="7:12" x14ac:dyDescent="0.2">
      <c r="G2398" s="53"/>
      <c r="H2398" s="53"/>
      <c r="I2398" s="53"/>
      <c r="J2398" s="53"/>
      <c r="K2398" s="53"/>
      <c r="L2398" s="53"/>
    </row>
    <row r="2399" spans="7:12" x14ac:dyDescent="0.2">
      <c r="G2399" s="53"/>
      <c r="H2399" s="53"/>
      <c r="I2399" s="53"/>
      <c r="J2399" s="53"/>
      <c r="K2399" s="53"/>
      <c r="L2399" s="53"/>
    </row>
    <row r="2400" spans="7:12" x14ac:dyDescent="0.2">
      <c r="G2400" s="53"/>
      <c r="H2400" s="53"/>
      <c r="I2400" s="53"/>
      <c r="J2400" s="53"/>
      <c r="K2400" s="53"/>
      <c r="L2400" s="53"/>
    </row>
    <row r="2401" spans="7:12" x14ac:dyDescent="0.2">
      <c r="G2401" s="53"/>
      <c r="H2401" s="53"/>
      <c r="I2401" s="53"/>
      <c r="J2401" s="53"/>
      <c r="K2401" s="53"/>
      <c r="L2401" s="53"/>
    </row>
    <row r="2402" spans="7:12" x14ac:dyDescent="0.2">
      <c r="G2402" s="53"/>
      <c r="H2402" s="53"/>
      <c r="I2402" s="53"/>
      <c r="J2402" s="53"/>
      <c r="K2402" s="53"/>
      <c r="L2402" s="53"/>
    </row>
    <row r="2403" spans="7:12" x14ac:dyDescent="0.2">
      <c r="G2403" s="53"/>
      <c r="H2403" s="53"/>
      <c r="I2403" s="53"/>
      <c r="J2403" s="53"/>
      <c r="K2403" s="53"/>
      <c r="L2403" s="53"/>
    </row>
    <row r="2404" spans="7:12" x14ac:dyDescent="0.2">
      <c r="G2404" s="53"/>
      <c r="H2404" s="53"/>
      <c r="I2404" s="53"/>
      <c r="J2404" s="53"/>
      <c r="K2404" s="53"/>
      <c r="L2404" s="53"/>
    </row>
    <row r="2405" spans="7:12" x14ac:dyDescent="0.2">
      <c r="G2405" s="53"/>
      <c r="H2405" s="53"/>
      <c r="I2405" s="53"/>
      <c r="J2405" s="53"/>
      <c r="K2405" s="53"/>
      <c r="L2405" s="53"/>
    </row>
    <row r="2406" spans="7:12" x14ac:dyDescent="0.2">
      <c r="G2406" s="53"/>
      <c r="H2406" s="53"/>
      <c r="I2406" s="53"/>
      <c r="J2406" s="53"/>
      <c r="K2406" s="53"/>
      <c r="L2406" s="53"/>
    </row>
    <row r="2407" spans="7:12" x14ac:dyDescent="0.2">
      <c r="G2407" s="53"/>
      <c r="H2407" s="53"/>
      <c r="I2407" s="53"/>
      <c r="J2407" s="53"/>
      <c r="K2407" s="53"/>
      <c r="L2407" s="53"/>
    </row>
    <row r="2408" spans="7:12" x14ac:dyDescent="0.2">
      <c r="G2408" s="53"/>
      <c r="H2408" s="53"/>
      <c r="I2408" s="53"/>
      <c r="J2408" s="53"/>
      <c r="K2408" s="53"/>
      <c r="L2408" s="53"/>
    </row>
    <row r="2409" spans="7:12" x14ac:dyDescent="0.2">
      <c r="G2409" s="53"/>
      <c r="H2409" s="53"/>
      <c r="I2409" s="53"/>
      <c r="J2409" s="53"/>
      <c r="K2409" s="53"/>
      <c r="L2409" s="53"/>
    </row>
    <row r="2410" spans="7:12" x14ac:dyDescent="0.2">
      <c r="G2410" s="53"/>
      <c r="H2410" s="53"/>
      <c r="I2410" s="53"/>
      <c r="J2410" s="53"/>
      <c r="K2410" s="53"/>
      <c r="L2410" s="53"/>
    </row>
    <row r="2411" spans="7:12" x14ac:dyDescent="0.2">
      <c r="G2411" s="53"/>
      <c r="H2411" s="53"/>
      <c r="I2411" s="53"/>
      <c r="J2411" s="53"/>
      <c r="K2411" s="53"/>
      <c r="L2411" s="53"/>
    </row>
    <row r="2412" spans="7:12" x14ac:dyDescent="0.2">
      <c r="G2412" s="53"/>
      <c r="H2412" s="53"/>
      <c r="I2412" s="53"/>
      <c r="J2412" s="53"/>
      <c r="K2412" s="53"/>
      <c r="L2412" s="53"/>
    </row>
    <row r="2413" spans="7:12" x14ac:dyDescent="0.2">
      <c r="G2413" s="53"/>
      <c r="H2413" s="53"/>
      <c r="I2413" s="53"/>
      <c r="J2413" s="53"/>
      <c r="K2413" s="53"/>
      <c r="L2413" s="53"/>
    </row>
    <row r="2414" spans="7:12" x14ac:dyDescent="0.2">
      <c r="G2414" s="53"/>
      <c r="H2414" s="53"/>
      <c r="I2414" s="53"/>
      <c r="J2414" s="53"/>
      <c r="K2414" s="53"/>
      <c r="L2414" s="53"/>
    </row>
    <row r="2415" spans="7:12" x14ac:dyDescent="0.2">
      <c r="G2415" s="53"/>
      <c r="H2415" s="53"/>
      <c r="I2415" s="53"/>
      <c r="J2415" s="53"/>
      <c r="K2415" s="53"/>
      <c r="L2415" s="53"/>
    </row>
    <row r="2416" spans="7:12" x14ac:dyDescent="0.2">
      <c r="G2416" s="53"/>
      <c r="H2416" s="53"/>
      <c r="I2416" s="53"/>
      <c r="J2416" s="53"/>
      <c r="K2416" s="53"/>
      <c r="L2416" s="53"/>
    </row>
    <row r="2417" spans="7:12" x14ac:dyDescent="0.2">
      <c r="G2417" s="53"/>
      <c r="H2417" s="53"/>
      <c r="I2417" s="53"/>
      <c r="J2417" s="53"/>
      <c r="K2417" s="53"/>
      <c r="L2417" s="53"/>
    </row>
    <row r="2418" spans="7:12" x14ac:dyDescent="0.2">
      <c r="G2418" s="53"/>
      <c r="H2418" s="53"/>
      <c r="I2418" s="53"/>
      <c r="J2418" s="53"/>
      <c r="K2418" s="53"/>
      <c r="L2418" s="53"/>
    </row>
    <row r="2419" spans="7:12" x14ac:dyDescent="0.2">
      <c r="G2419" s="53"/>
      <c r="H2419" s="53"/>
      <c r="I2419" s="53"/>
      <c r="J2419" s="53"/>
      <c r="K2419" s="53"/>
      <c r="L2419" s="53"/>
    </row>
    <row r="2420" spans="7:12" x14ac:dyDescent="0.2">
      <c r="G2420" s="53"/>
      <c r="H2420" s="53"/>
      <c r="I2420" s="53"/>
      <c r="J2420" s="53"/>
      <c r="K2420" s="53"/>
      <c r="L2420" s="53"/>
    </row>
    <row r="2421" spans="7:12" x14ac:dyDescent="0.2">
      <c r="G2421" s="53"/>
      <c r="H2421" s="53"/>
      <c r="I2421" s="53"/>
      <c r="J2421" s="53"/>
      <c r="K2421" s="53"/>
      <c r="L2421" s="53"/>
    </row>
    <row r="2422" spans="7:12" x14ac:dyDescent="0.2">
      <c r="G2422" s="53"/>
      <c r="H2422" s="53"/>
      <c r="I2422" s="53"/>
      <c r="J2422" s="53"/>
      <c r="K2422" s="53"/>
      <c r="L2422" s="53"/>
    </row>
    <row r="2423" spans="7:12" x14ac:dyDescent="0.2">
      <c r="G2423" s="53"/>
      <c r="H2423" s="53"/>
      <c r="I2423" s="53"/>
      <c r="J2423" s="53"/>
      <c r="K2423" s="53"/>
      <c r="L2423" s="53"/>
    </row>
    <row r="2424" spans="7:12" x14ac:dyDescent="0.2">
      <c r="G2424" s="53"/>
      <c r="H2424" s="53"/>
      <c r="I2424" s="53"/>
      <c r="J2424" s="53"/>
      <c r="K2424" s="53"/>
      <c r="L2424" s="53"/>
    </row>
    <row r="2425" spans="7:12" x14ac:dyDescent="0.2">
      <c r="G2425" s="53"/>
      <c r="H2425" s="53"/>
      <c r="I2425" s="53"/>
      <c r="J2425" s="53"/>
      <c r="K2425" s="53"/>
      <c r="L2425" s="53"/>
    </row>
    <row r="2426" spans="7:12" x14ac:dyDescent="0.2">
      <c r="G2426" s="53"/>
      <c r="H2426" s="53"/>
      <c r="I2426" s="53"/>
      <c r="J2426" s="53"/>
      <c r="K2426" s="53"/>
      <c r="L2426" s="53"/>
    </row>
    <row r="2427" spans="7:12" x14ac:dyDescent="0.2">
      <c r="G2427" s="53"/>
      <c r="H2427" s="53"/>
      <c r="I2427" s="53"/>
      <c r="J2427" s="53"/>
      <c r="K2427" s="53"/>
      <c r="L2427" s="53"/>
    </row>
    <row r="2428" spans="7:12" x14ac:dyDescent="0.2">
      <c r="G2428" s="53"/>
      <c r="H2428" s="53"/>
      <c r="I2428" s="53"/>
      <c r="J2428" s="53"/>
      <c r="K2428" s="53"/>
      <c r="L2428" s="53"/>
    </row>
    <row r="2429" spans="7:12" x14ac:dyDescent="0.2">
      <c r="G2429" s="53"/>
      <c r="H2429" s="53"/>
      <c r="I2429" s="53"/>
      <c r="J2429" s="53"/>
      <c r="K2429" s="53"/>
      <c r="L2429" s="53"/>
    </row>
    <row r="2430" spans="7:12" x14ac:dyDescent="0.2">
      <c r="G2430" s="53"/>
      <c r="H2430" s="53"/>
      <c r="I2430" s="53"/>
      <c r="J2430" s="53"/>
      <c r="K2430" s="53"/>
      <c r="L2430" s="53"/>
    </row>
    <row r="2431" spans="7:12" x14ac:dyDescent="0.2">
      <c r="G2431" s="53"/>
      <c r="H2431" s="53"/>
      <c r="I2431" s="53"/>
      <c r="J2431" s="53"/>
      <c r="K2431" s="53"/>
      <c r="L2431" s="53"/>
    </row>
    <row r="2432" spans="7:12" x14ac:dyDescent="0.2">
      <c r="G2432" s="53"/>
      <c r="H2432" s="53"/>
      <c r="I2432" s="53"/>
      <c r="J2432" s="53"/>
      <c r="K2432" s="53"/>
      <c r="L2432" s="53"/>
    </row>
    <row r="2433" spans="7:12" x14ac:dyDescent="0.2">
      <c r="G2433" s="53"/>
      <c r="H2433" s="53"/>
      <c r="I2433" s="53"/>
      <c r="J2433" s="53"/>
      <c r="K2433" s="53"/>
      <c r="L2433" s="53"/>
    </row>
    <row r="2434" spans="7:12" x14ac:dyDescent="0.2">
      <c r="G2434" s="53"/>
      <c r="H2434" s="53"/>
      <c r="I2434" s="53"/>
      <c r="J2434" s="53"/>
      <c r="K2434" s="53"/>
      <c r="L2434" s="53"/>
    </row>
    <row r="2435" spans="7:12" x14ac:dyDescent="0.2">
      <c r="G2435" s="53"/>
      <c r="H2435" s="53"/>
      <c r="I2435" s="53"/>
      <c r="J2435" s="53"/>
      <c r="K2435" s="53"/>
      <c r="L2435" s="53"/>
    </row>
    <row r="2436" spans="7:12" x14ac:dyDescent="0.2">
      <c r="G2436" s="53"/>
      <c r="H2436" s="53"/>
      <c r="I2436" s="53"/>
      <c r="J2436" s="53"/>
      <c r="K2436" s="53"/>
      <c r="L2436" s="53"/>
    </row>
    <row r="2437" spans="7:12" x14ac:dyDescent="0.2">
      <c r="G2437" s="53"/>
      <c r="H2437" s="53"/>
      <c r="I2437" s="53"/>
      <c r="J2437" s="53"/>
      <c r="K2437" s="53"/>
      <c r="L2437" s="53"/>
    </row>
    <row r="2438" spans="7:12" x14ac:dyDescent="0.2">
      <c r="G2438" s="53"/>
      <c r="H2438" s="53"/>
      <c r="I2438" s="53"/>
      <c r="J2438" s="53"/>
      <c r="K2438" s="53"/>
      <c r="L2438" s="53"/>
    </row>
    <row r="2439" spans="7:12" x14ac:dyDescent="0.2">
      <c r="G2439" s="53"/>
      <c r="H2439" s="53"/>
      <c r="I2439" s="53"/>
      <c r="J2439" s="53"/>
      <c r="K2439" s="53"/>
      <c r="L2439" s="53"/>
    </row>
    <row r="2440" spans="7:12" x14ac:dyDescent="0.2">
      <c r="G2440" s="53"/>
      <c r="H2440" s="53"/>
      <c r="I2440" s="53"/>
      <c r="J2440" s="53"/>
      <c r="K2440" s="53"/>
      <c r="L2440" s="53"/>
    </row>
    <row r="2441" spans="7:12" x14ac:dyDescent="0.2">
      <c r="G2441" s="53"/>
      <c r="H2441" s="53"/>
      <c r="I2441" s="53"/>
      <c r="J2441" s="53"/>
      <c r="K2441" s="53"/>
      <c r="L2441" s="53"/>
    </row>
    <row r="2442" spans="7:12" x14ac:dyDescent="0.2">
      <c r="G2442" s="53"/>
      <c r="H2442" s="53"/>
      <c r="I2442" s="53"/>
      <c r="J2442" s="53"/>
      <c r="K2442" s="53"/>
      <c r="L2442" s="53"/>
    </row>
    <row r="2443" spans="7:12" x14ac:dyDescent="0.2">
      <c r="G2443" s="53"/>
      <c r="H2443" s="53"/>
      <c r="I2443" s="53"/>
      <c r="J2443" s="53"/>
      <c r="K2443" s="53"/>
      <c r="L2443" s="53"/>
    </row>
    <row r="2444" spans="7:12" x14ac:dyDescent="0.2">
      <c r="G2444" s="53"/>
      <c r="H2444" s="53"/>
      <c r="I2444" s="53"/>
      <c r="J2444" s="53"/>
      <c r="K2444" s="53"/>
      <c r="L2444" s="53"/>
    </row>
    <row r="2445" spans="7:12" x14ac:dyDescent="0.2">
      <c r="G2445" s="53"/>
      <c r="H2445" s="53"/>
      <c r="I2445" s="53"/>
      <c r="J2445" s="53"/>
      <c r="K2445" s="53"/>
      <c r="L2445" s="53"/>
    </row>
    <row r="2446" spans="7:12" x14ac:dyDescent="0.2">
      <c r="G2446" s="53"/>
      <c r="H2446" s="53"/>
      <c r="I2446" s="53"/>
      <c r="J2446" s="53"/>
      <c r="K2446" s="53"/>
      <c r="L2446" s="53"/>
    </row>
    <row r="2447" spans="7:12" x14ac:dyDescent="0.2">
      <c r="G2447" s="53"/>
      <c r="H2447" s="53"/>
      <c r="I2447" s="53"/>
      <c r="J2447" s="53"/>
      <c r="K2447" s="53"/>
      <c r="L2447" s="53"/>
    </row>
    <row r="2448" spans="7:12" x14ac:dyDescent="0.2">
      <c r="G2448" s="53"/>
      <c r="H2448" s="53"/>
      <c r="I2448" s="53"/>
      <c r="J2448" s="53"/>
      <c r="K2448" s="53"/>
      <c r="L2448" s="53"/>
    </row>
    <row r="2449" spans="7:12" x14ac:dyDescent="0.2">
      <c r="G2449" s="53"/>
      <c r="H2449" s="53"/>
      <c r="I2449" s="53"/>
      <c r="J2449" s="53"/>
      <c r="K2449" s="53"/>
      <c r="L2449" s="53"/>
    </row>
    <row r="2450" spans="7:12" x14ac:dyDescent="0.2">
      <c r="G2450" s="53"/>
      <c r="H2450" s="53"/>
      <c r="I2450" s="53"/>
      <c r="J2450" s="53"/>
      <c r="K2450" s="53"/>
      <c r="L2450" s="53"/>
    </row>
    <row r="2451" spans="7:12" x14ac:dyDescent="0.2">
      <c r="G2451" s="53"/>
      <c r="H2451" s="53"/>
      <c r="I2451" s="53"/>
      <c r="J2451" s="53"/>
      <c r="K2451" s="53"/>
      <c r="L2451" s="53"/>
    </row>
    <row r="2452" spans="7:12" x14ac:dyDescent="0.2">
      <c r="G2452" s="53"/>
      <c r="H2452" s="53"/>
      <c r="I2452" s="53"/>
      <c r="J2452" s="53"/>
      <c r="K2452" s="53"/>
      <c r="L2452" s="53"/>
    </row>
    <row r="2453" spans="7:12" x14ac:dyDescent="0.2">
      <c r="G2453" s="53"/>
      <c r="H2453" s="53"/>
      <c r="I2453" s="53"/>
      <c r="J2453" s="53"/>
      <c r="K2453" s="53"/>
      <c r="L2453" s="53"/>
    </row>
    <row r="2454" spans="7:12" x14ac:dyDescent="0.2">
      <c r="G2454" s="53"/>
      <c r="H2454" s="53"/>
      <c r="I2454" s="53"/>
      <c r="J2454" s="53"/>
      <c r="K2454" s="53"/>
      <c r="L2454" s="53"/>
    </row>
    <row r="2455" spans="7:12" x14ac:dyDescent="0.2">
      <c r="G2455" s="53"/>
      <c r="H2455" s="53"/>
      <c r="I2455" s="53"/>
      <c r="J2455" s="53"/>
      <c r="K2455" s="53"/>
      <c r="L2455" s="53"/>
    </row>
    <row r="2456" spans="7:12" x14ac:dyDescent="0.2">
      <c r="G2456" s="53"/>
      <c r="H2456" s="53"/>
      <c r="I2456" s="53"/>
      <c r="J2456" s="53"/>
      <c r="K2456" s="53"/>
      <c r="L2456" s="53"/>
    </row>
    <row r="2457" spans="7:12" x14ac:dyDescent="0.2">
      <c r="G2457" s="53"/>
      <c r="H2457" s="53"/>
      <c r="I2457" s="53"/>
      <c r="J2457" s="53"/>
      <c r="K2457" s="53"/>
      <c r="L2457" s="53"/>
    </row>
    <row r="2458" spans="7:12" x14ac:dyDescent="0.2">
      <c r="G2458" s="53"/>
      <c r="H2458" s="53"/>
      <c r="I2458" s="53"/>
      <c r="J2458" s="53"/>
      <c r="K2458" s="53"/>
      <c r="L2458" s="53"/>
    </row>
    <row r="2459" spans="7:12" x14ac:dyDescent="0.2">
      <c r="G2459" s="53"/>
      <c r="H2459" s="53"/>
      <c r="I2459" s="53"/>
      <c r="J2459" s="53"/>
      <c r="K2459" s="53"/>
      <c r="L2459" s="53"/>
    </row>
    <row r="2460" spans="7:12" x14ac:dyDescent="0.2">
      <c r="G2460" s="53"/>
      <c r="H2460" s="53"/>
      <c r="I2460" s="53"/>
      <c r="J2460" s="53"/>
      <c r="K2460" s="53"/>
      <c r="L2460" s="53"/>
    </row>
    <row r="2461" spans="7:12" x14ac:dyDescent="0.2">
      <c r="G2461" s="53"/>
      <c r="H2461" s="53"/>
      <c r="I2461" s="53"/>
      <c r="J2461" s="53"/>
      <c r="K2461" s="53"/>
      <c r="L2461" s="53"/>
    </row>
    <row r="2462" spans="7:12" x14ac:dyDescent="0.2">
      <c r="G2462" s="53"/>
      <c r="H2462" s="53"/>
      <c r="I2462" s="53"/>
      <c r="J2462" s="53"/>
      <c r="K2462" s="53"/>
      <c r="L2462" s="53"/>
    </row>
    <row r="2463" spans="7:12" x14ac:dyDescent="0.2">
      <c r="G2463" s="53"/>
      <c r="H2463" s="53"/>
      <c r="I2463" s="53"/>
      <c r="J2463" s="53"/>
      <c r="K2463" s="53"/>
      <c r="L2463" s="53"/>
    </row>
    <row r="2464" spans="7:12" x14ac:dyDescent="0.2">
      <c r="G2464" s="53"/>
      <c r="H2464" s="53"/>
      <c r="I2464" s="53"/>
      <c r="J2464" s="53"/>
      <c r="K2464" s="53"/>
      <c r="L2464" s="53"/>
    </row>
    <row r="2465" spans="7:12" x14ac:dyDescent="0.2">
      <c r="G2465" s="53"/>
      <c r="H2465" s="53"/>
      <c r="I2465" s="53"/>
      <c r="J2465" s="53"/>
      <c r="K2465" s="53"/>
      <c r="L2465" s="53"/>
    </row>
    <row r="2466" spans="7:12" x14ac:dyDescent="0.2">
      <c r="G2466" s="53"/>
      <c r="H2466" s="53"/>
      <c r="I2466" s="53"/>
      <c r="J2466" s="53"/>
      <c r="K2466" s="53"/>
      <c r="L2466" s="53"/>
    </row>
    <row r="2467" spans="7:12" x14ac:dyDescent="0.2">
      <c r="G2467" s="53"/>
      <c r="H2467" s="53"/>
      <c r="I2467" s="53"/>
      <c r="J2467" s="53"/>
      <c r="K2467" s="53"/>
      <c r="L2467" s="53"/>
    </row>
    <row r="2468" spans="7:12" x14ac:dyDescent="0.2">
      <c r="G2468" s="53"/>
      <c r="H2468" s="53"/>
      <c r="I2468" s="53"/>
      <c r="J2468" s="53"/>
      <c r="K2468" s="53"/>
      <c r="L2468" s="53"/>
    </row>
    <row r="2469" spans="7:12" x14ac:dyDescent="0.2">
      <c r="G2469" s="53"/>
      <c r="H2469" s="53"/>
      <c r="I2469" s="53"/>
      <c r="J2469" s="53"/>
      <c r="K2469" s="53"/>
      <c r="L2469" s="53"/>
    </row>
    <row r="2470" spans="7:12" x14ac:dyDescent="0.2">
      <c r="G2470" s="53"/>
      <c r="H2470" s="53"/>
      <c r="I2470" s="53"/>
      <c r="J2470" s="53"/>
      <c r="K2470" s="53"/>
      <c r="L2470" s="53"/>
    </row>
    <row r="2471" spans="7:12" x14ac:dyDescent="0.2">
      <c r="G2471" s="53"/>
      <c r="H2471" s="53"/>
      <c r="I2471" s="53"/>
      <c r="J2471" s="53"/>
      <c r="K2471" s="53"/>
      <c r="L2471" s="53"/>
    </row>
    <row r="2472" spans="7:12" x14ac:dyDescent="0.2">
      <c r="G2472" s="53"/>
      <c r="H2472" s="53"/>
      <c r="I2472" s="53"/>
      <c r="J2472" s="53"/>
      <c r="K2472" s="53"/>
      <c r="L2472" s="53"/>
    </row>
    <row r="2473" spans="7:12" x14ac:dyDescent="0.2">
      <c r="G2473" s="53"/>
      <c r="H2473" s="53"/>
      <c r="I2473" s="53"/>
      <c r="J2473" s="53"/>
      <c r="K2473" s="53"/>
      <c r="L2473" s="53"/>
    </row>
    <row r="2474" spans="7:12" x14ac:dyDescent="0.2">
      <c r="G2474" s="53"/>
      <c r="H2474" s="53"/>
      <c r="I2474" s="53"/>
      <c r="J2474" s="53"/>
      <c r="K2474" s="53"/>
      <c r="L2474" s="53"/>
    </row>
    <row r="2475" spans="7:12" x14ac:dyDescent="0.2">
      <c r="G2475" s="53"/>
      <c r="H2475" s="53"/>
      <c r="I2475" s="53"/>
      <c r="J2475" s="53"/>
      <c r="K2475" s="53"/>
      <c r="L2475" s="53"/>
    </row>
    <row r="2476" spans="7:12" x14ac:dyDescent="0.2">
      <c r="G2476" s="53"/>
      <c r="H2476" s="53"/>
      <c r="I2476" s="53"/>
      <c r="J2476" s="53"/>
      <c r="K2476" s="53"/>
      <c r="L2476" s="53"/>
    </row>
    <row r="2477" spans="7:12" x14ac:dyDescent="0.2">
      <c r="G2477" s="53"/>
      <c r="H2477" s="53"/>
      <c r="I2477" s="53"/>
      <c r="J2477" s="53"/>
      <c r="K2477" s="53"/>
      <c r="L2477" s="53"/>
    </row>
    <row r="2478" spans="7:12" x14ac:dyDescent="0.2">
      <c r="G2478" s="53"/>
      <c r="H2478" s="53"/>
      <c r="I2478" s="53"/>
      <c r="J2478" s="53"/>
      <c r="K2478" s="53"/>
      <c r="L2478" s="53"/>
    </row>
    <row r="2479" spans="7:12" x14ac:dyDescent="0.2">
      <c r="G2479" s="53"/>
      <c r="H2479" s="53"/>
      <c r="I2479" s="53"/>
      <c r="J2479" s="53"/>
      <c r="K2479" s="53"/>
      <c r="L2479" s="53"/>
    </row>
    <row r="2480" spans="7:12" x14ac:dyDescent="0.2">
      <c r="G2480" s="53"/>
      <c r="H2480" s="53"/>
      <c r="I2480" s="53"/>
      <c r="J2480" s="53"/>
      <c r="K2480" s="53"/>
      <c r="L2480" s="53"/>
    </row>
    <row r="2481" spans="7:12" x14ac:dyDescent="0.2">
      <c r="G2481" s="53"/>
      <c r="H2481" s="53"/>
      <c r="I2481" s="53"/>
      <c r="J2481" s="53"/>
      <c r="K2481" s="53"/>
      <c r="L2481" s="53"/>
    </row>
    <row r="2482" spans="7:12" x14ac:dyDescent="0.2">
      <c r="G2482" s="53"/>
      <c r="H2482" s="53"/>
      <c r="I2482" s="53"/>
      <c r="J2482" s="53"/>
      <c r="K2482" s="53"/>
      <c r="L2482" s="53"/>
    </row>
    <row r="2483" spans="7:12" x14ac:dyDescent="0.2">
      <c r="G2483" s="53"/>
      <c r="H2483" s="53"/>
      <c r="I2483" s="53"/>
      <c r="J2483" s="53"/>
      <c r="K2483" s="53"/>
      <c r="L2483" s="53"/>
    </row>
    <row r="2484" spans="7:12" x14ac:dyDescent="0.2">
      <c r="G2484" s="53"/>
      <c r="H2484" s="53"/>
      <c r="I2484" s="53"/>
      <c r="J2484" s="53"/>
      <c r="K2484" s="53"/>
      <c r="L2484" s="53"/>
    </row>
    <row r="2485" spans="7:12" x14ac:dyDescent="0.2">
      <c r="G2485" s="53"/>
      <c r="H2485" s="53"/>
      <c r="I2485" s="53"/>
      <c r="J2485" s="53"/>
      <c r="K2485" s="53"/>
      <c r="L2485" s="53"/>
    </row>
    <row r="2486" spans="7:12" x14ac:dyDescent="0.2">
      <c r="G2486" s="53"/>
      <c r="H2486" s="53"/>
      <c r="I2486" s="53"/>
      <c r="J2486" s="53"/>
      <c r="K2486" s="53"/>
      <c r="L2486" s="53"/>
    </row>
    <row r="2487" spans="7:12" x14ac:dyDescent="0.2">
      <c r="G2487" s="53"/>
      <c r="H2487" s="53"/>
      <c r="I2487" s="53"/>
      <c r="J2487" s="53"/>
      <c r="K2487" s="53"/>
      <c r="L2487" s="53"/>
    </row>
    <row r="2488" spans="7:12" x14ac:dyDescent="0.2">
      <c r="G2488" s="53"/>
      <c r="H2488" s="53"/>
      <c r="I2488" s="53"/>
      <c r="J2488" s="53"/>
      <c r="K2488" s="53"/>
      <c r="L2488" s="53"/>
    </row>
    <row r="2489" spans="7:12" x14ac:dyDescent="0.2">
      <c r="G2489" s="53"/>
      <c r="H2489" s="53"/>
      <c r="I2489" s="53"/>
      <c r="J2489" s="53"/>
      <c r="K2489" s="53"/>
      <c r="L2489" s="53"/>
    </row>
    <row r="2490" spans="7:12" x14ac:dyDescent="0.2">
      <c r="G2490" s="53"/>
      <c r="H2490" s="53"/>
      <c r="I2490" s="53"/>
      <c r="J2490" s="53"/>
      <c r="K2490" s="53"/>
      <c r="L2490" s="53"/>
    </row>
    <row r="2491" spans="7:12" x14ac:dyDescent="0.2">
      <c r="G2491" s="53"/>
      <c r="H2491" s="53"/>
      <c r="I2491" s="53"/>
      <c r="J2491" s="53"/>
      <c r="K2491" s="53"/>
      <c r="L2491" s="53"/>
    </row>
    <row r="2492" spans="7:12" x14ac:dyDescent="0.2">
      <c r="G2492" s="53"/>
      <c r="H2492" s="53"/>
      <c r="I2492" s="53"/>
      <c r="J2492" s="53"/>
      <c r="K2492" s="53"/>
      <c r="L2492" s="53"/>
    </row>
    <row r="2493" spans="7:12" x14ac:dyDescent="0.2">
      <c r="G2493" s="53"/>
      <c r="H2493" s="53"/>
      <c r="I2493" s="53"/>
      <c r="J2493" s="53"/>
      <c r="K2493" s="53"/>
      <c r="L2493" s="53"/>
    </row>
    <row r="2494" spans="7:12" x14ac:dyDescent="0.2">
      <c r="G2494" s="53"/>
      <c r="H2494" s="53"/>
      <c r="I2494" s="53"/>
      <c r="J2494" s="53"/>
      <c r="K2494" s="53"/>
      <c r="L2494" s="53"/>
    </row>
    <row r="2495" spans="7:12" x14ac:dyDescent="0.2">
      <c r="G2495" s="53"/>
      <c r="H2495" s="53"/>
      <c r="I2495" s="53"/>
      <c r="J2495" s="53"/>
      <c r="K2495" s="53"/>
      <c r="L2495" s="53"/>
    </row>
    <row r="2496" spans="7:12" x14ac:dyDescent="0.2">
      <c r="G2496" s="53"/>
      <c r="H2496" s="53"/>
      <c r="I2496" s="53"/>
      <c r="J2496" s="53"/>
      <c r="K2496" s="53"/>
      <c r="L2496" s="53"/>
    </row>
    <row r="2497" spans="7:12" x14ac:dyDescent="0.2">
      <c r="G2497" s="53"/>
      <c r="H2497" s="53"/>
      <c r="I2497" s="53"/>
      <c r="J2497" s="53"/>
      <c r="K2497" s="53"/>
      <c r="L2497" s="53"/>
    </row>
    <row r="2498" spans="7:12" x14ac:dyDescent="0.2">
      <c r="G2498" s="53"/>
      <c r="H2498" s="53"/>
      <c r="I2498" s="53"/>
      <c r="J2498" s="53"/>
      <c r="K2498" s="53"/>
      <c r="L2498" s="53"/>
    </row>
    <row r="2499" spans="7:12" x14ac:dyDescent="0.2">
      <c r="G2499" s="53"/>
      <c r="H2499" s="53"/>
      <c r="I2499" s="53"/>
      <c r="J2499" s="53"/>
      <c r="K2499" s="53"/>
      <c r="L2499" s="53"/>
    </row>
    <row r="2500" spans="7:12" x14ac:dyDescent="0.2">
      <c r="G2500" s="53"/>
      <c r="H2500" s="53"/>
      <c r="I2500" s="53"/>
      <c r="J2500" s="53"/>
      <c r="K2500" s="53"/>
      <c r="L2500" s="53"/>
    </row>
    <row r="2501" spans="7:12" x14ac:dyDescent="0.2">
      <c r="G2501" s="53"/>
      <c r="H2501" s="53"/>
      <c r="I2501" s="53"/>
      <c r="J2501" s="53"/>
      <c r="K2501" s="53"/>
      <c r="L2501" s="53"/>
    </row>
    <row r="2502" spans="7:12" x14ac:dyDescent="0.2">
      <c r="G2502" s="53"/>
      <c r="H2502" s="53"/>
      <c r="I2502" s="53"/>
      <c r="J2502" s="53"/>
      <c r="K2502" s="53"/>
      <c r="L2502" s="53"/>
    </row>
    <row r="2503" spans="7:12" x14ac:dyDescent="0.2">
      <c r="G2503" s="53"/>
      <c r="H2503" s="53"/>
      <c r="I2503" s="53"/>
      <c r="J2503" s="53"/>
      <c r="K2503" s="53"/>
      <c r="L2503" s="53"/>
    </row>
    <row r="2504" spans="7:12" x14ac:dyDescent="0.2">
      <c r="G2504" s="53"/>
      <c r="H2504" s="53"/>
      <c r="I2504" s="53"/>
      <c r="J2504" s="53"/>
      <c r="K2504" s="53"/>
      <c r="L2504" s="53"/>
    </row>
    <row r="2505" spans="7:12" x14ac:dyDescent="0.2">
      <c r="G2505" s="53"/>
      <c r="H2505" s="53"/>
      <c r="I2505" s="53"/>
      <c r="J2505" s="53"/>
      <c r="K2505" s="53"/>
      <c r="L2505" s="53"/>
    </row>
    <row r="2506" spans="7:12" x14ac:dyDescent="0.2">
      <c r="G2506" s="53"/>
      <c r="H2506" s="53"/>
      <c r="I2506" s="53"/>
      <c r="J2506" s="53"/>
      <c r="K2506" s="53"/>
      <c r="L2506" s="53"/>
    </row>
    <row r="2507" spans="7:12" x14ac:dyDescent="0.2">
      <c r="G2507" s="53"/>
      <c r="H2507" s="53"/>
      <c r="I2507" s="53"/>
      <c r="J2507" s="53"/>
      <c r="K2507" s="53"/>
      <c r="L2507" s="53"/>
    </row>
    <row r="2508" spans="7:12" x14ac:dyDescent="0.2">
      <c r="G2508" s="53"/>
      <c r="H2508" s="53"/>
      <c r="I2508" s="53"/>
      <c r="J2508" s="53"/>
      <c r="K2508" s="53"/>
      <c r="L2508" s="53"/>
    </row>
    <row r="2509" spans="7:12" x14ac:dyDescent="0.2">
      <c r="G2509" s="53"/>
      <c r="H2509" s="53"/>
      <c r="I2509" s="53"/>
      <c r="J2509" s="53"/>
      <c r="K2509" s="53"/>
      <c r="L2509" s="53"/>
    </row>
    <row r="2510" spans="7:12" x14ac:dyDescent="0.2">
      <c r="G2510" s="53"/>
      <c r="H2510" s="53"/>
      <c r="I2510" s="53"/>
      <c r="J2510" s="53"/>
      <c r="K2510" s="53"/>
      <c r="L2510" s="53"/>
    </row>
    <row r="2511" spans="7:12" x14ac:dyDescent="0.2">
      <c r="G2511" s="53"/>
      <c r="H2511" s="53"/>
      <c r="I2511" s="53"/>
      <c r="J2511" s="53"/>
      <c r="K2511" s="53"/>
      <c r="L2511" s="53"/>
    </row>
    <row r="2512" spans="7:12" x14ac:dyDescent="0.2">
      <c r="G2512" s="53"/>
      <c r="H2512" s="53"/>
      <c r="I2512" s="53"/>
      <c r="J2512" s="53"/>
      <c r="K2512" s="53"/>
      <c r="L2512" s="53"/>
    </row>
    <row r="2513" spans="7:12" x14ac:dyDescent="0.2">
      <c r="G2513" s="53"/>
      <c r="H2513" s="53"/>
      <c r="I2513" s="53"/>
      <c r="J2513" s="53"/>
      <c r="K2513" s="53"/>
      <c r="L2513" s="53"/>
    </row>
    <row r="2514" spans="7:12" x14ac:dyDescent="0.2">
      <c r="G2514" s="53"/>
      <c r="H2514" s="53"/>
      <c r="I2514" s="53"/>
      <c r="J2514" s="53"/>
      <c r="K2514" s="53"/>
      <c r="L2514" s="53"/>
    </row>
    <row r="2515" spans="7:12" x14ac:dyDescent="0.2">
      <c r="G2515" s="53"/>
      <c r="H2515" s="53"/>
      <c r="I2515" s="53"/>
      <c r="J2515" s="53"/>
      <c r="K2515" s="53"/>
      <c r="L2515" s="53"/>
    </row>
    <row r="2516" spans="7:12" x14ac:dyDescent="0.2">
      <c r="G2516" s="53"/>
      <c r="H2516" s="53"/>
      <c r="I2516" s="53"/>
      <c r="J2516" s="53"/>
      <c r="K2516" s="53"/>
      <c r="L2516" s="53"/>
    </row>
    <row r="2517" spans="7:12" x14ac:dyDescent="0.2">
      <c r="G2517" s="53"/>
      <c r="H2517" s="53"/>
      <c r="I2517" s="53"/>
      <c r="J2517" s="53"/>
      <c r="K2517" s="53"/>
      <c r="L2517" s="53"/>
    </row>
    <row r="2518" spans="7:12" x14ac:dyDescent="0.2">
      <c r="G2518" s="53"/>
      <c r="H2518" s="53"/>
      <c r="I2518" s="53"/>
      <c r="J2518" s="53"/>
      <c r="K2518" s="53"/>
      <c r="L2518" s="53"/>
    </row>
    <row r="2519" spans="7:12" x14ac:dyDescent="0.2">
      <c r="G2519" s="53"/>
      <c r="H2519" s="53"/>
      <c r="I2519" s="53"/>
      <c r="J2519" s="53"/>
      <c r="K2519" s="53"/>
      <c r="L2519" s="53"/>
    </row>
    <row r="2520" spans="7:12" x14ac:dyDescent="0.2">
      <c r="G2520" s="53"/>
      <c r="H2520" s="53"/>
      <c r="I2520" s="53"/>
      <c r="J2520" s="53"/>
      <c r="K2520" s="53"/>
      <c r="L2520" s="53"/>
    </row>
    <row r="2521" spans="7:12" x14ac:dyDescent="0.2">
      <c r="G2521" s="53"/>
      <c r="H2521" s="53"/>
      <c r="I2521" s="53"/>
      <c r="J2521" s="53"/>
      <c r="K2521" s="53"/>
      <c r="L2521" s="53"/>
    </row>
    <row r="2522" spans="7:12" x14ac:dyDescent="0.2">
      <c r="G2522" s="53"/>
      <c r="H2522" s="53"/>
      <c r="I2522" s="53"/>
      <c r="J2522" s="53"/>
      <c r="K2522" s="53"/>
      <c r="L2522" s="53"/>
    </row>
    <row r="2523" spans="7:12" x14ac:dyDescent="0.2">
      <c r="G2523" s="53"/>
      <c r="H2523" s="53"/>
      <c r="I2523" s="53"/>
      <c r="J2523" s="53"/>
      <c r="K2523" s="53"/>
      <c r="L2523" s="53"/>
    </row>
    <row r="2524" spans="7:12" x14ac:dyDescent="0.2">
      <c r="G2524" s="53"/>
      <c r="H2524" s="53"/>
      <c r="I2524" s="53"/>
      <c r="J2524" s="53"/>
      <c r="K2524" s="53"/>
      <c r="L2524" s="53"/>
    </row>
    <row r="2525" spans="7:12" x14ac:dyDescent="0.2">
      <c r="G2525" s="53"/>
      <c r="H2525" s="53"/>
      <c r="I2525" s="53"/>
      <c r="J2525" s="53"/>
      <c r="K2525" s="53"/>
      <c r="L2525" s="53"/>
    </row>
    <row r="2526" spans="7:12" x14ac:dyDescent="0.2">
      <c r="G2526" s="53"/>
      <c r="H2526" s="53"/>
      <c r="I2526" s="53"/>
      <c r="J2526" s="53"/>
      <c r="K2526" s="53"/>
      <c r="L2526" s="53"/>
    </row>
    <row r="2527" spans="7:12" x14ac:dyDescent="0.2">
      <c r="G2527" s="53"/>
      <c r="H2527" s="53"/>
      <c r="I2527" s="53"/>
      <c r="J2527" s="53"/>
      <c r="K2527" s="53"/>
      <c r="L2527" s="53"/>
    </row>
    <row r="2528" spans="7:12" x14ac:dyDescent="0.2">
      <c r="G2528" s="53"/>
      <c r="H2528" s="53"/>
      <c r="I2528" s="53"/>
      <c r="J2528" s="53"/>
      <c r="K2528" s="53"/>
      <c r="L2528" s="53"/>
    </row>
    <row r="2529" spans="7:12" x14ac:dyDescent="0.2">
      <c r="G2529" s="53"/>
      <c r="H2529" s="53"/>
      <c r="I2529" s="53"/>
      <c r="J2529" s="53"/>
      <c r="K2529" s="53"/>
      <c r="L2529" s="53"/>
    </row>
    <row r="2530" spans="7:12" x14ac:dyDescent="0.2">
      <c r="G2530" s="53"/>
      <c r="H2530" s="53"/>
      <c r="I2530" s="53"/>
      <c r="J2530" s="53"/>
      <c r="K2530" s="53"/>
      <c r="L2530" s="53"/>
    </row>
    <row r="2531" spans="7:12" x14ac:dyDescent="0.2">
      <c r="G2531" s="53"/>
      <c r="H2531" s="53"/>
      <c r="I2531" s="53"/>
      <c r="J2531" s="53"/>
      <c r="K2531" s="53"/>
      <c r="L2531" s="53"/>
    </row>
    <row r="2532" spans="7:12" x14ac:dyDescent="0.2">
      <c r="G2532" s="53"/>
      <c r="H2532" s="53"/>
      <c r="I2532" s="53"/>
      <c r="J2532" s="53"/>
      <c r="K2532" s="53"/>
      <c r="L2532" s="53"/>
    </row>
    <row r="2533" spans="7:12" x14ac:dyDescent="0.2">
      <c r="G2533" s="53"/>
      <c r="H2533" s="53"/>
      <c r="I2533" s="53"/>
      <c r="J2533" s="53"/>
      <c r="K2533" s="53"/>
      <c r="L2533" s="53"/>
    </row>
    <row r="2534" spans="7:12" x14ac:dyDescent="0.2">
      <c r="G2534" s="53"/>
      <c r="H2534" s="53"/>
      <c r="I2534" s="53"/>
      <c r="J2534" s="53"/>
      <c r="K2534" s="53"/>
      <c r="L2534" s="53"/>
    </row>
    <row r="2535" spans="7:12" x14ac:dyDescent="0.2">
      <c r="G2535" s="53"/>
      <c r="H2535" s="53"/>
      <c r="I2535" s="53"/>
      <c r="J2535" s="53"/>
      <c r="K2535" s="53"/>
      <c r="L2535" s="53"/>
    </row>
    <row r="2536" spans="7:12" x14ac:dyDescent="0.2">
      <c r="G2536" s="53"/>
      <c r="H2536" s="53"/>
      <c r="I2536" s="53"/>
      <c r="J2536" s="53"/>
      <c r="K2536" s="53"/>
      <c r="L2536" s="53"/>
    </row>
    <row r="2537" spans="7:12" x14ac:dyDescent="0.2">
      <c r="G2537" s="53"/>
      <c r="H2537" s="53"/>
      <c r="I2537" s="53"/>
      <c r="J2537" s="53"/>
      <c r="K2537" s="53"/>
      <c r="L2537" s="53"/>
    </row>
    <row r="2538" spans="7:12" x14ac:dyDescent="0.2">
      <c r="G2538" s="53"/>
      <c r="H2538" s="53"/>
      <c r="I2538" s="53"/>
      <c r="J2538" s="53"/>
      <c r="K2538" s="53"/>
      <c r="L2538" s="53"/>
    </row>
    <row r="2539" spans="7:12" x14ac:dyDescent="0.2">
      <c r="G2539" s="53"/>
      <c r="H2539" s="53"/>
      <c r="I2539" s="53"/>
      <c r="J2539" s="53"/>
      <c r="K2539" s="53"/>
      <c r="L2539" s="53"/>
    </row>
    <row r="2540" spans="7:12" x14ac:dyDescent="0.2">
      <c r="G2540" s="53"/>
      <c r="H2540" s="53"/>
      <c r="I2540" s="53"/>
      <c r="J2540" s="53"/>
      <c r="K2540" s="53"/>
      <c r="L2540" s="53"/>
    </row>
    <row r="2541" spans="7:12" x14ac:dyDescent="0.2">
      <c r="G2541" s="53"/>
      <c r="H2541" s="53"/>
      <c r="I2541" s="53"/>
      <c r="J2541" s="53"/>
      <c r="K2541" s="53"/>
      <c r="L2541" s="53"/>
    </row>
    <row r="2542" spans="7:12" x14ac:dyDescent="0.2">
      <c r="G2542" s="53"/>
      <c r="H2542" s="53"/>
      <c r="I2542" s="53"/>
      <c r="J2542" s="53"/>
      <c r="K2542" s="53"/>
      <c r="L2542" s="53"/>
    </row>
    <row r="2543" spans="7:12" x14ac:dyDescent="0.2">
      <c r="G2543" s="53"/>
      <c r="H2543" s="53"/>
      <c r="I2543" s="53"/>
      <c r="J2543" s="53"/>
      <c r="K2543" s="53"/>
      <c r="L2543" s="53"/>
    </row>
    <row r="2544" spans="7:12" x14ac:dyDescent="0.2">
      <c r="G2544" s="53"/>
      <c r="H2544" s="53"/>
      <c r="I2544" s="53"/>
      <c r="J2544" s="53"/>
      <c r="K2544" s="53"/>
      <c r="L2544" s="53"/>
    </row>
    <row r="2545" spans="7:12" x14ac:dyDescent="0.2">
      <c r="G2545" s="53"/>
      <c r="H2545" s="53"/>
      <c r="I2545" s="53"/>
      <c r="J2545" s="53"/>
      <c r="K2545" s="53"/>
      <c r="L2545" s="53"/>
    </row>
    <row r="2546" spans="7:12" x14ac:dyDescent="0.2">
      <c r="G2546" s="53"/>
      <c r="H2546" s="53"/>
      <c r="I2546" s="53"/>
      <c r="J2546" s="53"/>
      <c r="K2546" s="53"/>
      <c r="L2546" s="53"/>
    </row>
    <row r="2547" spans="7:12" x14ac:dyDescent="0.2">
      <c r="G2547" s="53"/>
      <c r="H2547" s="53"/>
      <c r="I2547" s="53"/>
      <c r="J2547" s="53"/>
      <c r="K2547" s="53"/>
      <c r="L2547" s="53"/>
    </row>
  </sheetData>
  <mergeCells count="17">
    <mergeCell ref="AA1:AB1"/>
    <mergeCell ref="P1:Q1"/>
    <mergeCell ref="T1:U1"/>
    <mergeCell ref="R1:S1"/>
    <mergeCell ref="W1:X1"/>
    <mergeCell ref="Y1:Z1"/>
    <mergeCell ref="M1:N1"/>
    <mergeCell ref="C133:D133"/>
    <mergeCell ref="E1:F1"/>
    <mergeCell ref="G1:H1"/>
    <mergeCell ref="I1:J1"/>
    <mergeCell ref="K1:L1"/>
    <mergeCell ref="E79:F79"/>
    <mergeCell ref="G79:H79"/>
    <mergeCell ref="I79:J79"/>
    <mergeCell ref="K79:L79"/>
    <mergeCell ref="M79:N79"/>
  </mergeCells>
  <pageMargins left="0.7" right="0.7" top="0.75" bottom="0.75" header="0.3" footer="0.3"/>
  <pageSetup paperSize="9" orientation="portrait" r:id="rId1"/>
  <ignoredErrors>
    <ignoredError sqref="E6 E10:J10 F6:J6 E23:J23 E82:J82 E12:J12 E11:G11 I11:J11 E15:J15 E13:G13 I13:J13 E14:G14 I14:J14 E18:J18 E16:G16 I16:J16 E17:G17 I17:J17 E28:J28 E24:G24 I24:J24 E25:G26 I25:J26 E27:G27 I27:J27 E31:J31 E29:G29 I29:J29 E30:G30 I30:J30 E34:J34 E32:G32 I32:J32 E33:G33 I33:J33 E37:J37 E35:G35 I35:J35 E36:G36 I36:J36 E39:J39 E38:G38 I38:J38 E43:J43 E40:G40 I40:J40 E41:G42 I41:J42 E45:J45 E44:G44 I44:J44 E48:J48 E46:G46 I46:J46 E47:G47 I47:J47 E50:J50 E49:G49 I49:J49 E53:J53 E51:G51 I51:J51 E52:G52 I52:J52 E55:J55 E54:G54 I54:J54 E57:G57 E56:G56 I56:J56 E59:G59 E58:G58 I58:J58 E61:G61 E60:G60 I60:J60 E66:J66 E62:G62 I62:J62 E63:G65 I63:J65 E68:G69 E67:G67 I67:J67 I68:J69 I57:J57 I59:J59 I61:J61 H61 H59 H57 H56 H58 H60 E89:J89 E83:G83 I83:J83 E84:G88 I84:J88 E95:J95 E90:G90 I90:J90 E91:G94 I91:J94 E98:J98 E96:G96 I96:J96 E97:G97 I97:J97 E101:J101 E99:G99 I99:J99 E100:G100 I100:J100 E114:J114 E102:G102 I102:J102 E103:G112 I103:J112 E113:G113 I113:J113 E119:J119 E115:G115 I115:J115 E116:G118 I116:J118 E122:J122 E120:G120 I120:J120 E121:G121 I121:J121 E124:J124 E123:G123 I123:J123 E127:J128 E125:G125 I125:J125 E126:G126 I126:J126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3</vt:i4>
      </vt:variant>
    </vt:vector>
  </HeadingPairs>
  <TitlesOfParts>
    <vt:vector size="20" baseType="lpstr">
      <vt:lpstr>BDPROD</vt:lpstr>
      <vt:lpstr>BDDF</vt:lpstr>
      <vt:lpstr>BDFD</vt:lpstr>
      <vt:lpstr>BDIMS</vt:lpstr>
      <vt:lpstr>BDFDUSD</vt:lpstr>
      <vt:lpstr>IngresoInformacion</vt:lpstr>
      <vt:lpstr>IngresoPrecio</vt:lpstr>
      <vt:lpstr>ModificarPrecio</vt:lpstr>
      <vt:lpstr>Resumen de Unidades</vt:lpstr>
      <vt:lpstr>PVP</vt:lpstr>
      <vt:lpstr>PVM</vt:lpstr>
      <vt:lpstr>USD</vt:lpstr>
      <vt:lpstr>Pesos</vt:lpstr>
      <vt:lpstr>BDPRECIOIMS</vt:lpstr>
      <vt:lpstr>BDPPTOUSD</vt:lpstr>
      <vt:lpstr>BDPPTO</vt:lpstr>
      <vt:lpstr>RESUMEN</vt:lpstr>
      <vt:lpstr>IngresoPrecio!DFFDIMS</vt:lpstr>
      <vt:lpstr>ModificarPrecio!DFFDIMS</vt:lpstr>
      <vt:lpstr>DFFDIMS</vt:lpstr>
    </vt:vector>
  </TitlesOfParts>
  <Company>GFE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Almeida Natalia (EC)</dc:creator>
  <cp:lastModifiedBy>Auditorio Gerencia Ecuador (EC)</cp:lastModifiedBy>
  <cp:lastPrinted>2017-01-31T21:22:29Z</cp:lastPrinted>
  <dcterms:created xsi:type="dcterms:W3CDTF">2016-09-20T21:30:27Z</dcterms:created>
  <dcterms:modified xsi:type="dcterms:W3CDTF">2017-08-23T20:28:09Z</dcterms:modified>
</cp:coreProperties>
</file>